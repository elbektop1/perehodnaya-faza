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казы" sheetId="1" r:id="rId5"/>
    <sheet state="visible" name="Бракперепечатка" sheetId="2" r:id="rId6"/>
    <sheet state="visible" name="Сток" sheetId="3" r:id="rId7"/>
    <sheet state="visible" name="Отгружено" sheetId="4" r:id="rId8"/>
    <sheet state="visible" name="Клиенты" sheetId="5" r:id="rId9"/>
  </sheets>
  <definedNames>
    <definedName hidden="1" localSheetId="0" name="_xlnm._FilterDatabase">'Заказы'!$A$1:$AA$1007</definedName>
    <definedName hidden="1" localSheetId="3" name="_xlnm._FilterDatabase">'Отгружено'!$A$1:$Z$1015</definedName>
    <definedName hidden="1" localSheetId="4" name="_xlnm._FilterDatabase">'Клиенты'!$A$2:$E$334</definedName>
    <definedName hidden="1" localSheetId="0" name="Z_71FDEA5B_12B3_4B8A_B576_396BE3A7C43F_.wvu.FilterData">'Заказы'!$A$1:$AA$1007</definedName>
    <definedName hidden="1" localSheetId="0" name="Z_0C22B07E_F181_4154_BF6D_0A6485B6C9D7_.wvu.FilterData">'Заказы'!$A$1:$AA$1007</definedName>
    <definedName hidden="1" localSheetId="0" name="Z_A9CF2267_8E63_4AAE_B14A_25091A894185_.wvu.FilterData">'Заказы'!$A$1:$AA$1007</definedName>
    <definedName hidden="1" localSheetId="0" name="Z_553A6FE5_1C2E_46D5_8F25_A3F03E78A40D_.wvu.FilterData">'Заказы'!$A$1:$AA$1007</definedName>
    <definedName hidden="1" localSheetId="0" name="Z_B4BD3317_3FFD_4115_88D6_22D806D22AB0_.wvu.FilterData">'Заказы'!$A$1:$AA$1007</definedName>
    <definedName hidden="1" localSheetId="0" name="Z_7F094CCB_5FD5_4C33_AA2B_612CD7DD4F8F_.wvu.FilterData">'Заказы'!$A$1:$AA$1007</definedName>
    <definedName hidden="1" localSheetId="0" name="Z_1089EE32_0B59_4D63_848D_2D6296D3292D_.wvu.FilterData">'Заказы'!$A$1:$AA$1007</definedName>
    <definedName hidden="1" localSheetId="0" name="Z_654E483F_0136_4180_A76D_D60F917F9599_.wvu.FilterData">'Заказы'!$A$1:$AA$1007</definedName>
  </definedNames>
  <calcPr/>
  <customWorkbookViews>
    <customWorkbookView activeSheetId="0" maximized="1" windowHeight="0" windowWidth="0" guid="{71FDEA5B-12B3-4B8A-B576-396BE3A7C43F}" name="Татьяна Денисова"/>
    <customWorkbookView activeSheetId="0" maximized="1" windowHeight="0" windowWidth="0" guid="{0C22B07E-F181-4154-BF6D-0A6485B6C9D7}" name="Овечкин Константин"/>
    <customWorkbookView activeSheetId="0" maximized="1" windowHeight="0" windowWidth="0" guid="{A9CF2267-8E63-4AAE-B14A-25091A894185}" name="Баранов Александр"/>
    <customWorkbookView activeSheetId="0" maximized="1" windowHeight="0" windowWidth="0" guid="{553A6FE5-1C2E-46D5-8F25-A3F03E78A40D}" name="Дмитрий Шаповалов"/>
    <customWorkbookView activeSheetId="0" maximized="1" windowHeight="0" windowWidth="0" guid="{B4BD3317-3FFD-4115-88D6-22D806D22AB0}" name="План Печати"/>
    <customWorkbookView activeSheetId="0" maximized="1" windowHeight="0" windowWidth="0" guid="{7F094CCB-5FD5-4C33-AA2B-612CD7DD4F8F}" name="Юлия Шаповалова"/>
    <customWorkbookView activeSheetId="0" maximized="1" windowHeight="0" windowWidth="0" guid="{1089EE32-0B59-4D63-848D-2D6296D3292D}" name="Володин Александр"/>
    <customWorkbookView activeSheetId="0" maximized="1" windowHeight="0" windowWidth="0" guid="{654E483F-0136-4180-A76D-D60F917F9599}" name="Римма Лукина"/>
  </customWorkbookViews>
</workbook>
</file>

<file path=xl/sharedStrings.xml><?xml version="1.0" encoding="utf-8"?>
<sst xmlns="http://schemas.openxmlformats.org/spreadsheetml/2006/main" count="10825" uniqueCount="1849">
  <si>
    <t>Заказчик</t>
  </si>
  <si>
    <t>Арт.</t>
  </si>
  <si>
    <t>Наименование</t>
  </si>
  <si>
    <t>№ Партии</t>
  </si>
  <si>
    <t>Менеджер</t>
  </si>
  <si>
    <t>новая\повтор\повтор с изм.</t>
  </si>
  <si>
    <t>Размер этикетки</t>
  </si>
  <si>
    <t>Вид Печати</t>
  </si>
  <si>
    <t>Машина</t>
  </si>
  <si>
    <t>Тираж</t>
  </si>
  <si>
    <t>Погонные Метры</t>
  </si>
  <si>
    <t>Дата размещения</t>
  </si>
  <si>
    <t>Дата отгрузки желаемая</t>
  </si>
  <si>
    <t>Плановая отгрузка</t>
  </si>
  <si>
    <t>Материал</t>
  </si>
  <si>
    <t>Дата поставки материала</t>
  </si>
  <si>
    <t>ХТ / Ламинация</t>
  </si>
  <si>
    <t>Рубка на листы</t>
  </si>
  <si>
    <t>Формы</t>
  </si>
  <si>
    <t>Штамп</t>
  </si>
  <si>
    <t>Статус Заказа</t>
  </si>
  <si>
    <t>Дата производства</t>
  </si>
  <si>
    <t>Комментарий</t>
  </si>
  <si>
    <t>Адрес Доставки</t>
  </si>
  <si>
    <t>Бирки на коробки</t>
  </si>
  <si>
    <t>Бирки на роли</t>
  </si>
  <si>
    <t>Коробки</t>
  </si>
  <si>
    <t>ООО"ФэрельГам"</t>
  </si>
  <si>
    <t>470567 Спаржа с морковью по-корейски 300 г этик.</t>
  </si>
  <si>
    <t>Баранов Александр</t>
  </si>
  <si>
    <t>Новая</t>
  </si>
  <si>
    <t>Флексопечать</t>
  </si>
  <si>
    <t>Weigang-450</t>
  </si>
  <si>
    <t>675 (ф. 330)</t>
  </si>
  <si>
    <t>Пленка PP белая каучук</t>
  </si>
  <si>
    <t>Нет</t>
  </si>
  <si>
    <t>В наличие</t>
  </si>
  <si>
    <t>Отгружен</t>
  </si>
  <si>
    <t>470790 Капуста квашеная кислая для щей 700 гр. Этик.</t>
  </si>
  <si>
    <t>1050 (ф. 330)</t>
  </si>
  <si>
    <t>470435 Огурцы соленые корнишоны 500 г этик.</t>
  </si>
  <si>
    <t>2220 (ф. 330)</t>
  </si>
  <si>
    <t>470421 Огурцы соленые 600 г (Дикси) этик.</t>
  </si>
  <si>
    <t>Заказаны</t>
  </si>
  <si>
    <t xml:space="preserve">470158 Капуста маринованная ДИЕТ 500 г этик.
</t>
  </si>
  <si>
    <t>470217 Капуста по-московски 800 г этик.</t>
  </si>
  <si>
    <t>470242 Капуста квашеная с морковью 500 г ГОСТ этик.</t>
  </si>
  <si>
    <t>675 (ф. 350)</t>
  </si>
  <si>
    <t>жду формы</t>
  </si>
  <si>
    <t>ООО "ЭНЭРДЖИ ИНТЕРНЭШНЛ"</t>
  </si>
  <si>
    <t xml:space="preserve">Этикетка 110*300 мм </t>
  </si>
  <si>
    <t>Шаповалов Дмитрий</t>
  </si>
  <si>
    <t>Цифра+Полуротация</t>
  </si>
  <si>
    <t>Labelsmart(ЦПМ)</t>
  </si>
  <si>
    <t>Бумага полуглянец каучук</t>
  </si>
  <si>
    <t>Цифра</t>
  </si>
  <si>
    <t xml:space="preserve">г. Москва, Электродный проезд, 6, доставку просит на завтра. контактный номер (+7 926 324 09 83 - Юлия) </t>
  </si>
  <si>
    <t>ООО "Мегапак"</t>
  </si>
  <si>
    <t>Контейнеры</t>
  </si>
  <si>
    <t>1018/1019/1020/1021</t>
  </si>
  <si>
    <t>АртЛайн</t>
  </si>
  <si>
    <t>Все 4 Роля</t>
  </si>
  <si>
    <t>8000 ф200</t>
  </si>
  <si>
    <t>Давальческий</t>
  </si>
  <si>
    <t>г. Одинцово, Ул. Маковского, д7, лмк 9, Евгений 8 925 020 95 82</t>
  </si>
  <si>
    <t>ООО "Дальпромрыба"</t>
  </si>
  <si>
    <t xml:space="preserve">Рыбарь </t>
  </si>
  <si>
    <t>Одинцов Алексей</t>
  </si>
  <si>
    <t>Повтор с изменениями</t>
  </si>
  <si>
    <t>650 ф350</t>
  </si>
  <si>
    <t>Пленка PP белая акрил</t>
  </si>
  <si>
    <t>470757 Капуста квашеная с морковью 700 г Чижик этик.</t>
  </si>
  <si>
    <t>Повтор</t>
  </si>
  <si>
    <t>d110</t>
  </si>
  <si>
    <t>300 000</t>
  </si>
  <si>
    <t>12123(330)</t>
  </si>
  <si>
    <t>470418 Огурцы соленые 500 г этик.</t>
  </si>
  <si>
    <t>10 000</t>
  </si>
  <si>
    <t>470137 Капуста квашеная с морковью 500 г (Магнит) этик.</t>
  </si>
  <si>
    <t>100 000</t>
  </si>
  <si>
    <t>470634 Хренодер классический 400 г на Бутылку (Магнит) этик.</t>
  </si>
  <si>
    <t>65*180</t>
  </si>
  <si>
    <t>60 000</t>
  </si>
  <si>
    <t>470259 Капуста с морковью по-корейски 300 г (Магнит) этик.</t>
  </si>
  <si>
    <t>50 000</t>
  </si>
  <si>
    <t>450352 Огурцы соленые 1000 г (МЕТРО CHEF) этик.</t>
  </si>
  <si>
    <t>470042 Виноградные листья соленые 1000 г этик.</t>
  </si>
  <si>
    <t>напечатан</t>
  </si>
  <si>
    <t>470744 Чизолини Чечил копченый "Соломка" этик.</t>
  </si>
  <si>
    <t>55х75</t>
  </si>
  <si>
    <t>3740 ф350</t>
  </si>
  <si>
    <t>ТД ФЭРЕЛЬГАМ</t>
  </si>
  <si>
    <t>470773 Капуста квашеная 0,9 кг "Ашан" Каждый День этик.</t>
  </si>
  <si>
    <t xml:space="preserve">ОЗОН </t>
  </si>
  <si>
    <t>Стикер пантон Р2645С</t>
  </si>
  <si>
    <t>Римма Лукина</t>
  </si>
  <si>
    <t>ТЕСТ</t>
  </si>
  <si>
    <t>D 70</t>
  </si>
  <si>
    <t>Bg-330</t>
  </si>
  <si>
    <t>Бумага полуглянец акрил</t>
  </si>
  <si>
    <t>Лазер</t>
  </si>
  <si>
    <t xml:space="preserve">печатаем с формой от зеленого стикера </t>
  </si>
  <si>
    <t>ИП Булат М.В.</t>
  </si>
  <si>
    <t>Вода питьевая АХСУ АКВА 5 л. 105х148</t>
  </si>
  <si>
    <t>105х148</t>
  </si>
  <si>
    <t>Бланк подписанный, ДЕНЬГИ ПОСТУПИЛИ</t>
  </si>
  <si>
    <t>Зеленоград корпус 834б, 8 965 422-84-84</t>
  </si>
  <si>
    <t>470596 Томаты соленые зеленые 1000 г этик.</t>
  </si>
  <si>
    <t>471015 Капуста квашеная с морковью и хреном 350 г (Семейные секреты) этик.</t>
  </si>
  <si>
    <t xml:space="preserve"> 470785 Капуста квашеная с хреном 500 г (Global village) этик.</t>
  </si>
  <si>
    <t>d99/100</t>
  </si>
  <si>
    <t xml:space="preserve">450351 Огурцы соленые 1000 г global village этик. </t>
  </si>
  <si>
    <t>470997 Спаржа по-корейски 300 г (Green vitamin) этик.</t>
  </si>
  <si>
    <t>ООО "ЛК Люкс" (Элка)</t>
  </si>
  <si>
    <t>Заказ по СТМ AVS (46 видов)</t>
  </si>
  <si>
    <t>25х80</t>
  </si>
  <si>
    <t>Цифра+Лазер</t>
  </si>
  <si>
    <t xml:space="preserve"> 142116, Московская область,  г. Подольск, Домодедовское шоссе, д. 20, офис 113</t>
  </si>
  <si>
    <t>470003 Аджика 200 г (Глобус) этик.</t>
  </si>
  <si>
    <t>d108</t>
  </si>
  <si>
    <t>Меренга</t>
  </si>
  <si>
    <t>Этикетка пирожное Шу с вишней</t>
  </si>
  <si>
    <t>50х180</t>
  </si>
  <si>
    <t>Bengraphic-330</t>
  </si>
  <si>
    <t>Стикер пантон  Р183С</t>
  </si>
  <si>
    <t xml:space="preserve">печатаем с формой от зеленго стикера </t>
  </si>
  <si>
    <t>ОЗОН</t>
  </si>
  <si>
    <t>Сендвич с тунцом и маринованным луком</t>
  </si>
  <si>
    <t>76*118</t>
  </si>
  <si>
    <t>макет согласован</t>
  </si>
  <si>
    <t>470681 Чеснок белый 250 г Дольки этик.</t>
  </si>
  <si>
    <t>д80</t>
  </si>
  <si>
    <t>Wg-450</t>
  </si>
  <si>
    <t>нет</t>
  </si>
  <si>
    <t>СОГЛАСОВАН</t>
  </si>
  <si>
    <t>470277 Капуста квашеная с морковью сладкая 500 г (Глобус) Бок этик.</t>
  </si>
  <si>
    <t>110*60</t>
  </si>
  <si>
    <t>471047 Капуста квашеная "кимчи по-корейски" 200 г этик.</t>
  </si>
  <si>
    <t>д110</t>
  </si>
  <si>
    <t>470822 Капуста маринованная DIET 500 г (Магнит) этик.</t>
  </si>
  <si>
    <t>2500*1 / 5000 в коробке</t>
  </si>
  <si>
    <t>ООО "ТК" (НАР)</t>
  </si>
  <si>
    <t>Этикетка 90х283 сок гранатовый1л_НАР</t>
  </si>
  <si>
    <t>90х283</t>
  </si>
  <si>
    <t>Да</t>
  </si>
  <si>
    <t>подготовка бланка согласования</t>
  </si>
  <si>
    <t>Заказ по СТМ РОСТТЕРМ (7 видов)</t>
  </si>
  <si>
    <t>76*126</t>
  </si>
  <si>
    <t>470460 Перец соленый острый 500 г (Глобус) этик.</t>
  </si>
  <si>
    <t>СОЛГАСОВАН</t>
  </si>
  <si>
    <t>470231 Капуста с клюквой 500 г (Хороший день) этик.</t>
  </si>
  <si>
    <t>согласован , заказать формы</t>
  </si>
  <si>
    <t>470241 Капуста с морковью 500 г (Хороший день) этик.</t>
  </si>
  <si>
    <t xml:space="preserve">     
ООО"ФэрельГам"</t>
  </si>
  <si>
    <t xml:space="preserve"> 470199 Капуста по-деревенски 500 г этик.</t>
  </si>
  <si>
    <t>Калье</t>
  </si>
  <si>
    <t>Pashe 30 мл Сыворотка «Активные молекулы 4Х»</t>
  </si>
  <si>
    <t>Татьяна Денисова</t>
  </si>
  <si>
    <t>44*96</t>
  </si>
  <si>
    <t>Приладка заказа как и всегда в раб дни с 8:30 до 17:30. Упаковать бобины в стрейч и коробки</t>
  </si>
  <si>
    <t>Сама заказываю ТК</t>
  </si>
  <si>
    <t>Pashe 30 мл Сыворотка против несовершенств кожи</t>
  </si>
  <si>
    <t>Новапродукт АГ</t>
  </si>
  <si>
    <t xml:space="preserve">Ол'Лайт 650 лицевая </t>
  </si>
  <si>
    <t>Шаповалова Юлия</t>
  </si>
  <si>
    <t>86,6х26</t>
  </si>
  <si>
    <t xml:space="preserve">МО г. Подольск д. Северово ул. Кутузовская д. 5  Отгрузка до 16:00 </t>
  </si>
  <si>
    <t xml:space="preserve">Ол'Лайт 650 оборот </t>
  </si>
  <si>
    <t>86,6х27</t>
  </si>
  <si>
    <t xml:space="preserve">МО г. Подольск д. Северово ул. Кутузовская д. 5 Отгрузка до 16:00 </t>
  </si>
  <si>
    <t>Новасвит 650 (комбо)</t>
  </si>
  <si>
    <t>86,6х28</t>
  </si>
  <si>
    <t>30 000</t>
  </si>
  <si>
    <t xml:space="preserve">Новасвит 1200 лицевая </t>
  </si>
  <si>
    <t>100,5х31,5</t>
  </si>
  <si>
    <t>200 000</t>
  </si>
  <si>
    <t>Новасвит 1200 оборот</t>
  </si>
  <si>
    <t>100,5х31,6</t>
  </si>
  <si>
    <t>МО г. Подольск д. Северово ул. Кутузовская д. 5  Отгрузка до 16:00, +7 (977) 615-23-51 Екатерина</t>
  </si>
  <si>
    <t>470753 Яблоки моченые 1000 г этик.</t>
  </si>
  <si>
    <t>D110</t>
  </si>
  <si>
    <t>470608 Томаты соленые красные 1000 г этик.</t>
  </si>
  <si>
    <t>Торт "Бенто" медовик с брусникой (Люблю)</t>
  </si>
  <si>
    <t>35*297</t>
  </si>
  <si>
    <t>Ангстрем/Националь</t>
  </si>
  <si>
    <t>И/Э 100*70 ИЗ ЛАВКИ Т/П Крупа гречневая 900г</t>
  </si>
  <si>
    <t>70*100</t>
  </si>
  <si>
    <t>15 000</t>
  </si>
  <si>
    <t>Паспорт качества, ПРИЛАДКА</t>
  </si>
  <si>
    <t>"Краснодарский край, Красноармейский р-н, Протичка х, 2000 метров на восток от хутора
 Контактное лицо: Мурзинов Дмитрий, 8-989-267-19-51"</t>
  </si>
  <si>
    <t>бирки на коробки</t>
  </si>
  <si>
    <t>бирки на роли</t>
  </si>
  <si>
    <t>И/Э 100*70 ИЗ ЛАВКИ Т/П Пшено 900г</t>
  </si>
  <si>
    <t>Паспорт качества</t>
  </si>
  <si>
    <t>И/Э 100*70 ИЗ ЛАВКИ Т/П Рис для плова 900г</t>
  </si>
  <si>
    <t>И/Э 100*70 ИЗ ЛАВКИ Т/П Рис круглозерный 900г</t>
  </si>
  <si>
    <t>И/Э 100*70 Мясновъ Т/П Рис Жасмин 500 гр.</t>
  </si>
  <si>
    <t>5 000</t>
  </si>
  <si>
    <t>И/Э 100*70 Мясновъ Т/П Рис для плова 12х1000 г</t>
  </si>
  <si>
    <t>И/Э Озон Т/П Крупа гречневая 6х1500г</t>
  </si>
  <si>
    <t>Стикер вкусвилл рис для плова басмати</t>
  </si>
  <si>
    <t>40*70</t>
  </si>
  <si>
    <t>И/Э GRANTE греча 1500гр</t>
  </si>
  <si>
    <t>100*100</t>
  </si>
  <si>
    <t>Бумага метализированная акрил</t>
  </si>
  <si>
    <t>И/Э GRANTE греча 800гр</t>
  </si>
  <si>
    <t>90*90</t>
  </si>
  <si>
    <t>20 000</t>
  </si>
  <si>
    <t>И/Э GRANTE Т/П Крупа гречневая ядрица со стикером 4х3000г</t>
  </si>
  <si>
    <t>98*160</t>
  </si>
  <si>
    <t>Клапан</t>
  </si>
  <si>
    <t>70*30</t>
  </si>
  <si>
    <t>Пленка PP прозрачная</t>
  </si>
  <si>
    <t>ФЭСТ</t>
  </si>
  <si>
    <t xml:space="preserve"> 82*108</t>
  </si>
  <si>
    <t>ДА</t>
  </si>
  <si>
    <t>вырубка поштучно</t>
  </si>
  <si>
    <t>Полезнотека</t>
  </si>
  <si>
    <t>лицевая чурчхела</t>
  </si>
  <si>
    <t>55*130</t>
  </si>
  <si>
    <t>Gallus-160</t>
  </si>
  <si>
    <t>Меджик транс , отправка до терминала Владикавказ</t>
  </si>
  <si>
    <t>оборот чурчхела</t>
  </si>
  <si>
    <t>50*150</t>
  </si>
  <si>
    <t>ВВ "Торт бенто клубника с днем рождения</t>
  </si>
  <si>
    <t>40*295</t>
  </si>
  <si>
    <t>заказ ждут в пятницу</t>
  </si>
  <si>
    <t>г. Москва,  Пермская 1 стр 7-8</t>
  </si>
  <si>
    <t>Магуро тунец филе шк.6483</t>
  </si>
  <si>
    <t>Власян Владимир</t>
  </si>
  <si>
    <t>55х160</t>
  </si>
  <si>
    <t>470161 Капуста маринованная кисло-сладкая 500 г этик.</t>
  </si>
  <si>
    <t>470352 Морская капуста с кунжутом 250 г этик.</t>
  </si>
  <si>
    <t>470631 Хренодер классический 240 г этик.</t>
  </si>
  <si>
    <t>60*160</t>
  </si>
  <si>
    <t xml:space="preserve">470636 Хренодер чесночный 240 г этик. </t>
  </si>
  <si>
    <t>470549 Соус Сацебели 240 г этик.</t>
  </si>
  <si>
    <t>470555 Соус Ткемали из сливы 240 г этик.</t>
  </si>
  <si>
    <t>470543 Соус Азиатский 240 г этик.</t>
  </si>
  <si>
    <t>470678 Чеснок белый 200 г В/У этик.</t>
  </si>
  <si>
    <t>48*122</t>
  </si>
  <si>
    <t>Пульсар</t>
  </si>
  <si>
    <t>Моторное масло 5л 5w-30</t>
  </si>
  <si>
    <t>159*178</t>
  </si>
  <si>
    <t xml:space="preserve">С этими образцами клиент просит любые образцы с матовой ламинацией (будущий тираж будет с мат лам) </t>
  </si>
  <si>
    <t>БЦ Контакт, Остаповский 5/1с1. Иван +7 (926) 002-49-23</t>
  </si>
  <si>
    <t>Отомоши смазки</t>
  </si>
  <si>
    <t xml:space="preserve">175*225 </t>
  </si>
  <si>
    <t>Липидная маска-реноватор EXPERT LINE ADRICOCO, 500 мл</t>
  </si>
  <si>
    <t>1399/1400</t>
  </si>
  <si>
    <t xml:space="preserve">д=83 / 65*280 </t>
  </si>
  <si>
    <t>30000 комплектов</t>
  </si>
  <si>
    <t>Кардинал ЯПД</t>
  </si>
  <si>
    <t>Буквы "Щ", "М", "СК"</t>
  </si>
  <si>
    <t>1430/1431/1432</t>
  </si>
  <si>
    <t>20*20</t>
  </si>
  <si>
    <t>На замотанные бобины снаружи наклеить по одной этикетке, чтобы упакованные различить можно было </t>
  </si>
  <si>
    <t>Самовывоз</t>
  </si>
  <si>
    <t>ЮниКруп</t>
  </si>
  <si>
    <t>Горох шлифованный</t>
  </si>
  <si>
    <t>60*45</t>
  </si>
  <si>
    <t>G-160</t>
  </si>
  <si>
    <t>паспорт качества</t>
  </si>
  <si>
    <t>1-й Спортивный пер., 3, Данков, Липецкая обл., 399852, СДЭК, контакт: 89601413738</t>
  </si>
  <si>
    <t>471045 Капуста маринованная Три цитруса 350г</t>
  </si>
  <si>
    <t>d99</t>
  </si>
  <si>
    <t xml:space="preserve">Аптечка у водителя </t>
  </si>
  <si>
    <t>70*99</t>
  </si>
  <si>
    <t>ВЫРУБКА !!!</t>
  </si>
  <si>
    <t>деловые линии г.Кострома</t>
  </si>
  <si>
    <t>Берекет</t>
  </si>
  <si>
    <t>Сладости 5 видов</t>
  </si>
  <si>
    <t>1514-1519</t>
  </si>
  <si>
    <t>50*80/40*80</t>
  </si>
  <si>
    <t>LS(ЦПМ)</t>
  </si>
  <si>
    <t xml:space="preserve"> РОТАЦИЯ / НАКЛЕЙКА АВТО </t>
  </si>
  <si>
    <t>Спайс Спайс</t>
  </si>
  <si>
    <t>Этикетка Альфа Ингредиенты</t>
  </si>
  <si>
    <t>115*150</t>
  </si>
  <si>
    <t>Передать оригинал договора</t>
  </si>
  <si>
    <t>Москва, ул. Ижорская, д. 7, тел. 8-926-230-92-17</t>
  </si>
  <si>
    <t>РБЕ</t>
  </si>
  <si>
    <t>тестовые стикеры</t>
  </si>
  <si>
    <t>наклейка ручная, расположение как нам удобно</t>
  </si>
  <si>
    <t xml:space="preserve">Кимберли </t>
  </si>
  <si>
    <t>61284789 Наклейка на палету самоклеющаяся А5 АЛ</t>
  </si>
  <si>
    <t>148*210</t>
  </si>
  <si>
    <t>в четверг прислать вес и  количество паллет для заказа  транспорта</t>
  </si>
  <si>
    <t>СДЭК</t>
  </si>
  <si>
    <t>бирки с штрихкодом  на коробки</t>
  </si>
  <si>
    <t>61284496
T3 OD XPAD Накл/пакет S3 Jumbo 58x2</t>
  </si>
  <si>
    <t>55*55</t>
  </si>
  <si>
    <t>61284497
T3 OD XPAD Накл/пакет S5 Jumbo 42x4</t>
  </si>
  <si>
    <t>61284567
УК ЧЗ Накл/пакет S5 Giga 64x4 Дев</t>
  </si>
  <si>
    <t>61284581УК ЧЗ Накл/пакет S5 Giga 64x4 Мал</t>
  </si>
  <si>
    <t>значок Халяль</t>
  </si>
  <si>
    <t>30*30</t>
  </si>
  <si>
    <t>до терминала ДЛ ( Пенза )</t>
  </si>
  <si>
    <t>470214 Капуста по-московски 500 г этик.</t>
  </si>
  <si>
    <t>МАКЕТ ДЕЛАЛ ИГОРЬ</t>
  </si>
  <si>
    <t>В ПЕЧАТИ</t>
  </si>
  <si>
    <t>450351 Огурцы соленые 1000 г global village этик.</t>
  </si>
  <si>
    <t>Д99</t>
  </si>
  <si>
    <t>согласован</t>
  </si>
  <si>
    <t>470789 Салат Морковь по-корейски 200 г Магнит этик.</t>
  </si>
  <si>
    <t>ПРАВКИ Е211 , ОТРПАВИЛИ , ЖДЕМ формы</t>
  </si>
  <si>
    <t>470564 Спаржа по-корейски 300 г этик.</t>
  </si>
  <si>
    <t xml:space="preserve">450358 Капуста квашеная с морковью 250 Global Village Этик д95 </t>
  </si>
  <si>
    <t>д95</t>
  </si>
  <si>
    <t>450357 Капуста квашеная с морковью 900 Круглое лето Этик д95</t>
  </si>
  <si>
    <t>470860 Сыр чечил ассорти 150 г Магнолия 100*70 этик</t>
  </si>
  <si>
    <t>G-200</t>
  </si>
  <si>
    <t>ДТ</t>
  </si>
  <si>
    <t>470356 Напиток Рассол капустный 240 г этик.</t>
  </si>
  <si>
    <t>470859 Сыр чечил 150 г Магнолия 100*70 этик.</t>
  </si>
  <si>
    <t>470821 Капуста квашеная с клюквой 500 г (Global village)</t>
  </si>
  <si>
    <t>470113 Имбирь маринованный 250 г этик.</t>
  </si>
  <si>
    <t>д75</t>
  </si>
  <si>
    <t>470403 Огурцы соленые 1000 г этик.</t>
  </si>
  <si>
    <t>470171 Капуста маринованная с морковью 500 г этик.</t>
  </si>
  <si>
    <t>470464 Перец соленый острый 500 г этик.</t>
  </si>
  <si>
    <t>470813 Морковь по-корейски 300 г (Green vitamin) этик.</t>
  </si>
  <si>
    <t>470816 Капуста квашеная сладкая 500 г (Green vitamin) этик.</t>
  </si>
  <si>
    <t>470529 Салат Фунчоза по-корейски 300 г этик.</t>
  </si>
  <si>
    <t>470765 Салат Морковь по-корейски 150 г. этик .</t>
  </si>
  <si>
    <t>470405 Огурцы соленые 300 г в/у (Магнит) этик.</t>
  </si>
  <si>
    <t>52*120</t>
  </si>
  <si>
    <t>470747 Чизолини Чечил этик</t>
  </si>
  <si>
    <t>55*75</t>
  </si>
  <si>
    <t>3 (7500*2 и 5000*1)</t>
  </si>
  <si>
    <t xml:space="preserve"> 470261 Капуста с морковью по-корейски 300 г этик.</t>
  </si>
  <si>
    <t>470225 Капуста с клюквой 500 г (Глобус) этик.</t>
  </si>
  <si>
    <t>д108</t>
  </si>
  <si>
    <t xml:space="preserve"> 470339 Морковь по-корейски 300 г этик.</t>
  </si>
  <si>
    <t>470827 Грибы соленые Застольные 250 г этик.</t>
  </si>
  <si>
    <t>РЗК Ресурс</t>
  </si>
  <si>
    <t>Пустышка</t>
  </si>
  <si>
    <t>70*140</t>
  </si>
  <si>
    <t>Термо Топ</t>
  </si>
  <si>
    <t>ООО «РЗК Ресурс» ОП Белокалитвинское, 347041, Ростовская область, р-н Белокалитвинский, г. Белая Калитва, ул. Л.Толстого, дом № 30, РЗК Ресурс. КПП614245002; Михайлова Наталья 7 (908) 519-42-42 (по пятницам, субботам и воскресеньям склад не работает)</t>
  </si>
  <si>
    <t>Пилинг для кожи головы PHARM HELPER TNL Professional 150 мл</t>
  </si>
  <si>
    <t>95*136</t>
  </si>
  <si>
    <t>Пленка PE 85 мкр прозрачная</t>
  </si>
  <si>
    <t>470785 Капуста квашеная с хреном 500 г (Global village) этик.</t>
  </si>
  <si>
    <t xml:space="preserve"> д99</t>
  </si>
  <si>
    <t>продаем + 1 ролик (излишки )</t>
  </si>
  <si>
    <t>470825 Капуста квашеная с морковью 1000 г (Global village) этик.</t>
  </si>
  <si>
    <t>д99</t>
  </si>
  <si>
    <t>Тоник Pharm Helper против перхоти, TNL, 100 мл</t>
  </si>
  <si>
    <t>63*118</t>
  </si>
  <si>
    <t>470846 Капуста маринованная с морковью и шафраном 300 г этик.</t>
  </si>
  <si>
    <t>ООО «Вёрдазернопродукт»</t>
  </si>
  <si>
    <t>ТермоТоп 100х100</t>
  </si>
  <si>
    <t>Повтор, ТЕСТ</t>
  </si>
  <si>
    <t>100х100</t>
  </si>
  <si>
    <t>Рязанская область, Кораблинский район, Кипчаковское с/п, с.Кикино, производственная зона «Кикино» здание 1. Сергей Анатольевич, +7 910 622-18-18. Время работы : с 8-00 до 17-00, пятница с 8-00 до 16-00, суббота и воскресенье- выходной.</t>
  </si>
  <si>
    <t>Обечайка на бумаге 50х188</t>
  </si>
  <si>
    <t>50х188</t>
  </si>
  <si>
    <t>Обечайка на плёнке 50х188</t>
  </si>
  <si>
    <t>50х189</t>
  </si>
  <si>
    <t>470853 Огурцы соленые 300 г в/у этик.</t>
  </si>
  <si>
    <t xml:space="preserve">Меренга </t>
  </si>
  <si>
    <t>Торт морковный из лавки</t>
  </si>
  <si>
    <t>70*185</t>
  </si>
  <si>
    <t>Внимание печатаем без ЛАКА!!!</t>
  </si>
  <si>
    <t>Меренга : Москва, Пермская 1 стр 7-8. Контакты приемки на складе Меренга :Женя рук склада 89252992868, Осим 89500029927</t>
  </si>
  <si>
    <t xml:space="preserve"> 470831 Чеснок соленый белый 200 г (Green vitamin) этик. </t>
  </si>
  <si>
    <t>2 ( ПО 10 ТЫС )</t>
  </si>
  <si>
    <t>470798 Капуста квашеная сладкая 450 гр бок Ваш выбор Этик.</t>
  </si>
  <si>
    <t>37.5*100</t>
  </si>
  <si>
    <t>2500*1/ 10тыс в коробке</t>
  </si>
  <si>
    <t>Крем-воск для пяток Foot Cream Wax 3 в 1 TNL Professional, 100 мл КРУГ</t>
  </si>
  <si>
    <t>д=58</t>
  </si>
  <si>
    <t>Крем-воск для пяток Foot Cream Wax 3 в 1 TNL Professional, 100 мл БОК</t>
  </si>
  <si>
    <t>27*200</t>
  </si>
  <si>
    <t>470437 Огурцы соленые по-старорусски 800 г этик.</t>
  </si>
  <si>
    <t>д100</t>
  </si>
  <si>
    <t>А2</t>
  </si>
  <si>
    <t>Этикетка М83</t>
  </si>
  <si>
    <t>110*202.5</t>
  </si>
  <si>
    <t>Мультифункциональный спрей Prof Adri K-Mist ADRICOCO, 200 мл</t>
  </si>
  <si>
    <t>112*145</t>
  </si>
  <si>
    <t>Приладка в раб дни как обычно. Подгон цвета этикетки в цвет флакона (темно-коричневый маленький флакон на производстве). Упаковка бобин в стрейч и коробки</t>
  </si>
  <si>
    <t>Сама ТК заказываю</t>
  </si>
  <si>
    <t>RePart</t>
  </si>
  <si>
    <t>Лого Repart синий</t>
  </si>
  <si>
    <t>58*40</t>
  </si>
  <si>
    <t>Желательно цвет подогнать примерно к прошлому запуску на цифре по смук</t>
  </si>
  <si>
    <t xml:space="preserve">Автомобильный проезд 10с14, 89250465031 Эдуард (схема проезда в почте) </t>
  </si>
  <si>
    <t>Этикетка Дым Штурм</t>
  </si>
  <si>
    <t>99*142</t>
  </si>
  <si>
    <t>АН-НУР Баранина</t>
  </si>
  <si>
    <t>80*140</t>
  </si>
  <si>
    <t>470844 Капуста квашеная с морковью и клюквой 500 г (Green vitamin) этик.</t>
  </si>
  <si>
    <t>470736 Чизолини Косичка сыр ассорти 40 г 20*20 этик.</t>
  </si>
  <si>
    <t>Кофемания</t>
  </si>
  <si>
    <t>Пломба Моя Кофемания</t>
  </si>
  <si>
    <t>13*50</t>
  </si>
  <si>
    <t>Печать по образцу. Упаковка по юр. лицам, по 2 шт. в пленке с ШК, скину на почту</t>
  </si>
  <si>
    <t>г. Москва, 63-й км. МКАД, р-н Строгино, ул. Маршала Прошлякова, д. 26, корп. 3, стр. 6. тел.+7(926) 554-87-33 Екатерина с 9.00 до 16.00</t>
  </si>
  <si>
    <t>бирки на ролики</t>
  </si>
  <si>
    <t>ЭЛКА</t>
  </si>
  <si>
    <t>Шланг соединительный VAXT 1-2_2 м_1-2</t>
  </si>
  <si>
    <t>ЯПД</t>
  </si>
  <si>
    <t>Стикерпак Сбер кидс</t>
  </si>
  <si>
    <t>152*210</t>
  </si>
  <si>
    <t>Маркировка!</t>
  </si>
  <si>
    <t>ЦРТ</t>
  </si>
  <si>
    <t>Океан 81</t>
  </si>
  <si>
    <t>99*144</t>
  </si>
  <si>
    <t>г. Москва, ул. Ижорская д.7, территория РК «Меридиан», с 09 00 — 13 00, либо с 14 00 до 16 30
+7 926 2309217 Ольга</t>
  </si>
  <si>
    <t>Zakari</t>
  </si>
  <si>
    <t>Парфюмы 6 мл и 30 мл</t>
  </si>
  <si>
    <t>1697/1698</t>
  </si>
  <si>
    <t xml:space="preserve">10*40/32*42 </t>
  </si>
  <si>
    <t>7*500</t>
  </si>
  <si>
    <t>Проконтролировать качество печати, чтобы все читабельно и ок было))</t>
  </si>
  <si>
    <t>Океан 21</t>
  </si>
  <si>
    <t>Океан 7</t>
  </si>
  <si>
    <t>Нуртдинов</t>
  </si>
  <si>
    <t>Лакрин витамин С</t>
  </si>
  <si>
    <t>44*95</t>
  </si>
  <si>
    <t>на роликах логистические стикеры . Название изготовителя, дата, номер заказа, количество в ролике.</t>
  </si>
  <si>
    <t>сдэк создам заявку, нужно в пятницу отвези в ОПВЗ</t>
  </si>
  <si>
    <t>И/Э Озон Т/П Рис Ризотто 6х500г</t>
  </si>
  <si>
    <t>Паспорт качества, Приладка</t>
  </si>
  <si>
    <t>Краснодарский край, Красноармейский р-н, Протичка х, 2000 метров на восток от хутора
Контактное лицо: Мурзинов Дмитрий, 8-989-267-19-51</t>
  </si>
  <si>
    <t>Сэндвич с тунцом и маринованным луком</t>
  </si>
  <si>
    <t>печатали тест, теперь нужно сделать партию для тестирования на оборудовании, обязательно приложить паспорт качества и документы выложить в ЭДО</t>
  </si>
  <si>
    <t>Этикетка Новапродукт заменитель сахара 1200 лицевая Новасвит</t>
  </si>
  <si>
    <t xml:space="preserve">100,5*31,5 </t>
  </si>
  <si>
    <t>150 000</t>
  </si>
  <si>
    <t xml:space="preserve">Этикетка Новапродукт заменитель сахара 1200 оборотная Новасвит </t>
  </si>
  <si>
    <t>Этикетка Новапродукт заменитель сахара 650 лицевая Новасвит</t>
  </si>
  <si>
    <t>86,6*28</t>
  </si>
  <si>
    <t>Этикетка Новапродукт заменитель сахара 650 оборотная Новасвит</t>
  </si>
  <si>
    <t>470782 Морс вишневый 400 гр. 65х180 этик.</t>
  </si>
  <si>
    <t>по 5000 в коробке</t>
  </si>
  <si>
    <t>470795 Огурцы соленые 1100 гр. круг Ваш выбор Этик.</t>
  </si>
  <si>
    <t>470796 Огурцы соленые 1100 гр. бок Ваш выбор Этик.</t>
  </si>
  <si>
    <t>60*110</t>
  </si>
  <si>
    <t>по 10000 в коробке</t>
  </si>
  <si>
    <t>Фисташковый эклер</t>
  </si>
  <si>
    <t>70*165</t>
  </si>
  <si>
    <t>Стикер "Важно что ешь"</t>
  </si>
  <si>
    <t>уже печатали тест этой этикетки</t>
  </si>
  <si>
    <t>470830 Хренодер Классический 220 г (Green vitamin) этик.</t>
  </si>
  <si>
    <t>стикеры</t>
  </si>
  <si>
    <t>58*30</t>
  </si>
  <si>
    <t>500x48 500х24</t>
  </si>
  <si>
    <t>Кислотная смывка Swap Color, ADRICOCO, 200 мл КОМПЛЕКТ</t>
  </si>
  <si>
    <t>1718/1719</t>
  </si>
  <si>
    <t>115*140</t>
  </si>
  <si>
    <t>Бальзам + Шампунь WEEL Кератиновый комплекс TNL Professional, 1000 мл</t>
  </si>
  <si>
    <t>1722/1723</t>
  </si>
  <si>
    <t xml:space="preserve">150*230 </t>
  </si>
  <si>
    <t>10000+20000</t>
  </si>
  <si>
    <t>Бальзам + Шампунь WEEL формула с церамидами TNL Professional, 1000 мл</t>
  </si>
  <si>
    <t>1724/1725</t>
  </si>
  <si>
    <t>2*10000</t>
  </si>
  <si>
    <t>Линейка Prof Adri 1000 мл коричневые</t>
  </si>
  <si>
    <t>1726-1730</t>
  </si>
  <si>
    <t>5*10000</t>
  </si>
  <si>
    <t>Коричневый в цвет литрового темно-коричневого флакона!! Флакон на производстве (14 числа печатали такой коричневый маленькую этикетку) На приладке показать этикетку полностью + на флаконе. Этикетка должна сливаться цветом с флаконом)) Приладка заказа как и всегда в раб дни с 8:30 до 17:30. Упаковать бобины в стрейч и коробки</t>
  </si>
  <si>
    <t>2 Шампуня Pharm Helper против выпадения / против перхоти 400 мл</t>
  </si>
  <si>
    <t>1731/1732</t>
  </si>
  <si>
    <t>100*204</t>
  </si>
  <si>
    <t>2*5000</t>
  </si>
  <si>
    <t>Nuar Спреи 200 мл</t>
  </si>
  <si>
    <t>1785-1786</t>
  </si>
  <si>
    <t>105*145</t>
  </si>
  <si>
    <t>ДЛЯ АЛЕКСАНДРА: контроль плотности двух слоев белил, должен быть плотный белый!! при приклейке на флакон (светло-коричневый маленький) - белый должен быть плотным и не просвечивать. особенно в месте квадрата под честный знак. Приладка в раб дни до 17:30 как обычно 
Розовый в цвет крышки после приклейки на флакон. Печать на прозрачке покачественнее (на ней печатали все пред поставки, кроме последней - по последней были претензии!! Нужна старая пленка, как обсуждали</t>
  </si>
  <si>
    <t>сама ТК заказываю</t>
  </si>
  <si>
    <t>Сердечки Сбер + самокат</t>
  </si>
  <si>
    <t>1800-1801</t>
  </si>
  <si>
    <t>125*100</t>
  </si>
  <si>
    <t>2*910</t>
  </si>
  <si>
    <t>470759 Спаржа по-корейски 400 г этик.</t>
  </si>
  <si>
    <t xml:space="preserve">согласован/ НАПЕЧАТАТЬ БИРКИ </t>
  </si>
  <si>
    <t>470518 Салат Огурцы соленые по-корейски 300 г этик.</t>
  </si>
  <si>
    <t xml:space="preserve"> Новапродукт АГ</t>
  </si>
  <si>
    <t xml:space="preserve">Этикетка заменитель сахара 350 лицевая Сукралоза Новасвит </t>
  </si>
  <si>
    <t>70.7*24.4</t>
  </si>
  <si>
    <t xml:space="preserve">Этикетка заменитель сахара 350 оборотная Сукралоза Новасвит </t>
  </si>
  <si>
    <t>Пироженное Шу с вишней</t>
  </si>
  <si>
    <t>50*180</t>
  </si>
  <si>
    <t>ОЗОН ВКУС</t>
  </si>
  <si>
    <t>Стикер розовый 60x250</t>
  </si>
  <si>
    <t>60*250</t>
  </si>
  <si>
    <t>Стикер розовый 45x240</t>
  </si>
  <si>
    <t>45*240</t>
  </si>
  <si>
    <t>Стикер розовый 45x160</t>
  </si>
  <si>
    <t>45*160</t>
  </si>
  <si>
    <t>Автохимия 89*170</t>
  </si>
  <si>
    <t>89*170</t>
  </si>
  <si>
    <t>1000+2000+2*5000+10.000, всего 23.000 шт</t>
  </si>
  <si>
    <t>заказан</t>
  </si>
  <si>
    <t>С заказом отправить конверты (21 числа дам информацию по этим конвертам)</t>
  </si>
  <si>
    <t>г. Москва, ул. Подольских Курсантов, вл.24 Д, строение 4
+7 926 002-49-23 Иван</t>
  </si>
  <si>
    <t xml:space="preserve">Этикетка ЯЛ язык говяжий отварной </t>
  </si>
  <si>
    <t>Этикетка ЯЛ Сэндвич с курицей и печёным перцем, кремчизом, шпинатом и мёдом с чесноком</t>
  </si>
  <si>
    <t>87*117</t>
  </si>
  <si>
    <t>Этикетка ЯЛ Сэндвич Гриль-чиз болонезе с песто</t>
  </si>
  <si>
    <t>Акватерра</t>
  </si>
  <si>
    <t>стикер без печати</t>
  </si>
  <si>
    <t>1630-1631</t>
  </si>
  <si>
    <t>15х15</t>
  </si>
  <si>
    <t>сопроводительные документы для возмодности идентификации</t>
  </si>
  <si>
    <t>Республика Адыгея (Адыгея), Г.О. город Майкоп, ул.Загородная, д.8,Атаянц Вартан Александрович,тел. +7 (952) 824 86 56.</t>
  </si>
  <si>
    <t>Кимберли Кларк</t>
  </si>
  <si>
    <t>Полуротация</t>
  </si>
  <si>
    <t>Montax</t>
  </si>
  <si>
    <t>52 500</t>
  </si>
  <si>
    <t>очень внимательно. постарайтесь не сделать пересорт</t>
  </si>
  <si>
    <t>СДЭК сама оформлю</t>
  </si>
  <si>
    <t>спец этикетки с штрих кодом</t>
  </si>
  <si>
    <t>да</t>
  </si>
  <si>
    <t>Barilla</t>
  </si>
  <si>
    <t>30*50</t>
  </si>
  <si>
    <t>Фосфорель</t>
  </si>
  <si>
    <t>Этикетка «Крема-паста из кальмара» 150 г</t>
  </si>
  <si>
    <t>38х236</t>
  </si>
  <si>
    <t xml:space="preserve">макет на согласовании </t>
  </si>
  <si>
    <t>394065, Воронежская область, г. Воронеж, Патриотов, д. 65-Н.</t>
  </si>
  <si>
    <t>Этикетка «Рубленная горбуша и скумбрия» 150 г</t>
  </si>
  <si>
    <t>Этикетка «Форшмак из рубленной сельди» 150 г</t>
  </si>
  <si>
    <t>Сельдь малосольная филе в масле 250</t>
  </si>
  <si>
    <t>100*115</t>
  </si>
  <si>
    <t>Этикетка Тунец рубленный в сладком соусе чили  150гр</t>
  </si>
  <si>
    <t>38*236</t>
  </si>
  <si>
    <t>материал посмотрите из прошлой заявки, нужно всятьименно его</t>
  </si>
  <si>
    <t>Курьер заберет</t>
  </si>
  <si>
    <t>Сама создам заявку СДЭК</t>
  </si>
  <si>
    <t xml:space="preserve">да </t>
  </si>
  <si>
    <t>СТМ Nerio Липидная маска</t>
  </si>
  <si>
    <t>58*280</t>
  </si>
  <si>
    <t>Приладка в раб дни до 17:30 как обычно</t>
  </si>
  <si>
    <t xml:space="preserve">Кимберли Кларк </t>
  </si>
  <si>
    <t>61284823 Белая наклейка 55х55 мм АЛ</t>
  </si>
  <si>
    <t>чистая этикетка, просто вырубить</t>
  </si>
  <si>
    <t>ООО ТД "ВЕТ-ЦЗДОР ПРОДАКТ"</t>
  </si>
  <si>
    <t xml:space="preserve">Полезное лакомство для собак 30 шт/120 гр </t>
  </si>
  <si>
    <t>d85</t>
  </si>
  <si>
    <t>Подольск, д. Борисовка, территория ПромТехальянс 1, стр.1. Получатель: +7 921 553 29 46 Елена</t>
  </si>
  <si>
    <t>37*295</t>
  </si>
  <si>
    <t>ООО "Кнауф Гипс"</t>
  </si>
  <si>
    <t>Профиль потолочный направляющий  28*27 мм/ Профиль потолочный 60*27 мм</t>
  </si>
  <si>
    <t>2024/2025</t>
  </si>
  <si>
    <t>22*68</t>
  </si>
  <si>
    <t>До терминала Деловые Линии г.Пермь ( терминал на ул. Промышленная)</t>
  </si>
  <si>
    <t>Sistema Mist</t>
  </si>
  <si>
    <t>130*145</t>
  </si>
  <si>
    <t>61284168 УК ПТГ1.5 Накл/пакет S5 Jumbo 42x4 УНИ Н</t>
  </si>
  <si>
    <t>61284564 УК ЧЗ Накл/пакет S3 Mega 78x4 Дев</t>
  </si>
  <si>
    <t>61284565 УК ЧЗ Накл/пакет S4 Mega 66х4 Дев</t>
  </si>
  <si>
    <t>61284566 УК ЧЗ Накл/пакет S5 Mega 56x4 Дев</t>
  </si>
  <si>
    <t>61284567 УК ЧЗ Накл/пакет S5 Giga 64x2 Дев</t>
  </si>
  <si>
    <t>61284574 УК ЧЗ Накл/пакет S3 Mega 78x4 Мал</t>
  </si>
  <si>
    <t>61284575 УК ЧЗ Накл/пакет S4 Mega 66х4 Мал</t>
  </si>
  <si>
    <t>61284576 УК ЧЗ Накл/пакет S5 Mega 56x4 Мал</t>
  </si>
  <si>
    <t>61284577 УК ЧЗ Накл/пакет S3 Giga 94x4 Мал</t>
  </si>
  <si>
    <t>61284578 УК ЧЗ Накл/пакет S3 Giga 94x4 Дев</t>
  </si>
  <si>
    <t>61284580 УК ЧЗ Накл/пакет S4 Giga 80x4 Дев</t>
  </si>
  <si>
    <t>61284581 УК ЧЗ Накл/пакет S5 Giga 64x2 Мал</t>
  </si>
  <si>
    <t>61284779 НБ XPAD Наклейка/пакет S2 Giga 100х2</t>
  </si>
  <si>
    <t>61284794 НБ XPAD Наклейка/пакет S1 Giga 100х2</t>
  </si>
  <si>
    <t>61284563 УК ЧЗ Накл/пакет S4 Jumbo 50x4 UNI</t>
  </si>
  <si>
    <t>61284579 УК ЧЗ Накл/пакет S4 Giga 80x4 Мал тираж 10000шт</t>
  </si>
  <si>
    <t>ООО Буфетофф</t>
  </si>
  <si>
    <t xml:space="preserve">Изделие_хб_из_зелёной_гречки 60х120 </t>
  </si>
  <si>
    <t>60х120</t>
  </si>
  <si>
    <t>ПЭК до терминала г. Тверь</t>
  </si>
  <si>
    <t>Линейка Re:Born Спрей V</t>
  </si>
  <si>
    <t>125*150</t>
  </si>
  <si>
    <t xml:space="preserve">     
ООО"ФерЭльГам"</t>
  </si>
  <si>
    <t>2 роля по 2500 в коробке / всего 5000 в коробке</t>
  </si>
  <si>
    <t xml:space="preserve"> 470560 Спаржа по-корейски 200 г  (Магнит) этик. </t>
  </si>
  <si>
    <r>
      <rPr>
        <rFont val="Roboto"/>
        <color rgb="FFFF0000"/>
        <sz val="18.0"/>
      </rPr>
      <t xml:space="preserve"> сделать одну бирку на коробку</t>
    </r>
    <r>
      <rPr>
        <rFont val="Roboto"/>
        <color theme="1"/>
        <sz val="18.0"/>
      </rPr>
      <t xml:space="preserve"> 2 роля по 2500 в коробке / всего 5000 в коробке</t>
    </r>
  </si>
  <si>
    <t>470654 Черемша соленая 200 г В/У этик.</t>
  </si>
  <si>
    <t>122*48</t>
  </si>
  <si>
    <t>4 роля по 2500 в коробке / всего 10тыс в коробке</t>
  </si>
  <si>
    <t>ИП Суворова Екатерина</t>
  </si>
  <si>
    <t>Этикетка 7,5*11 см</t>
  </si>
  <si>
    <t>2102/2103</t>
  </si>
  <si>
    <t>7,5*11</t>
  </si>
  <si>
    <t>470790 Капуста квашеная кислая для щей 700 гр. этик.</t>
  </si>
  <si>
    <t>470158 Капуста маринованная ДИЕТ 500 г этик.</t>
  </si>
  <si>
    <t>470117 Имбирь маринованный 400 г этик.</t>
  </si>
  <si>
    <t>450357 Капуста квашеная с морковью 900 Круглое лето Этик д95 .</t>
  </si>
  <si>
    <t>ООО "Рыбный двор"</t>
  </si>
  <si>
    <t>Этикетка "Салака холодного копчения" 150гр</t>
  </si>
  <si>
    <t>90*100</t>
  </si>
  <si>
    <t>Мульти-пенка 5в1 Velvet</t>
  </si>
  <si>
    <t>105*140</t>
  </si>
  <si>
    <t>ООО "ФЭСТ"</t>
  </si>
  <si>
    <t>АПТЕЧКА ЗЕЛЕНЫЙ КРЕСТ</t>
  </si>
  <si>
    <t>82*108</t>
  </si>
  <si>
    <t>Комплект этикеток «Вяленая соломка из минтая» 60 г</t>
  </si>
  <si>
    <t>2065/2066</t>
  </si>
  <si>
    <t>76,88х90,68</t>
  </si>
  <si>
    <t>Комплект этикеток «Вяленая соломка из лосося» 60 г</t>
  </si>
  <si>
    <t>Комплект этикеток «Вяленые колбаски из лосося» 60 г</t>
  </si>
  <si>
    <t>2067/2068</t>
  </si>
  <si>
    <t>Сельдь атл. филе-кусочки в масле малосольная Атлантика 240 г</t>
  </si>
  <si>
    <t>2072/2073</t>
  </si>
  <si>
    <t>121*121/D88</t>
  </si>
  <si>
    <t>Сельдь атл. филе-кусочки в масле с луком Атлантика 240 г.</t>
  </si>
  <si>
    <t>2074/2075</t>
  </si>
  <si>
    <t>Сельдь атл. филе-кусочки в масле под лосось Атлантика 240 г.</t>
  </si>
  <si>
    <t>2074/2076</t>
  </si>
  <si>
    <t>ООО ОЗОН</t>
  </si>
  <si>
    <t>Сикер "Важно, что ешь"</t>
  </si>
  <si>
    <t>обязательна маркировка и роликов и коробок</t>
  </si>
  <si>
    <t>470810 Капуста квашеная с морковью 500 г (Global village). Этик .</t>
  </si>
  <si>
    <t>470235 Капуста квашеная с морковью 150 г ГОСТ этик.</t>
  </si>
  <si>
    <t>СОГЛАСОВАН / ЗАКАЗАТЬ ФОРМЫ</t>
  </si>
  <si>
    <t>470026 Ассорти Черри и корнишоны 500 г этик.</t>
  </si>
  <si>
    <t>ООО "Сарая СНГ"</t>
  </si>
  <si>
    <t>Этикетка Алсофт Плюс 500мл.(комлект)</t>
  </si>
  <si>
    <t>81*73</t>
  </si>
  <si>
    <t>(2 БИРКИ )  ЛИЦО 15000ТЫС 5000*3 / ОБОРОТ 15000ТЫС 5000*3</t>
  </si>
  <si>
    <t>Лого</t>
  </si>
  <si>
    <t>Желательно цвет подогнать примерно к позарошлому запуску на цифре по смук</t>
  </si>
  <si>
    <t>470224 Капуста с клюквой 500 г (Глобус) Бок этик.</t>
  </si>
  <si>
    <t>4 роля по 2500 в кор. / всего 10 000 в коробке</t>
  </si>
  <si>
    <t>470829 Огурцы корнишоны соленые 500 г (Green vitamin) этик.</t>
  </si>
  <si>
    <t>ООО "МЯСОКОМБИНАТ ЭКО" ( Бахрушино)</t>
  </si>
  <si>
    <t xml:space="preserve">Бахрушинъ Колбаса Московская Варено-копченая </t>
  </si>
  <si>
    <t>Бахрушинъ Сардельки с говядиной мини</t>
  </si>
  <si>
    <t>80*120</t>
  </si>
  <si>
    <t>470783 Капуста квашеная Фитнес 500г Дикси Этик.</t>
  </si>
  <si>
    <t>470234 Капуста квашеная с морковью и клюквой 800 г этик.</t>
  </si>
  <si>
    <t>470855 Огурцы соленые 600 г (Green vitamin) этик.</t>
  </si>
  <si>
    <t>470009 Аджика по домашнему 240 г этик.</t>
  </si>
  <si>
    <t xml:space="preserve"> </t>
  </si>
  <si>
    <t>470804 Капуста квашеная с морковью 450 гр бок Ваш выбор Этик.</t>
  </si>
  <si>
    <t>38*110</t>
  </si>
  <si>
    <t>470828 Имбирь маринованный 200 г "Green Vitamin" этик.</t>
  </si>
  <si>
    <t>470775 Морс из черной смородины 400 гр. 65х180 этик.</t>
  </si>
  <si>
    <t>одна коробка 10000 в коробке</t>
  </si>
  <si>
    <t>450349 Ассорти овощное 800 Маркет Fresh этик.</t>
  </si>
  <si>
    <t xml:space="preserve">Этикетка Новапродукт заменитель сахара 1200 лицевая Новасвит </t>
  </si>
  <si>
    <t>100.5*31.5</t>
  </si>
  <si>
    <t>"+"</t>
  </si>
  <si>
    <t>Намотка по 10000</t>
  </si>
  <si>
    <t>Этикетка Новапродукт заменитель сахара 1200 оборотная Новасвит</t>
  </si>
  <si>
    <t>Этикетка Новапродукт заменитель сахара Новасвит 650 боковая (узбекский+казахский)</t>
  </si>
  <si>
    <t>86.6*28</t>
  </si>
  <si>
    <t xml:space="preserve">Этикетка Новапродукт заменитель сахара 650 лицевая Ол'Лайт </t>
  </si>
  <si>
    <t>100 00</t>
  </si>
  <si>
    <t xml:space="preserve">Этикетка Новапродукт заменитель сахара 650 оборотная Ол'Лайт </t>
  </si>
  <si>
    <t xml:space="preserve">Двухфазный спрей Sistema с голографией </t>
  </si>
  <si>
    <t>Пленка PP суперпрозрачная</t>
  </si>
  <si>
    <t xml:space="preserve">ООО Меренга </t>
  </si>
  <si>
    <t>Эклер наполеон</t>
  </si>
  <si>
    <t>отправить в пятницу 15.05</t>
  </si>
  <si>
    <t xml:space="preserve"> Москва, Пермская 1 стр 7-8. Контакты приемки на складе Меренга :Женя рук склада 89252992868, Осим 89500029927</t>
  </si>
  <si>
    <t>обязательно</t>
  </si>
  <si>
    <t xml:space="preserve">обязательно </t>
  </si>
  <si>
    <t>Термоэтикетка 58*60мм  ЭКО</t>
  </si>
  <si>
    <t>58*60</t>
  </si>
  <si>
    <t>Термоэко</t>
  </si>
  <si>
    <t>Стикер "Важно, что ешь" D 70мм</t>
  </si>
  <si>
    <t>Барилла</t>
  </si>
  <si>
    <t>ООО Фосфорель</t>
  </si>
  <si>
    <t>Атлантика сельдь кусочки  малосольная 240гр</t>
  </si>
  <si>
    <t>D 110</t>
  </si>
  <si>
    <t>паспорта качества</t>
  </si>
  <si>
    <t>сами заберут в пятницу 15.05</t>
  </si>
  <si>
    <t xml:space="preserve">470241 Капуста с морковью 500 г (Хороший день) этик. </t>
  </si>
  <si>
    <t>СРОЧНЫЙ</t>
  </si>
  <si>
    <t>ВВ Этикетка цветная ВВ "Торт бенто клубника с днем рождения"</t>
  </si>
  <si>
    <t>Этикетка " колбаски из лосося вяленые" 150гр</t>
  </si>
  <si>
    <t>100*90</t>
  </si>
  <si>
    <t>паспорт качества, отвезти на ПВЗ СДЭК</t>
  </si>
  <si>
    <t>Оформила накладную СДЭК</t>
  </si>
  <si>
    <t>470821 Капуста квашеная с клюквой 500 г (Global village) этик.</t>
  </si>
  <si>
    <t>МПП Южное</t>
  </si>
  <si>
    <t>Логотип МПП Южное</t>
  </si>
  <si>
    <t>2160/2161</t>
  </si>
  <si>
    <t>58*120</t>
  </si>
  <si>
    <t>Термо Топ для глубокой заморозки</t>
  </si>
  <si>
    <t>2 ролика на 76 втулке по 300 шт.
4 ролика на 40 втулке по 100 шт.</t>
  </si>
  <si>
    <t>Краснодарский край, г. Гулькевичи, Территория Промзона 1 Г 8-918-032-19-47 Дарья, 9-18, пн-пт.</t>
  </si>
  <si>
    <t xml:space="preserve">470796 Огурцы соленые 1100 гр. бок Ваш выбор Этик. </t>
  </si>
  <si>
    <t>3 шт</t>
  </si>
  <si>
    <t xml:space="preserve">по10тыс в коробке </t>
  </si>
  <si>
    <t>Пенка-кератолик</t>
  </si>
  <si>
    <t>90*58</t>
  </si>
  <si>
    <t>Этикетка стикер Птитим хорека</t>
  </si>
  <si>
    <t>100х70</t>
  </si>
  <si>
    <t>ООО "Абиогрупп"</t>
  </si>
  <si>
    <t>Этикетка "мука кормовая животного происхождения (Птица)
сорт 1 70*99" бумага полуглянец каучуковый</t>
  </si>
  <si>
    <t>ЗАМЕНА ЧЕРНОЙ ФОРМЫ</t>
  </si>
  <si>
    <t>ООО ФОсфорель</t>
  </si>
  <si>
    <t>Этикетка "Атлантика кальмар горячего копчения 80гр"</t>
  </si>
  <si>
    <t>Клапан 70*30</t>
  </si>
  <si>
    <t>70х30</t>
  </si>
  <si>
    <t>120 000</t>
  </si>
  <si>
    <t>471036 Томаты ЛЕНТА соленые красные Черри 500г .</t>
  </si>
  <si>
    <t>ГОТОВО</t>
  </si>
  <si>
    <t>470240 Капуста с морковью 500 г (Глобус) этик.</t>
  </si>
  <si>
    <t>2500 лишние в отгрузку</t>
  </si>
  <si>
    <t xml:space="preserve"> 471012 Морковь по-корейски 350 г Этик. </t>
  </si>
  <si>
    <t>470249 Капуста квашеная с морковью 700 г этик.</t>
  </si>
  <si>
    <t>470512 Салат из спаржи по-корейски 200 г этик.</t>
  </si>
  <si>
    <t>ИП Ефимов</t>
  </si>
  <si>
    <t>Этикетка для моющих пылесосов лицо+оборот</t>
  </si>
  <si>
    <t>74*150</t>
  </si>
  <si>
    <t>Anowi</t>
  </si>
  <si>
    <t>Парфюм 30 мл</t>
  </si>
  <si>
    <t>32*42</t>
  </si>
  <si>
    <t>4*500</t>
  </si>
  <si>
    <t>Парфюмы 30 мл</t>
  </si>
  <si>
    <t>2*1000</t>
  </si>
  <si>
    <t>470394 Огурцы соленые 1000 г (Глобус) этик.</t>
  </si>
  <si>
    <t xml:space="preserve">ждем согласования </t>
  </si>
  <si>
    <t>470809 Капуста квашеная с морковью 500 г Дикси этик.</t>
  </si>
  <si>
    <t>Д110</t>
  </si>
  <si>
    <t>470797 Капуста квашеная сладкая 450 гр круг Ваш выбор Этик.</t>
  </si>
  <si>
    <t>Хелметекс</t>
  </si>
  <si>
    <t>Нейтрализатор для обуви Чай&amp;Мята, 50 мл</t>
  </si>
  <si>
    <t>58*99</t>
  </si>
  <si>
    <t xml:space="preserve">Новый заказчик, просьба проконтролировать качество </t>
  </si>
  <si>
    <t>пгт. Путилково Территория Гринвуд стр.35 офис 320 Голубкова Мария  89107297131</t>
  </si>
  <si>
    <t>470801 Капуста квашеная с хреном 450 гр круг Ваш выбор Этик.</t>
  </si>
  <si>
    <t>470761 Капуста квашеная с хреном 450 Вкуслинка 105х105 этик.</t>
  </si>
  <si>
    <t>д105</t>
  </si>
  <si>
    <t>Sistema Milk, Hot, Vol</t>
  </si>
  <si>
    <t>2145-2147</t>
  </si>
  <si>
    <t>3*10000</t>
  </si>
  <si>
    <t>Пленка метализированная акрил</t>
  </si>
  <si>
    <t>Дегидратирующие тоники</t>
  </si>
  <si>
    <t>2152-2159</t>
  </si>
  <si>
    <t>95*145</t>
  </si>
  <si>
    <t>8*10000</t>
  </si>
  <si>
    <t>Линейка Re:Born Спреи К + Р</t>
  </si>
  <si>
    <t>2169/2170</t>
  </si>
  <si>
    <t>90*110</t>
  </si>
  <si>
    <t>ВкусВилл Т/П Рис Ризотто 500 гр.</t>
  </si>
  <si>
    <t>25 000</t>
  </si>
  <si>
    <t>ООО "Рыбзавод "За Родину"</t>
  </si>
  <si>
    <t>Шпроты в масле из кильки стекло 270</t>
  </si>
  <si>
    <t>38*250</t>
  </si>
  <si>
    <t>ООО ОЗОН ВКУС</t>
  </si>
  <si>
    <t>Этикетка "ЯЛ Сэндвич с курицей и печёным перцем, кремчизом, шпинатом и мёдом с чесноком"</t>
  </si>
  <si>
    <t>в УПД, паспортах качества, логистических упаковках название этикетки должно полностью совпадать</t>
  </si>
  <si>
    <t>ООО Кимберли Кларк</t>
  </si>
  <si>
    <t>178*210</t>
  </si>
  <si>
    <t>42 000</t>
  </si>
  <si>
    <t>Оформилю накладную СДЭК</t>
  </si>
  <si>
    <t>прислать данные для печати SAP кодов</t>
  </si>
  <si>
    <t>61284565УК ЧЗ Накл/пакет S4 Mega 66х2 Дев</t>
  </si>
  <si>
    <t>61284566 УК ЧЗ Накл/пакет S5 Mega 56x2 Дев</t>
  </si>
  <si>
    <t>40 000</t>
  </si>
  <si>
    <t>61284576 УК ЧЗ Накл/пакет S5 Mega 56x2 Мал</t>
  </si>
  <si>
    <t>61284579 УК ЧЗ Накл/пакет S4 Giga 80x2 Мал</t>
  </si>
  <si>
    <t>61284580 УК ЧЗ Накл/пакет S4 Giga 80x2 Дев</t>
  </si>
  <si>
    <t>90 000</t>
  </si>
  <si>
    <t>ООО Люкс ЛК</t>
  </si>
  <si>
    <t>подводка НЕО</t>
  </si>
  <si>
    <t>25*98</t>
  </si>
  <si>
    <t>Этикетка "Сэндвич с тунцом и маринованным луком"</t>
  </si>
  <si>
    <t>470845 Капуста квашеная с морковью 300 г (Green vitamin) этик.</t>
  </si>
  <si>
    <t>Этикетка Алсофт Р дезинфицирующие салфетки</t>
  </si>
  <si>
    <t>83*130</t>
  </si>
  <si>
    <t xml:space="preserve"> нужен паспорт качества</t>
  </si>
  <si>
    <t>Кетейтирнг Технолоджи</t>
  </si>
  <si>
    <t>Гаспачо огуречный</t>
  </si>
  <si>
    <t>д=90</t>
  </si>
  <si>
    <t xml:space="preserve">Новый клиент, проконтролировать качество </t>
  </si>
  <si>
    <t>г. Москва, проезд Фрезер, дом 2, стр 13 (с 8 до 17 часов).
За 30 мин позвонить по тел. +79257247437 заказать пропуск на въезд на территорию.</t>
  </si>
  <si>
    <t>ООО ТПК ПРАГМА</t>
  </si>
  <si>
    <t>Этикетка Для Колбас Свиная</t>
  </si>
  <si>
    <t>d 105</t>
  </si>
  <si>
    <t xml:space="preserve">паспорт качества, УПД </t>
  </si>
  <si>
    <t>142833, Московская область, городской округ Ступино, село Семёновское, Берёзовая улица, 32 - этот адрес не всегда есть в навигаторе, в навигаторе ориентироваться 142833, Московская область, городской округ Ступино, село Семёновское, Совхозная улица 29 (это здание рядом). Контакт для связи: +7 963 970 32 80 Лариса Александровна руководитель обособленого подразделения</t>
  </si>
  <si>
    <t>Этикетка Домашние Колбасы</t>
  </si>
  <si>
    <t>паспорт качества, УПД</t>
  </si>
  <si>
    <t>Этикетка Для Колбас Баранья</t>
  </si>
  <si>
    <t xml:space="preserve">ООО Фосфорель </t>
  </si>
  <si>
    <t>Этикетка "Рыбная соломка с паприкой холодного копчения 90гр"</t>
  </si>
  <si>
    <t>ООО Рыбный двор</t>
  </si>
  <si>
    <t>Этикетка "Камбала вяленая 100гр</t>
  </si>
  <si>
    <t>80*130</t>
  </si>
  <si>
    <t>Этикетки "Креветки сушено-вяленые острые 40г"</t>
  </si>
  <si>
    <t>80*90</t>
  </si>
  <si>
    <t>Дегидратирующий тоник</t>
  </si>
  <si>
    <t>Двухфазный спрей Prof Adri 250 мл</t>
  </si>
  <si>
    <t>Хелатирующий шампунь TNL, 1000 мл</t>
  </si>
  <si>
    <t>150*230</t>
  </si>
  <si>
    <t>Мусс Curly, 150 мл</t>
  </si>
  <si>
    <t>100*140</t>
  </si>
  <si>
    <t>Крем-флюид CURLY, 150 мл</t>
  </si>
  <si>
    <t>90*137</t>
  </si>
  <si>
    <t>Этикетка "Пирожное Шу с вишней 160гр"</t>
  </si>
  <si>
    <t>обязательно маркировка  роликов и коробок и паспорт качества</t>
  </si>
  <si>
    <t>Перепечатка с заменой материала</t>
  </si>
  <si>
    <t>ООО Новапродукт АГ</t>
  </si>
  <si>
    <t>Этикетка Новапродукт заменитель сахара Новасвит 1200 боковая (узбекский+казахский)</t>
  </si>
  <si>
    <t>01.06.2026</t>
  </si>
  <si>
    <t>Этикетка «Белая рыба с грибами 150гр» Атлантика</t>
  </si>
  <si>
    <t>паспорта качества и обязательная маркировка коробок</t>
  </si>
  <si>
    <t>ООО"ФерЭльГам"</t>
  </si>
  <si>
    <t>2 коробки по 5000</t>
  </si>
  <si>
    <t>1 коробка по 10 тыс.</t>
  </si>
  <si>
    <t>3 коробки 10 тыс.</t>
  </si>
  <si>
    <t>Этикетка Новапродукт заменитель сахара 1200 лицевая Ол'Лайт</t>
  </si>
  <si>
    <t>паспорт качества+УПД</t>
  </si>
  <si>
    <t>Этикетка Новапродукт заменитель сахара 1200 оборотная Ол'Лайт</t>
  </si>
  <si>
    <t>ООО ТУАН</t>
  </si>
  <si>
    <t>Этикетка Эфиопия Йяйе</t>
  </si>
  <si>
    <t>45*110</t>
  </si>
  <si>
    <t>Печать по образцу, привезут на этой неделе, ждем!!!! ПРИЛАДКА</t>
  </si>
  <si>
    <t>ШК на роли</t>
  </si>
  <si>
    <t>2461-2465, 2540</t>
  </si>
  <si>
    <t>50*40</t>
  </si>
  <si>
    <t>2500+1775</t>
  </si>
  <si>
    <t xml:space="preserve"> *</t>
  </si>
  <si>
    <t>Этикетка Боливия Ява</t>
  </si>
  <si>
    <t>Этикетка Декаф Колумбия</t>
  </si>
  <si>
    <t>Этикетка «Эклер наполеон 3шт 165гр»</t>
  </si>
  <si>
    <t>СРОЧНЫЙ заказ на завтра 30 мая, паспорта качества и маркировка роликов и групповой упаковки обязательно</t>
  </si>
  <si>
    <t xml:space="preserve">2 коробки по 10 тыс. </t>
  </si>
  <si>
    <t>Этикетка термо топ</t>
  </si>
  <si>
    <t>паспорт качества, УПД 0</t>
  </si>
  <si>
    <t>ООО «РЗК Ресурс» ОП Белокалитвинское, 347041, Ростовская область, р-н Белокалитвинский, г. Белая Калитва, ул. Л.Толстого, дом № 30, РЗК Ресурс. КПП614245002;  (по пятницам, субботам и воскресеньям склад не работает) Киселенко Ирина 7 (988) 560-48-06</t>
  </si>
  <si>
    <t>Этикетка Ан-Нур Баранина</t>
  </si>
  <si>
    <t>Этикетка "ЯЛ Сэндвич Гриль -чиз болоньезе с песто "</t>
  </si>
  <si>
    <t>перед отгрузкой выложить УПД в ЭДО ,паспорта качества и маркировка роликов и групповой упаковки обязательно</t>
  </si>
  <si>
    <t>Этикетка "ЯЛ язык говяжий отварной"</t>
  </si>
  <si>
    <t>ООО ПФ "Павловская"</t>
  </si>
  <si>
    <t>Этикетка «Деликатесы из мяса»</t>
  </si>
  <si>
    <t>80*54</t>
  </si>
  <si>
    <t xml:space="preserve">обязательно паспорт качество и маркировка ролика </t>
  </si>
  <si>
    <t>заказываем формы , грам. ошибки в форме</t>
  </si>
  <si>
    <t>КФ Ресторан дома</t>
  </si>
  <si>
    <t>Салат Цезарь 180гр ВкусВилл</t>
  </si>
  <si>
    <t>60*365</t>
  </si>
  <si>
    <t>Произведен</t>
  </si>
  <si>
    <t>обязательно паспорта качества</t>
  </si>
  <si>
    <t>МО, г. Подольск, 38км Симферопольского шоссе, ВЛАДЕНИЕ 4.
Водители должны четко знать: 
- Они едут в Ресторан дома (длинный двойной шлагбаум прямо со съезда с трассы, после него — прямо под арку, далее на лево за здание, в ангаре ворота №3 — нужно отдать охране документы (в воротах номер 3 с права) и ждать своей ОЧЕРЕДИ на выгрузку).
- время выгрузки с 8:30 до 19:30 (машины заехавшие на территорию позже 19:20 НЕ ВЫГРУЗЯТ!) 
 Все данные для заказа пропусков на машины нужно отправлять заранее на почту: security2@svoyfermer.com.</t>
  </si>
  <si>
    <t>Салат Грин Энерджи 150гр ВкусВилл</t>
  </si>
  <si>
    <t>60*290</t>
  </si>
  <si>
    <t>ИП Шайхутдинов</t>
  </si>
  <si>
    <t>Этикетка Сахарная пудра 1000г</t>
  </si>
  <si>
    <t>100*270</t>
  </si>
  <si>
    <t>МО. г Королев мкр Болшево ул Советская 73 стр 1 , +79265538995</t>
  </si>
  <si>
    <t>Этикетка Альбумин 250мг 100х270</t>
  </si>
  <si>
    <t>МО. г Королев мкр Болшево ул Советская 73 стр 1, +79265538995</t>
  </si>
  <si>
    <t>Стикеры Сбер 44*74</t>
  </si>
  <si>
    <t>44*74</t>
  </si>
  <si>
    <t>3*15000</t>
  </si>
  <si>
    <t xml:space="preserve">Намотка по 75 шт, готовность на утро 3 числа </t>
  </si>
  <si>
    <t>Expert Edition 400 мл</t>
  </si>
  <si>
    <t>2326/2327</t>
  </si>
  <si>
    <t>130*170</t>
  </si>
  <si>
    <t xml:space="preserve">Липидная маска Adricoco 500 мл </t>
  </si>
  <si>
    <t>2493/2494</t>
  </si>
  <si>
    <t>д=83/65*280</t>
  </si>
  <si>
    <t>30 000 комплектов</t>
  </si>
  <si>
    <t>ООО Аралия</t>
  </si>
  <si>
    <t>Этикетка Bez Tarelok</t>
  </si>
  <si>
    <t>20*250</t>
  </si>
  <si>
    <t>заказ срочный отгрузка 05.06.26. с ТУАН</t>
  </si>
  <si>
    <t>Шампунь + Бальзам CURLY, 400 мл</t>
  </si>
  <si>
    <t>2579/2580</t>
  </si>
  <si>
    <t>Бальзам 15000 шт, шампунь 20000 шт</t>
  </si>
  <si>
    <t>ООО Кристель</t>
  </si>
  <si>
    <t>Этикетка альбумин 100мг 52х270 мм</t>
  </si>
  <si>
    <t>52*270</t>
  </si>
  <si>
    <t>470788 Капуста квашеная Кимчи по-корейски 400 г 110х110 этик.</t>
  </si>
  <si>
    <t>ИП Андерсон</t>
  </si>
  <si>
    <t>Этикетка Дымная мина красная 2с</t>
  </si>
  <si>
    <t>80*118</t>
  </si>
  <si>
    <t>УПД</t>
  </si>
  <si>
    <t>ПЭК Ярославль, Базовая улица, 2, Получатель 
тел 79201422826</t>
  </si>
  <si>
    <t>Этикетка Дымная мина белая 2с</t>
  </si>
  <si>
    <t>Этикетка Дымная мина синяя 2с</t>
  </si>
  <si>
    <t>470436 Огурцы соленые острые 500 г этик.</t>
  </si>
  <si>
    <t>2коробка по 5000</t>
  </si>
  <si>
    <t>470238 Капуста квашеная с морковью 300 г этик.</t>
  </si>
  <si>
    <t>4 коробка по 5000</t>
  </si>
  <si>
    <t>Сэндвич с курицей, печеным перцем, кремчизом, шпинатом и медом с чесноком</t>
  </si>
  <si>
    <t>УПД не выписываем это замена ( перепечатка)</t>
  </si>
  <si>
    <t>Этикетка «ЯЛ Сэндвич гриль -чиз болоньезе с песто»</t>
  </si>
  <si>
    <t>Этикетка Бенто торт арахисовый "из лавки"</t>
  </si>
  <si>
    <t xml:space="preserve">печатаем без лака, отправить важно 04.06.26 и выложить в эдо </t>
  </si>
  <si>
    <t>ООО «Ставропольский бройлер»</t>
  </si>
  <si>
    <t>58*75 Ресурс (охлажденка)</t>
  </si>
  <si>
    <t>2713/2716</t>
  </si>
  <si>
    <t>58*75</t>
  </si>
  <si>
    <t>100-200</t>
  </si>
  <si>
    <t>паспорт качества, УПД пустая</t>
  </si>
  <si>
    <t>ООО «Ставропольский бройлер» филиал «Мясоптицекомбинат «Невинномысский», расположенный по адресу: 357111, Ставропольский край, г. Невинномысск, ул. Матросова 10, КПП 264843001; Евглевская Елена 8-928-374-68-62</t>
  </si>
  <si>
    <t>56*75 Ресурс мультияз. (заморозка)</t>
  </si>
  <si>
    <t>2714/2717</t>
  </si>
  <si>
    <t>56*75</t>
  </si>
  <si>
    <t>60*140 Термотоп пустышка (заморозка)</t>
  </si>
  <si>
    <t>2715/2718</t>
  </si>
  <si>
    <t>60*140</t>
  </si>
  <si>
    <t>70*158</t>
  </si>
  <si>
    <t>10-20</t>
  </si>
  <si>
    <t>это с темиже формами только на термо эко. Им нужно тестировать матерал на принтере</t>
  </si>
  <si>
    <t xml:space="preserve">470552 Соус Сацебели острый 240 г этик. </t>
  </si>
  <si>
    <t>450842 Капуста квашеная с морковью 450 Вкуслинка 105х105 этик.</t>
  </si>
  <si>
    <t>Кейтеринг Технолоджи</t>
  </si>
  <si>
    <t>Лобио по-картлийски</t>
  </si>
  <si>
    <t>50*250</t>
  </si>
  <si>
    <t>470195 Капуста квашеная по-деревенски 500 г (Глобус) этик.</t>
  </si>
  <si>
    <t>2 коробки по 10 тыс.</t>
  </si>
  <si>
    <t>Этикетка Зеленый Крест размер 82*108 мм</t>
  </si>
  <si>
    <t>20 пачек по 500шт / 10 тыс. в коробке</t>
  </si>
  <si>
    <t>Этикетка Сендвич с тунцом и маринованным луком</t>
  </si>
  <si>
    <t>Липидный шампунь/Кондиционер стабилизатор Expert Line, 1000 мл</t>
  </si>
  <si>
    <t>2573/2574</t>
  </si>
  <si>
    <t>175*260</t>
  </si>
  <si>
    <t>2*3000</t>
  </si>
  <si>
    <t>Для кондиционера: мы ранее печатали заказ такой с фиолетовым цветом, только на шампунь, возможно форму фиолетовую из старого заказа можно использовать. Приладка в раб дни до 17:30 как обычно</t>
  </si>
  <si>
    <t>паспорта качества и логистические стикеры на ролик и групповую упаковку. В ЭДО до отправки выложить документы</t>
  </si>
  <si>
    <t>паспорт качества09.06.2026</t>
  </si>
  <si>
    <t xml:space="preserve">ООО Озон  вкус </t>
  </si>
  <si>
    <t xml:space="preserve">Этикетка "Сэндвич с тунцом и маринованным луком" </t>
  </si>
  <si>
    <t>обязательно паспорта качества, маркировка роликов и групповой упаковки 10.06.2026</t>
  </si>
  <si>
    <t>2500*1 сток</t>
  </si>
  <si>
    <t>Этикетка Клапан 70*30</t>
  </si>
  <si>
    <t>1 500 000</t>
  </si>
  <si>
    <t>450358 Капуста квашеная с морковью 250 Global Village Этик д95.этик.</t>
  </si>
  <si>
    <t>10 000 КОРОБКЕ / 2500*4</t>
  </si>
  <si>
    <t>Этикетка «Закуска к пиву» Sweet life</t>
  </si>
  <si>
    <t>90*165</t>
  </si>
  <si>
    <t>обязательно паспорта качества, маркировка роликов и групповой упаковки</t>
  </si>
  <si>
    <t>заказываю СДЭК</t>
  </si>
  <si>
    <t xml:space="preserve">Этикетка «Кета вяленая 70гр» </t>
  </si>
  <si>
    <t>Этикетка «Минтай филе кусочки вяленые»</t>
  </si>
  <si>
    <t>Этикетка "Мидии холодного копчения 80гр"</t>
  </si>
  <si>
    <t xml:space="preserve">Этикетка Bez Tarelok </t>
  </si>
  <si>
    <t>в отдельные коробеи</t>
  </si>
  <si>
    <t>ООО Жозефина</t>
  </si>
  <si>
    <t>470261 Капуста с морковью по-корейски 300 г этик.</t>
  </si>
  <si>
    <t>470810 Капуста квашеная с морковью 500 г (Global village). Этик</t>
  </si>
  <si>
    <t>470846 Капуста маринованная с морковью и шафраном 300 г</t>
  </si>
  <si>
    <t>Этикетка "Эклер наполеон 165гр"</t>
  </si>
  <si>
    <t>ООО Озон вкус</t>
  </si>
  <si>
    <t>470489 Помидоры_соленые_крас_Черри 500 г этик.</t>
  </si>
  <si>
    <t>5000 В КОРОБКЕ / 2500*2</t>
  </si>
  <si>
    <t>470851 Грибы соленые Опята 250 г этик.</t>
  </si>
  <si>
    <t xml:space="preserve">Термоэтикетка 58*100 </t>
  </si>
  <si>
    <t>ООО РУССКО</t>
  </si>
  <si>
    <t>Этикетка Лапша быстрого приготовления Чизи Рамен острый вкус</t>
  </si>
  <si>
    <t>100*70</t>
  </si>
  <si>
    <t>Пушкино, мкрн Мамонтовка, ул. Рабочая, 1, с3склад ЛигК,
с 9:00-17:00, въезд до 16:30,
89122505588, 8(495) 775-01-38</t>
  </si>
  <si>
    <t>Этикетка Лапша быстрого приготовления "Чизи Рамен" со вкусом чеддер</t>
  </si>
  <si>
    <t>Этикетка Лапша быстрого приготовления Чизи Рамен со вкусом сыра Чеддер и Маскарпоне</t>
  </si>
  <si>
    <t>Этикетка Лапша быстрого приготовления Чизи Рамен со вкусом острого перца Чили и сыра Чеддер</t>
  </si>
  <si>
    <t>470342-1 Морковь по-корейски 0,500кг. Круг.этик.</t>
  </si>
  <si>
    <t>УТВЕРЖДЕН</t>
  </si>
  <si>
    <t>ООО "Полезнотека"</t>
  </si>
  <si>
    <t xml:space="preserve">оборот ч/б в асортименте </t>
  </si>
  <si>
    <t>3001-3005</t>
  </si>
  <si>
    <t>50*150/64*45/80*80</t>
  </si>
  <si>
    <t>4.5 км</t>
  </si>
  <si>
    <t>Этикетка пломба</t>
  </si>
  <si>
    <t>30*200</t>
  </si>
  <si>
    <t>в отдельные коробки</t>
  </si>
  <si>
    <t>ООО МПП Южное</t>
  </si>
  <si>
    <t>Термочек 58*120 мм (76/2000)</t>
  </si>
  <si>
    <t>18 000</t>
  </si>
  <si>
    <t>паспорт качества, договор</t>
  </si>
  <si>
    <t>Термочек 58*120 мм (40/250)</t>
  </si>
  <si>
    <t>17 250</t>
  </si>
  <si>
    <t>Термочек 58*120 мм (40/500)</t>
  </si>
  <si>
    <t>8 000</t>
  </si>
  <si>
    <t>Гаспачо "по-Андалусски" ВВ</t>
  </si>
  <si>
    <t>д90</t>
  </si>
  <si>
    <t>Доставка 18.06 вместе с Голубыми образцами</t>
  </si>
  <si>
    <t>Проезд Фрезер , дом 2, Стр 13
Позвонить за 30 мин по тел 8(925)724-74-37 заказать пропуск на въезд</t>
  </si>
  <si>
    <t>лицевая цвет в асортименте</t>
  </si>
  <si>
    <t>55*130/125*125/20*55</t>
  </si>
  <si>
    <t>Этикетка отруб свиной ЧЕРНАЯ 100*100 мм (76/2000)</t>
  </si>
  <si>
    <t>Термопленка</t>
  </si>
  <si>
    <t>Этикетка отруб свиной КРАСНАЯ 100*100 мм (76/2000)</t>
  </si>
  <si>
    <t>470014 Ассорти овощное 1000 г Пятерка этик.</t>
  </si>
  <si>
    <t xml:space="preserve"> ПРАВКИ макет выслан на утверждение</t>
  </si>
  <si>
    <t>470639 Хренодер ядреный 240 г этик.</t>
  </si>
  <si>
    <t>470856 Черемша соленая 100 г В/У этик.</t>
  </si>
  <si>
    <t>ПРАВКИ макет выслан на утверждение</t>
  </si>
  <si>
    <t>Этикетка Маэстрия 58*90 мм (40/2000)</t>
  </si>
  <si>
    <t>58*90</t>
  </si>
  <si>
    <t>ООО Своя пекарня</t>
  </si>
  <si>
    <t>Этикетка стикер d 59</t>
  </si>
  <si>
    <t>D59</t>
  </si>
  <si>
    <t>о готовности заказа СООБЩИТЬ</t>
  </si>
  <si>
    <t>Оренбургская обл, г.Орск ул Просвещения 1 «А»  Александр 89878897206</t>
  </si>
  <si>
    <t>Этикетка стикер d25</t>
  </si>
  <si>
    <t>D25</t>
  </si>
  <si>
    <t>Этикетка стикер d45</t>
  </si>
  <si>
    <t>D45</t>
  </si>
  <si>
    <t xml:space="preserve"> 5 000</t>
  </si>
  <si>
    <t>И/Э 100*70 ИЗ ЛАВКИ Т/П Рис круглозерный 12х900г</t>
  </si>
  <si>
    <t>И/Э 100*70 ИЗ ЛАВКИ Т/П Пшено 12х900г</t>
  </si>
  <si>
    <t>Альянс Транзит</t>
  </si>
  <si>
    <t>Этикетка "Не вскрывать Термогруз"</t>
  </si>
  <si>
    <t>Этикетка температурный режим</t>
  </si>
  <si>
    <t>99*99</t>
  </si>
  <si>
    <t>ИП Свешникова</t>
  </si>
  <si>
    <t>Этикетка пустышка d40</t>
  </si>
  <si>
    <t>d 40</t>
  </si>
  <si>
    <t>Не требуется</t>
  </si>
  <si>
    <t xml:space="preserve">Город Липецк улица Московская 93 кв16  тел. 89513061399 Руслан
</t>
  </si>
  <si>
    <t>Голубые образцы 3 вида</t>
  </si>
  <si>
    <t>70*80</t>
  </si>
  <si>
    <t>3*50-100</t>
  </si>
  <si>
    <t>Доставка 18.06 вместе с Гаспачо "по-Андалусски"</t>
  </si>
  <si>
    <t>1 500</t>
  </si>
  <si>
    <t>приладка по образцу</t>
  </si>
  <si>
    <t>470255 Капуста с морковью и хреном 500 г (Глобус) этик.</t>
  </si>
  <si>
    <t>Этикетка Моя Кофемания</t>
  </si>
  <si>
    <t>SOS-спрей WEEL 200 мл</t>
  </si>
  <si>
    <t xml:space="preserve">Приладка как обычно в раб дни до 17:30 </t>
  </si>
  <si>
    <t>бобины в стрейч+короба</t>
  </si>
  <si>
    <t>SOS-спрей WEEL 100 мл</t>
  </si>
  <si>
    <t>80*115</t>
  </si>
  <si>
    <t>Мульти-пенка 5в1 Garden Bloom 150 мл</t>
  </si>
  <si>
    <t>Лого синий</t>
  </si>
  <si>
    <t xml:space="preserve">Автомобильный проезд 10с14, 89250465031 Эдуард (схема проезда в телеге) </t>
  </si>
  <si>
    <t>Термоэтикетка 58*60 Эко</t>
  </si>
  <si>
    <t>Термоэтикетка 58*100 Топ</t>
  </si>
  <si>
    <t>Оттеночный шампунь TNL Color Boom Flash Copper, 250 мл</t>
  </si>
  <si>
    <t>обязательно паспорта качества и маркировка каждой бобины и групповой упаковки</t>
  </si>
  <si>
    <t>ООО Озон Вкус</t>
  </si>
  <si>
    <t xml:space="preserve">Термоэтикетка 75*120 Эко </t>
  </si>
  <si>
    <t>75*120</t>
  </si>
  <si>
    <t>471032 Капуста ЛЕНТА квашеная с сахаром (Россия) 500г. этик.</t>
  </si>
  <si>
    <t>471034 Перец ЛЕНТА соленый острый 500г . этик.</t>
  </si>
  <si>
    <t>Салат из фасоли "Киркаш" Флекса</t>
  </si>
  <si>
    <t>Парфюмы 10 мл</t>
  </si>
  <si>
    <t>30*80</t>
  </si>
  <si>
    <t>Гаспачо огуречный с базиликом ВВ</t>
  </si>
  <si>
    <t>Клаб-сэндвич с ветчиной и сыром ВВ</t>
  </si>
  <si>
    <t>65*125</t>
  </si>
  <si>
    <t>Хелеметекс</t>
  </si>
  <si>
    <t>Нейтрализатор запаха универсальный, 500 мл Розовый</t>
  </si>
  <si>
    <t>105*85</t>
  </si>
  <si>
    <t>10000 комплектов</t>
  </si>
  <si>
    <t>ОБРАЗЕЦ ПРИЕДЕТ В ПН. По цвету ориентироваться на переданные образцы от клиента</t>
  </si>
  <si>
    <t>Нейтрализатор запаха универсальный Fresh, 500 мл Голубой</t>
  </si>
  <si>
    <t>Этикетка "Юдзу-вкус этого лета"</t>
  </si>
  <si>
    <t>нужно отправить с основыным заказом</t>
  </si>
  <si>
    <t xml:space="preserve">"ЯЛ Сэндвич с курицей и печёным перцем, кремчизом, шпинатом и мёдом с чесноком" </t>
  </si>
  <si>
    <t>Тестовая этикетка голубой пантон</t>
  </si>
  <si>
    <t>можно не резать на ролики , просто вырубить, тестируют именно пантон</t>
  </si>
  <si>
    <t>Тестовая этикетка голубой пантон фигурная</t>
  </si>
  <si>
    <t>Аралия</t>
  </si>
  <si>
    <t>Кристель</t>
  </si>
  <si>
    <t>Жозефина</t>
  </si>
  <si>
    <t>Гаспачо «Ремолача» с запеченной свеклой ВВ</t>
  </si>
  <si>
    <t xml:space="preserve">Этикетка "Атлантика крем-паста Минтай с грибами рубленый 150гр" </t>
  </si>
  <si>
    <t>г.Воронеж, проспект Патриотов, 65Н Герасимов Алексей 
+79932999262</t>
  </si>
  <si>
    <t>ИП Демидов</t>
  </si>
  <si>
    <t>Этикетка Дендробена СПОРТ-МИКС</t>
  </si>
  <si>
    <t>70*70</t>
  </si>
  <si>
    <t>Московская область, город Ивантеевка улица хлебозаводская д. 39а, Кафе пекарня "Булочка" Дмитрий 89099051505</t>
  </si>
  <si>
    <t>Этикетка Дендробена ЗЕЛЕНАЯ-XL</t>
  </si>
  <si>
    <t>Московская область, город Ивантеевка улица хлебозаводская д. 39а, Кафе пекарня "Булочка"</t>
  </si>
  <si>
    <t>ООО РБЕ</t>
  </si>
  <si>
    <t>Комплект стикеров (1743шт)</t>
  </si>
  <si>
    <t>3198/3199</t>
  </si>
  <si>
    <t>ассортимент</t>
  </si>
  <si>
    <t>7комплектов</t>
  </si>
  <si>
    <t xml:space="preserve">ламинация не на все стикеры!!!  упаковывать по комплектам </t>
  </si>
  <si>
    <t>Москва, Якиманский переулок д. 6 стр.1
С 10.00 до 16.00
Получатель: 89152248398 Инна</t>
  </si>
  <si>
    <t>ООО "ПРЕДПРИЯТИЕ "ФЭСТ"</t>
  </si>
  <si>
    <t>Этикетка "Аптечка у водителя"</t>
  </si>
  <si>
    <t>ОБРАТИТЬ ВНИМАНИЕ НА КРАСНЫЙ ПАНТОН , ОЧЕНЬ ВАЖНО</t>
  </si>
  <si>
    <t>20 пачек по 500 шт (5 бирок )</t>
  </si>
  <si>
    <t>КНАУФ</t>
  </si>
  <si>
    <t>этикетка ПРОФИЛЬ ПОТОЛОЧНЫЙ НАПРАВЛЯЮЩИЙ ,  этикетка ПРОФИЛЬ ПОТОЛОЧНЫЙ</t>
  </si>
  <si>
    <t>3278/3279</t>
  </si>
  <si>
    <t>НАПЕЧАТАТЬ  2 ВИДА НА РАЗНЫХ ПОСТАВЩИКАХ не должно быть просечек на материале , КЛЕЙ ДОЛЖЕН БЫТЬ ОЧЕНЬ ЛИПКИЙ</t>
  </si>
  <si>
    <t>82*102</t>
  </si>
  <si>
    <t>ТермоТоп Голубой</t>
  </si>
  <si>
    <t>ЗАКАЗ СРОЧНЫЙ! СДАЧА ПЯТНИЦА, МАКСИМУМ СУББОТА!!!!!</t>
  </si>
  <si>
    <t>Втулка 40. ЗАКАЗ СРОЧНЫЙ! СДАЧА ПЯТНИЦА, МАКСИМУМ СУББОТА!!!!!</t>
  </si>
  <si>
    <t>Салат из фасоли "Киркаш" Цифра</t>
  </si>
  <si>
    <t>450356 Хренодер классический 400 г (Дикси) этик.</t>
  </si>
  <si>
    <t>65x180</t>
  </si>
  <si>
    <t>Кофе ТВ</t>
  </si>
  <si>
    <t>Многоразовая застежка для пакета</t>
  </si>
  <si>
    <t>г. Домодедово, деревня Шишкино, 49с1
Часы работы: с 9:30 до 19:00, каждый день
Контактное лицо: +7(999)145-40-73 Виктория
Точка на карте: https://yandex.ru/maps/-/CLCgyO7H (зеленый забор с табличкой Торрефакто)</t>
  </si>
  <si>
    <t>ТермоТоп Цветные</t>
  </si>
  <si>
    <t>100*53</t>
  </si>
  <si>
    <t>3*105000</t>
  </si>
  <si>
    <t>Тест СофтТач лака Линейка ТачЛав/АдриЛав</t>
  </si>
  <si>
    <t>2*10</t>
  </si>
  <si>
    <t>Этикетка Автомобильная ФЭСТ приказ 260н шк 9063 (кр фут)</t>
  </si>
  <si>
    <t>120*165</t>
  </si>
  <si>
    <t>ДЕЛАЕМ БЛАНК , ПОПАСТЬ В ЭТИКЕТКУ ОТ ЗАКАЗЧИКА , НАМОТКА 2050</t>
  </si>
  <si>
    <t>1 бирку</t>
  </si>
  <si>
    <t>Этикетка "Юдзу вкус этого лета"</t>
  </si>
  <si>
    <t>ОЧЕНЬ ВАЖНО отгрузить в понедельник. как всегда доки в эдо , паспорта качества</t>
  </si>
  <si>
    <t>г. Москва , ул Мироновская 36</t>
  </si>
  <si>
    <t>470836 Салат Морковь по-корейски 400 г Магнит этик.</t>
  </si>
  <si>
    <t>470357 Напиток Рассол огуречный 240 г этик.</t>
  </si>
  <si>
    <t xml:space="preserve">470457 Перец соленый острый 200 г В/У этик. </t>
  </si>
  <si>
    <t xml:space="preserve">Бальзам + шампунь Nuar жидкое золото, 1000 мл </t>
  </si>
  <si>
    <t>3238/3239</t>
  </si>
  <si>
    <t>170*230</t>
  </si>
  <si>
    <t>Color Boom 400 мл Розовый блонд 2 вида Шампунь и Бальзам-маска</t>
  </si>
  <si>
    <t>3312/3313</t>
  </si>
  <si>
    <t>Стикер  160*45 пантон 304</t>
  </si>
  <si>
    <t>г. Москва , ул Мироновская 33</t>
  </si>
  <si>
    <t>Стикер 240*45 пантон 304</t>
  </si>
  <si>
    <t>г. Москва , ул Мироновская 35</t>
  </si>
  <si>
    <t>Стикер 76*118 пантон 304</t>
  </si>
  <si>
    <t>г. Москва , ул Мироновская 34</t>
  </si>
  <si>
    <t>470560 Спаржа по-корейски 200 г (Магнит) этик.</t>
  </si>
  <si>
    <t>Этикетка "Важно, что ешь"</t>
  </si>
  <si>
    <t>г. Москва , ул Мироновская 37</t>
  </si>
  <si>
    <t>471045 Капуста маринованная Три цитруса 350г. этик.</t>
  </si>
  <si>
    <t>Этикетка "Камбала вяленая 100гр"</t>
  </si>
  <si>
    <t>отгрузка в среду , можно раньше, паспорта качества. Просдедить чтобы положили документыУПД. Последние две поставки были без документов. Возможно не наша вина. Но достается мне</t>
  </si>
  <si>
    <t>Этикетка "Камбала вяленая 100гр" V2</t>
  </si>
  <si>
    <t>Этикетка Лапша быстрого приготовления Чизи Рамен со вкусом сыра Чеддер</t>
  </si>
  <si>
    <t>Этикетка ЛАПША БЫСТРОГО ПРИГОТОВЛЕНИЯ «РАМЕН НЕЖНЫЙ СО ВКУСОМ СЫРА»</t>
  </si>
  <si>
    <t>470226 Капуста с клюквой 500 г (ДИКСИ) этик.</t>
  </si>
  <si>
    <t>471049 Капуста маринованная "Диет" 350 г этик.</t>
  </si>
  <si>
    <t>470339 Морковь по-корейски 300 г этик.</t>
  </si>
  <si>
    <t>470706 Чеснок красный 250 г Дольки этик.</t>
  </si>
  <si>
    <t>ООО «Мэйджор Терминал»</t>
  </si>
  <si>
    <t>Стикер 80*125 без печати п/г</t>
  </si>
  <si>
    <t>80*125</t>
  </si>
  <si>
    <t>200-300</t>
  </si>
  <si>
    <t>М.О.   Истринский р-он, с. Павловская Слобода, ул. Ленина 85/2.
Заранее необходимо заказать пропуск.
 Виталий Рубцов +7 966 176 33 52</t>
  </si>
  <si>
    <t>Стикер 58*40 без печати  термо эко</t>
  </si>
  <si>
    <t>Стикер 46*70 без печати термо эко</t>
  </si>
  <si>
    <t>46*70</t>
  </si>
  <si>
    <t>Стикер 70*34 без печати термо эко</t>
  </si>
  <si>
    <t>70*34</t>
  </si>
  <si>
    <t>ООО Кимберли кларк</t>
  </si>
  <si>
    <t>61284489 T3 OD XPAD Накл/пакет S4 Jumbo 50x4</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</si>
  <si>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4505098722</t>
  </si>
  <si>
    <t>Московская область, г. Ступино , ул. Ситенка, влд. 15,
Телефон склада: 8 (910) 495-07-99</t>
  </si>
  <si>
    <t xml:space="preserve"> с штрихкодом по образцу Кимберли</t>
  </si>
  <si>
    <t>целые , без загрязнений и признаков эксплуатации</t>
  </si>
  <si>
    <t>61284497 T3 OD XPAD Накл/пакет S5 Jumbo 42x4</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</si>
  <si>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4505098723</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</si>
  <si>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4505098734</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</si>
  <si>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4505098721</t>
  </si>
  <si>
    <t>61284565 УК ЧЗ Накл/пакет S4 Mega 66х2 Дев</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</si>
  <si>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4505098724</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</si>
  <si>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4505098725</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</si>
  <si>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4505098726</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</si>
  <si>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4505098727</t>
  </si>
  <si>
    <t>61284577 УК ЧЗ Накл/пакет S3 Giga 94x2 Мал</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</si>
  <si>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4505098728</t>
  </si>
  <si>
    <t>61284578 УК ЧЗ Накл/пакет S3 Giga 94x2 Дев</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</si>
  <si>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4505098729</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</si>
  <si>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4505098730</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</si>
  <si>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4505098731</t>
  </si>
  <si>
    <t>61285169 НБ T5 Magic Наклейка/пакет S0 Jumbo 80х4</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</si>
  <si>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4505098736</t>
  </si>
  <si>
    <t>61285170 НБ T5 Magic Наклейка/пакет S1 Mega 84х2</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</si>
  <si>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4505098737</t>
  </si>
  <si>
    <t>61285174 НБ T5 Magic Наклейка/пакет S0 Conv 25х8</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</si>
  <si>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4505098738</t>
  </si>
  <si>
    <t>61285175 НБ T5 Magic Наклейка/пакет S1 Jumbo 50х2</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</si>
  <si>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4505098739</t>
  </si>
  <si>
    <t>61285176 НБ T5 Magic Наклейка/пакет S1 Giga 100х2</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</si>
  <si>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4505098740</t>
  </si>
  <si>
    <t>61285190 ЭС T5 Magic Наклейка/пакет S4 Conv 19х8</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</si>
  <si>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4505098741</t>
  </si>
  <si>
    <t>61285191 ЭС T5 Magic Наклейка/пакет S3 Jumbo 40х4</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</si>
  <si>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4505098742</t>
  </si>
  <si>
    <t>61285197 ЭС T5 Magic Наклейка/пакет S3 Conv 21х8</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</si>
  <si>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4505098743</t>
  </si>
  <si>
    <t>61285198 ЭС T5 Magic Наклейка/пакет S4 Mega 54х2</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</si>
  <si>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4505098744</t>
  </si>
  <si>
    <t>61285208 ЭС T5 Magic Наклейка/пакет S5 Conv 17х8</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</si>
  <si>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4505098745</t>
  </si>
  <si>
    <t>61285212 ЭС T5 Magic Наклейка/пакет S4 Jumbo 33х4</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</si>
  <si>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4505098746</t>
  </si>
  <si>
    <t>61285213 ЭС T5 Magic Наклейка/пакет S3 Mega 72х2</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</si>
  <si>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4505098747</t>
  </si>
  <si>
    <t>61285214 ЭС T5 Magic Наклейка/пакет S5 Mega 42х4</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</si>
  <si>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4505098748</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</si>
  <si>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4505098735</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</si>
  <si>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4505098732</t>
  </si>
  <si>
    <t>61284792 Белая наклейка 55х95 мм АЛ</t>
  </si>
  <si>
    <t>55*95</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</si>
  <si>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4505098733</t>
  </si>
  <si>
    <t>ООО «ЭНДЖОЙ ФУД»</t>
  </si>
  <si>
    <t>063211 – Этикетка, Попкорн карамельный с солёными крендельками 100х100</t>
  </si>
  <si>
    <t>Овечкин Константин</t>
  </si>
  <si>
    <t>01.07.2026</t>
  </si>
  <si>
    <t>ПОЖЕЛАНИЕ КЛИЕНТА: Наше пожелание: намотка по 1000 шт. Внутри втулки должно быть указано кол-во. Упаковка в короба, как вы и заявили.</t>
  </si>
  <si>
    <t xml:space="preserve">На склад-отделение логистической компании ПЭК, расположенный по адресу: Россия, Санкт-Петербург, 1-й Бадаевский пр., 11 </t>
  </si>
  <si>
    <t>068779_06 Этикетка, Попкорн «Дубайский шоколад» карамельно-шоколадный 80гр/100х100 мм(ВВ)</t>
  </si>
  <si>
    <t>"Проезд Фрезер , дом 2, Стр 13
Позвонить за 30 мин по тел 8(925)724-74-37 заказать пропуск на въезд"</t>
  </si>
  <si>
    <t>АО Прогресс</t>
  </si>
  <si>
    <t>Пустышка 45х74 мм</t>
  </si>
  <si>
    <t>Новая, ТЕСТ</t>
  </si>
  <si>
    <t>45х74</t>
  </si>
  <si>
    <t>не более 300 мм ролик</t>
  </si>
  <si>
    <t>Московская область, городской округ Серпухов, деревня Левашово, территория Квартал Б, д.1, стр.5. Бреева Надежда 8-915-082-96-73. ОРИГИНАЛ ПАСПОРТА КАЧЕСТВА ПЕРЕДАТЬ С РОЛИКОМ!!!</t>
  </si>
  <si>
    <t>ООО "Фосфорель"</t>
  </si>
  <si>
    <t>Этикетка «Белая рыба с грибами 150гр» Атлантика "</t>
  </si>
  <si>
    <t>оооочень срочый заказ. Паспорта качества и  УПД полодить в коробку  с этикеткой , коробку полписать "Документы" и положить на верх палеты</t>
  </si>
  <si>
    <t>согласовано</t>
  </si>
  <si>
    <t>470747 Чизолини Чечил этик.</t>
  </si>
  <si>
    <t>470746 Чизолини Чечил копченый этик.</t>
  </si>
  <si>
    <t xml:space="preserve">УПД в эдо выложить заранее. маркировка роликов  коробок, паспорт качества </t>
  </si>
  <si>
    <t>г. Москва , ул Мироновская 33 с1</t>
  </si>
  <si>
    <t xml:space="preserve">Термоэтикетка 58*100 термотоп </t>
  </si>
  <si>
    <t>58*100</t>
  </si>
  <si>
    <t>г. Москва , ул Мироновская 33 с 1</t>
  </si>
  <si>
    <t>Этикетка "ЯЛ Сэндвич Гриль-чиз болоньезе с песто "</t>
  </si>
  <si>
    <t>470557 Соус Шашлычный 240 г этик.</t>
  </si>
  <si>
    <t>Кофе 3 вида Комус</t>
  </si>
  <si>
    <t>3385/3387</t>
  </si>
  <si>
    <t>90*140</t>
  </si>
  <si>
    <t>3*2000</t>
  </si>
  <si>
    <t>470967 Огурчики малосольные по домашнему 500 гр этик.</t>
  </si>
  <si>
    <t>471035 Томаты ЛЕНТА соленые красные 1000 г. этик.</t>
  </si>
  <si>
    <t xml:space="preserve">согласовано , ждем когда Глеб закажит формы </t>
  </si>
  <si>
    <t>470812 Капуста квашеная по-гурийски 300 г (Green vitamin) этик.</t>
  </si>
  <si>
    <t>471002 Сыр Чечил Чизолини с укропом этик.</t>
  </si>
  <si>
    <t>все есть для печати , еще есть 2 вида чечила , можно запустить вместе ....</t>
  </si>
  <si>
    <t>Изменения: втулка 40, клейка авто</t>
  </si>
  <si>
    <t>Салат по-грузински ВВ</t>
  </si>
  <si>
    <t>60*300</t>
  </si>
  <si>
    <t>Дзержинкбытхим</t>
  </si>
  <si>
    <t>Стикер D 30мм без печати</t>
  </si>
  <si>
    <t>D 30</t>
  </si>
  <si>
    <t>папорт качества</t>
  </si>
  <si>
    <t>До термила на СДЭК в г Дзержинске Новгородской области</t>
  </si>
  <si>
    <t>Температурный режим 99*99 мм</t>
  </si>
  <si>
    <t>В печати</t>
  </si>
  <si>
    <t>Замена одной формы</t>
  </si>
  <si>
    <t>Термоэтикетка 58*100 топ</t>
  </si>
  <si>
    <t>Этикетка 76*118 пантон 304</t>
  </si>
  <si>
    <t>76*108</t>
  </si>
  <si>
    <t>печатаем без лака!!!</t>
  </si>
  <si>
    <t>Этикетка пломба 30*200 мм</t>
  </si>
  <si>
    <t>Нужно будет сдать в сдэк по накладной клиента (дам инфу позднее)</t>
  </si>
  <si>
    <t>471012 Морковь по-корейски 350 г Этик д110б этик.</t>
  </si>
  <si>
    <t xml:space="preserve"> 470853 Огурцы соленые 300 г в/у этик. </t>
  </si>
  <si>
    <t>Этикетка Дендробена ЗЕЛЕНАЯ</t>
  </si>
  <si>
    <t xml:space="preserve">470744 Чизолини Чечил копченый "Соломка" этик. </t>
  </si>
  <si>
    <t>Нейтрализатор запаха HelmeyexMed для средств реабилитации, 400 мл</t>
  </si>
  <si>
    <t>Печать цвета по образцу</t>
  </si>
  <si>
    <t>Нейтрализатор запаха HelmetexShoes для обуви, 100 мл</t>
  </si>
  <si>
    <t>79*120</t>
  </si>
  <si>
    <t>Нейтрализатор запаха HelmetexPets от запаха домашних животных, 100 мл</t>
  </si>
  <si>
    <t>Нейтрализатор запаха HelmetexHome для дома и одежды, 100 мл</t>
  </si>
  <si>
    <t>ооо Соки Ретро</t>
  </si>
  <si>
    <t>Этикетка 110*80 «МЕРЕНГОВЫЙ РУЛЕТ»</t>
  </si>
  <si>
    <t>110*80</t>
  </si>
  <si>
    <t>Логотип</t>
  </si>
  <si>
    <t>цветопроба на полуглянце без вырубки</t>
  </si>
  <si>
    <t>Парфюм 10 мл ч/б</t>
  </si>
  <si>
    <t>13*78</t>
  </si>
  <si>
    <t xml:space="preserve">Самовывоз </t>
  </si>
  <si>
    <t>470278 Капуста квашеная с морковью сладкая 500 г (Глобус) этик.</t>
  </si>
  <si>
    <t>ЗАКАЗАНЫ ФОРМЫ / БЛАНК ДЕЛАЛ ГЛЕБ</t>
  </si>
  <si>
    <t>470645 Черемша 500 г (Глобус) этик.</t>
  </si>
  <si>
    <t>Этикетка "Эклер наполеон 3шт"  165гр</t>
  </si>
  <si>
    <t>Антижир Shogen Professional, 500 мл</t>
  </si>
  <si>
    <t>5000 комлпектов</t>
  </si>
  <si>
    <t>ООО Вкусные истории</t>
  </si>
  <si>
    <t>50x110 Яндекс лавка сезонные фрукты</t>
  </si>
  <si>
    <t>50х110</t>
  </si>
  <si>
    <t>О готовности сообщить</t>
  </si>
  <si>
    <t>d60 Яндекс лавка фрукты и ягоды</t>
  </si>
  <si>
    <t>Д60</t>
  </si>
  <si>
    <t>50х110 Азбука вкусов Манго клубника</t>
  </si>
  <si>
    <t>Пленка PP прозрачная акрил</t>
  </si>
  <si>
    <t>470811 Аджика по-домашнему 220 г (Green vitamin) этик.</t>
  </si>
  <si>
    <t>ООО Полимер Стар</t>
  </si>
  <si>
    <t>Подводка 25*98 / 90*120 / 13 видов</t>
  </si>
  <si>
    <t>25*98/ 90*120</t>
  </si>
  <si>
    <t>6500 / 1300</t>
  </si>
  <si>
    <t>Размещен</t>
  </si>
  <si>
    <t xml:space="preserve"> ЖДЕМ ОПЛАТУ , согласование договора Этикетка 25*98 на пленке / Этикетка  90*120 на бумаге</t>
  </si>
  <si>
    <t xml:space="preserve">Термо чек </t>
  </si>
  <si>
    <t>72*58</t>
  </si>
  <si>
    <t>Размещен, Утвержден</t>
  </si>
  <si>
    <t>отгрузка строго 5 июня , обязательно паспорта качества</t>
  </si>
  <si>
    <t>Стикеры 40*50</t>
  </si>
  <si>
    <t>40*50</t>
  </si>
  <si>
    <t>470621 Хренодер "Аппетитка" 350 г этик.</t>
  </si>
  <si>
    <t>правки в слове Хранадер / Хренодер</t>
  </si>
  <si>
    <t>ООО Диета+</t>
  </si>
  <si>
    <t xml:space="preserve">Фарш говяжий 95х95 </t>
  </si>
  <si>
    <t>95х95</t>
  </si>
  <si>
    <t>Пленка PP белая каучук морозостойкий</t>
  </si>
  <si>
    <t>Заказ сырья</t>
  </si>
  <si>
    <t xml:space="preserve">О готовности сообщить. Контактнкую информацию допишу позже </t>
  </si>
  <si>
    <t>192236,Санкт-Петербург, ул.Софийская 6 корпус 2. ООО Диета18. Оставить на проходной для Ковтуна Сергея Анатольевича</t>
  </si>
  <si>
    <t>AdriLav 200 мл 3 макета</t>
  </si>
  <si>
    <t>3824-3825</t>
  </si>
  <si>
    <t>СДАЧА 14 числа!!!!</t>
  </si>
  <si>
    <t>Подгон цветов в цвет флакона везде!
По макетам: пантон 2036С = флакон светло-розовый
                      пантон 1915С = флакон малиновый. Приладка как обычно в раб дни до 17:30</t>
  </si>
  <si>
    <t>AdriLav 400 мл 5 макетов</t>
  </si>
  <si>
    <t>3818-3820</t>
  </si>
  <si>
    <t>AdriLav 1000 мл 5 макетов</t>
  </si>
  <si>
    <t>3821-3823</t>
  </si>
  <si>
    <t>ООО Вёрдазернопродукт</t>
  </si>
  <si>
    <t>Этикетка Вёрдазернопродукт Только мясо 100х100</t>
  </si>
  <si>
    <t>ТЕСТ, Повтор с изменениями</t>
  </si>
  <si>
    <t>100x100</t>
  </si>
  <si>
    <t>При отгрузке каждую ролик подписать. на самих бабинах+на втулке (кто и какой материал) + вложить паспорт качества.</t>
  </si>
  <si>
    <t>Этикетка Вёрдазернопродукт Обечайка цветная Р 340С</t>
  </si>
  <si>
    <t>ТЕСТ, Новая</t>
  </si>
  <si>
    <t>30x200</t>
  </si>
  <si>
    <t>Этикетка Вёрдазернопродукт Обечайка цветная Y</t>
  </si>
  <si>
    <t>Этикетка Вёрдазернопродукт Обечайка цветная P 485C</t>
  </si>
  <si>
    <t>При отгрузке каждый ролик подписать. на самих бабинах+на втулке (кто и какой материал) + вложить паспорт качества.</t>
  </si>
  <si>
    <t xml:space="preserve">391200, Рязанская область, Кораблинский район, Кипчаковское с/п, с.Кикино, производственная зона «Кикино» здание 1. Мелехин Сергей Анатольевич, +7 910 622-18-18. Время работы : с 8-00 до 17-00, пятница с 8-00 до 16-00, суббота и воскресенье- выходной. </t>
  </si>
  <si>
    <t>Laimon Fresh/Самокат/июль</t>
  </si>
  <si>
    <t>60*20</t>
  </si>
  <si>
    <t>Маркировка по рулонам и общий тираж: Laimon Fresh/Самокат/июль  (в рулоне 2500 шт, общий тираж 40100 шт)</t>
  </si>
  <si>
    <t>Этикетка ВВ "Торт замороженный блинный манго-маракуйя 470гр"</t>
  </si>
  <si>
    <t>76*358,5</t>
  </si>
  <si>
    <t>АО Кротекс</t>
  </si>
  <si>
    <t>Этикетка Твой дом (Собственное производство)</t>
  </si>
  <si>
    <t>d 45</t>
  </si>
  <si>
    <t>2 000</t>
  </si>
  <si>
    <t>Этикетка Твой дом (Орехи и сухофрукты)</t>
  </si>
  <si>
    <t>75*100</t>
  </si>
  <si>
    <t>Этикетка Твой дом (Фрукты и Овощи100% натурально)</t>
  </si>
  <si>
    <t>50*56,5</t>
  </si>
  <si>
    <t>АО Крокус</t>
  </si>
  <si>
    <t>Этикетка Твой Дом Вареники Вишня</t>
  </si>
  <si>
    <t>1 000</t>
  </si>
  <si>
    <t>16 000</t>
  </si>
  <si>
    <t>13 000</t>
  </si>
  <si>
    <t>Этикетка Твой Дом Вареники Картофель</t>
  </si>
  <si>
    <t>Этикетка Твой Дом Вареники Творог</t>
  </si>
  <si>
    <t>Этикетка Твой Дом "Бакинские огурцы"</t>
  </si>
  <si>
    <t>3 000</t>
  </si>
  <si>
    <t>Этикетка Твой Дом "Шашлык" "Свинина"</t>
  </si>
  <si>
    <t>d 160</t>
  </si>
  <si>
    <t>Этикетка Твой Дом "Шашлык"</t>
  </si>
  <si>
    <t xml:space="preserve"> да</t>
  </si>
  <si>
    <t>Этикетка Твой Дом для шашлыка "Баранина"</t>
  </si>
  <si>
    <t>Этикетка Твой Дом для шашлыка "Говядина и Свинина"</t>
  </si>
  <si>
    <t>Этикетка Твой Дом для шашлыка "Говядина"</t>
  </si>
  <si>
    <t>Этикетка Твой Дом для шашлыка "Курица"</t>
  </si>
  <si>
    <t>4 000</t>
  </si>
  <si>
    <t>Этикетка Твой дом Формат обрезной</t>
  </si>
  <si>
    <t>139*105</t>
  </si>
  <si>
    <t>11 000</t>
  </si>
  <si>
    <t>Этикетка Твой Дом стикер 30%</t>
  </si>
  <si>
    <t>d 35</t>
  </si>
  <si>
    <t>Этикетка Твой Дом стикер 50%</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</si>
  <si>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4505104020</t>
  </si>
  <si>
    <t>61284496 T3 OD XPAD Накл/пакет S3 Jumbo 58x2</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</si>
  <si>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4505104021</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</si>
  <si>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4505104022</t>
  </si>
  <si>
    <t>УК ЧЗ Накл/пакет S4 Mega 66х2 Дев</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</si>
  <si>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4505104023</t>
  </si>
  <si>
    <t>УК ЧЗ Накл/пакет S5 Mega 56x2 Дев</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</si>
  <si>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4505104024</t>
  </si>
  <si>
    <t>УК ЧЗ Накл/пакет S5 Giga 64x2 Дев</t>
  </si>
  <si>
    <t>45 000</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</si>
  <si>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4505104025</t>
  </si>
  <si>
    <t>УК ЧЗ Накл/пакет S4 Mega 66х2 Мал</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</si>
  <si>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4505104026</t>
  </si>
  <si>
    <t>УК ЧЗ Накл/пакет S5 Mega 56x2 Мал</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</si>
  <si>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4505104027</t>
  </si>
  <si>
    <t>УК ЧЗ Накл/пакет S4 Giga 80x2 Мал</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</si>
  <si>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4505104028</t>
  </si>
  <si>
    <t>УК ЧЗ Накл/пакет S4 Giga 80x2 Дев</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</si>
  <si>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4505104029</t>
  </si>
  <si>
    <t>УК ЧЗ Накл/пакет S5 Giga 64x2 Мал</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</si>
  <si>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4505104030</t>
  </si>
  <si>
    <t>НБ XPAD Наклейка/пакет S2 Giga 100х2</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</si>
  <si>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4505104031</t>
  </si>
  <si>
    <t>Наклейка на палету самоклеющаяся А5 АЛ</t>
  </si>
  <si>
    <t>44 100</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</si>
  <si>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4505104032</t>
  </si>
  <si>
    <t>НБ XPAD Наклейка/пакет S1 Giga 100х2</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</si>
  <si>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4505104033</t>
  </si>
  <si>
    <t>Белая наклейка 55х55 мм АЛ</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</si>
  <si>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4505104034</t>
  </si>
  <si>
    <t>НБ T5 Magic Наклейка/пакет S2 Jumbo 50х2</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</si>
  <si>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4505104035</t>
  </si>
  <si>
    <t>НБ T5 Magic Наклейка/пакет S2 Mega 82х2</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</si>
  <si>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4505104036</t>
  </si>
  <si>
    <t>НБ T5 Magic Наклейка/пакет S0 Conv 25х8</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</si>
  <si>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4505104037</t>
  </si>
  <si>
    <t>НБ T5 Magic Наклейка/пакет S1 Jumbo 50х2</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</si>
  <si>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4505104038</t>
  </si>
  <si>
    <t>НБ T5 Magic Наклейка/пакет S1 Giga 100х2</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</si>
  <si>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4505104039</t>
  </si>
  <si>
    <t>НБ T5 Magic Наклейка/пакет S2 Giga 100х2</t>
  </si>
  <si>
    <t>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4505104040</t>
  </si>
  <si>
    <t>Dry Oil Wild Curls 100 мл</t>
  </si>
  <si>
    <t>80*110</t>
  </si>
  <si>
    <t>Шампунь TNL Color Boom Cold Blond, 1000 мл</t>
  </si>
  <si>
    <t>ООО Полезнотека</t>
  </si>
  <si>
    <t>Лицо чурчхела (7видов)</t>
  </si>
  <si>
    <t>Утвержден</t>
  </si>
  <si>
    <t>отправка Мэджик Транс / Владикавказ</t>
  </si>
  <si>
    <t>Оборот чурчхела (4вида)</t>
  </si>
  <si>
    <t>Оборот чурчхела вишнёвая / гранатовая</t>
  </si>
  <si>
    <t>50*90</t>
  </si>
  <si>
    <t xml:space="preserve">Этикетка "Юдзу вкус этого лета" </t>
  </si>
  <si>
    <t xml:space="preserve">Этикетка "ЯЛ язык говяжий отварной" </t>
  </si>
  <si>
    <t>Артикул</t>
  </si>
  <si>
    <t>Погонные метры</t>
  </si>
  <si>
    <t>Статус</t>
  </si>
  <si>
    <t>Адрес доставки</t>
  </si>
  <si>
    <t>ПП</t>
  </si>
  <si>
    <t>Column 26</t>
  </si>
  <si>
    <t>Количество</t>
  </si>
  <si>
    <t>6000 (3 ролика по 2000)</t>
  </si>
  <si>
    <t>Дальпромрыба</t>
  </si>
  <si>
    <t>Рыбарь тунец макрелевый 9354</t>
  </si>
  <si>
    <t>4000 (4x1000)</t>
  </si>
  <si>
    <t>470845 Капуста квашеная с морковью</t>
  </si>
  <si>
    <t>Номер партии</t>
  </si>
  <si>
    <t>новая\повтор\повтор с изм</t>
  </si>
  <si>
    <t>Column 17</t>
  </si>
  <si>
    <t>Column 18</t>
  </si>
  <si>
    <t>Column 19</t>
  </si>
  <si>
    <t>Статус 2</t>
  </si>
  <si>
    <t>Column 21</t>
  </si>
  <si>
    <t>Column 22</t>
  </si>
  <si>
    <t>Column 23</t>
  </si>
  <si>
    <t>Column 24</t>
  </si>
  <si>
    <t>Column 25</t>
  </si>
  <si>
    <t xml:space="preserve">  </t>
  </si>
  <si>
    <t>Компания</t>
  </si>
  <si>
    <t>ИНН</t>
  </si>
  <si>
    <t>Дата обращения</t>
  </si>
  <si>
    <t>ПОИСК</t>
  </si>
  <si>
    <t>ООО "ЛЮКС ЛК"</t>
  </si>
  <si>
    <t>работаем / заключен договор</t>
  </si>
  <si>
    <t>ООО "ПОЛЕЗНОТЕКА"</t>
  </si>
  <si>
    <t>ООО "ФЕРЭЛЬГАМ"</t>
  </si>
  <si>
    <t>ООО "БЕРЕКЕТ"</t>
  </si>
  <si>
    <t>ООО «АРСАНИЯ»</t>
  </si>
  <si>
    <t>АО "АБИОГРУПП"</t>
  </si>
  <si>
    <t>ООО "ТК" ( СОК НАР)</t>
  </si>
  <si>
    <t>ТЕСТЫ / заключен договор</t>
  </si>
  <si>
    <t>ООО КНАУФ</t>
  </si>
  <si>
    <t>ТЕСТЫ / Ведутся переговоры</t>
  </si>
  <si>
    <t>ООО "КАЛЬЕ"</t>
  </si>
  <si>
    <t>Денисова Татьяна</t>
  </si>
  <si>
    <t>ООО "НТК "АЛЬЯНС ТРАНЗИТ"</t>
  </si>
  <si>
    <t>ООО "ПУЛЬСАР"</t>
  </si>
  <si>
    <t>ООО "МЕРГО"</t>
  </si>
  <si>
    <t>работаем</t>
  </si>
  <si>
    <t>ООО "НПО ЭМ-ЦЕНТР"</t>
  </si>
  <si>
    <t>ИП Шульпина Полина Дмитриевна/ИП Макаев Никита Олегович</t>
  </si>
  <si>
    <t>524921935900/131900861969</t>
  </si>
  <si>
    <t>ООО "ЛАДОГА-ФМ"</t>
  </si>
  <si>
    <t>ООО "РУСУПАК"</t>
  </si>
  <si>
    <t>ООО "КАРДИНАЛ"</t>
  </si>
  <si>
    <t>ООО «АГАТ-АВТО»</t>
  </si>
  <si>
    <t>ООО «АГАТ-АВТО Юг»</t>
  </si>
  <si>
    <t>ООО "А2"</t>
  </si>
  <si>
    <t>ТД Полиаэрпак</t>
  </si>
  <si>
    <t>переговоры/расчет</t>
  </si>
  <si>
    <t>ООО Елецкий мясокомбинат</t>
  </si>
  <si>
    <t>переговоры</t>
  </si>
  <si>
    <t>ООО «Компания «АНГСТРЕМ Трейдинг»,</t>
  </si>
  <si>
    <t>ООО «Аралия»</t>
  </si>
  <si>
    <t>ООО «Даламбер»</t>
  </si>
  <si>
    <t>ООО «Декаф»</t>
  </si>
  <si>
    <t>ООО «Кристель»</t>
  </si>
  <si>
    <t>ООО "Пифия"</t>
  </si>
  <si>
    <t>ООО «КОРНЕЛИУС»</t>
  </si>
  <si>
    <t>ООО «Ладиния»</t>
  </si>
  <si>
    <t>ООО «Жозефина»</t>
  </si>
  <si>
    <t>ООО «Кронекер»</t>
  </si>
  <si>
    <t>ООО «МАКСФЛАЙ»</t>
  </si>
  <si>
    <t xml:space="preserve">АО Милмонд </t>
  </si>
  <si>
    <t>ждут Честный знак/заключаем договор</t>
  </si>
  <si>
    <t>ООО "Прокофий"</t>
  </si>
  <si>
    <t>.</t>
  </si>
  <si>
    <t>ООО «Туан»</t>
  </si>
  <si>
    <t>АО "Макфа"</t>
  </si>
  <si>
    <t>переговоры, участвую в тендере</t>
  </si>
  <si>
    <t>ООО "БОБРОВСКИЙ СЫРОДЕЛЬНЫЙ ЗАВОД"</t>
  </si>
  <si>
    <t>работаем/договор заключен</t>
  </si>
  <si>
    <t>Агрофабрика Натурово</t>
  </si>
  <si>
    <t>АО Мясокомбинат Гвардейский</t>
  </si>
  <si>
    <t>ОАО « Махачкалинский мясокомбинат »</t>
  </si>
  <si>
    <t>ООО ОКОВЦЫ</t>
  </si>
  <si>
    <t>ООО «МПЗ Мясницкий ряд»</t>
  </si>
  <si>
    <t>ООО «НоваПродукт АГ»</t>
  </si>
  <si>
    <t>Мясокомбинат ЭКО</t>
  </si>
  <si>
    <t>работаем/заключен договор/тест</t>
  </si>
  <si>
    <t>ООО ТК «Ресурс-С»</t>
  </si>
  <si>
    <t>ООО «РЗК «Ресурс»</t>
  </si>
  <si>
    <t>ООО «СПАЙС СПАЙС»</t>
  </si>
  <si>
    <t>АО «Тандер»</t>
  </si>
  <si>
    <t>АО "Крокус"</t>
  </si>
  <si>
    <t>АО "Кротекс"</t>
  </si>
  <si>
    <t>ООО "ЦРТ"</t>
  </si>
  <si>
    <t>ООО "Гут Фиш"</t>
  </si>
  <si>
    <t>переговоры/ТЕСТ</t>
  </si>
  <si>
    <t xml:space="preserve">Ип Булат М. В. </t>
  </si>
  <si>
    <t xml:space="preserve">ИП Шайхутдинов А. Х. </t>
  </si>
  <si>
    <t>ООО "Вёрдазернопродукт"/ООО "Русская аграрная группа"</t>
  </si>
  <si>
    <t>6217006680/6230051868</t>
  </si>
  <si>
    <t>ООО ВЕСТПОИНТ</t>
  </si>
  <si>
    <t>переговоры, жду тз</t>
  </si>
  <si>
    <t>ООО "АГРОБАР ПРО"</t>
  </si>
  <si>
    <t>переговоры/ТЕСТ (проект отложили, жду тест)</t>
  </si>
  <si>
    <t>ООО ТД "ВЕТ-ЦЗДОР Продакт"</t>
  </si>
  <si>
    <t>NRG International</t>
  </si>
  <si>
    <t>ООО "Фабрика Аэрозолей"</t>
  </si>
  <si>
    <t xml:space="preserve"> (не прошли по цене). Летом +- в июле месяце буду стучаться ещё </t>
  </si>
  <si>
    <t>ООО "Первая Кубанская Макаронная Фабрика"</t>
  </si>
  <si>
    <t>переговоры/расчёты</t>
  </si>
  <si>
    <t>ООО Петроконсерв</t>
  </si>
  <si>
    <t>ООО «Уникальное Питание»</t>
  </si>
  <si>
    <t xml:space="preserve">не прошли по цене </t>
  </si>
  <si>
    <t>ООО "Буфетоф"</t>
  </si>
  <si>
    <t>ООО Маслозавод "Дружба"</t>
  </si>
  <si>
    <t>ООО "Промрегион 52"</t>
  </si>
  <si>
    <t>переговоры(игнор)</t>
  </si>
  <si>
    <t>ООО «Вкусная Сибирь"</t>
  </si>
  <si>
    <t>переговоры (переделывают макеты, +несезон)</t>
  </si>
  <si>
    <t>ООО "Белла"</t>
  </si>
  <si>
    <t xml:space="preserve">работаем/заключаем договор (ждут ЧЗ) </t>
  </si>
  <si>
    <t xml:space="preserve">ООО Нео Продукт </t>
  </si>
  <si>
    <t>переговоры/ ждут честный знак</t>
  </si>
  <si>
    <t>ООО Пречистенский  молочный продукт</t>
  </si>
  <si>
    <t>работаем / заключили договор</t>
  </si>
  <si>
    <t>ООО Нерия Торг</t>
  </si>
  <si>
    <t>АР Сергиево посадский мясокомбинат</t>
  </si>
  <si>
    <t>ООО "АМАВЕЛ"</t>
  </si>
  <si>
    <t xml:space="preserve">ООО "Ева Транзит" </t>
  </si>
  <si>
    <t>Крал-Консерв, ООО</t>
  </si>
  <si>
    <t>ООО Амекон-С</t>
  </si>
  <si>
    <t>ООО Политек Систем</t>
  </si>
  <si>
    <t>ООО Прагма</t>
  </si>
  <si>
    <t>ИП Шарипов Т.А.</t>
  </si>
  <si>
    <t>АО ЭКОС-1</t>
  </si>
  <si>
    <t>ООО Продтехнологии</t>
  </si>
  <si>
    <t>ТД Биопродукты</t>
  </si>
  <si>
    <t>М-Конс-1</t>
  </si>
  <si>
    <t>ООО РМК</t>
  </si>
  <si>
    <t>переговоры/ждут честный знак</t>
  </si>
  <si>
    <t>ООО Оливас</t>
  </si>
  <si>
    <t>ООО КМПК</t>
  </si>
  <si>
    <t>ООО Сырная Губерния</t>
  </si>
  <si>
    <t>ООО Фуд Милк</t>
  </si>
  <si>
    <t>ООО Космо бьюти</t>
  </si>
  <si>
    <t>ООО Стэлмас</t>
  </si>
  <si>
    <t>ООО Союзпищепром</t>
  </si>
  <si>
    <t>ООО Агрохолдинг Новотроицкий, ООО Новомилк</t>
  </si>
  <si>
    <t>ООО Орехпром</t>
  </si>
  <si>
    <t>ООО Позитив</t>
  </si>
  <si>
    <t>ООО Рижский хлеб</t>
  </si>
  <si>
    <t>ООО Русский Аппетит</t>
  </si>
  <si>
    <t>переговоры/жду тендер</t>
  </si>
  <si>
    <t>ООО Сафари Кофе Трейдинг</t>
  </si>
  <si>
    <t>ООО Коломенский холдинг</t>
  </si>
  <si>
    <t>ООО «Серволюкс Посад»</t>
  </si>
  <si>
    <t>заключен договор/жду тендер</t>
  </si>
  <si>
    <t>Катрин</t>
  </si>
  <si>
    <t xml:space="preserve">работаем </t>
  </si>
  <si>
    <t>ООО ПАРФЮМ КОСМЕТИК СЕРВИС</t>
  </si>
  <si>
    <t>ООО"ОКТОПРАЙМ"</t>
  </si>
  <si>
    <t>ООО"ТП"КОМПАНИЯ НВН"</t>
  </si>
  <si>
    <t>ВЛАСЯН ВЛАДИМИР</t>
  </si>
  <si>
    <t>ПЕРЕГОВОРЫ</t>
  </si>
  <si>
    <t>Мясокомбинат ЭКО / Барушинский МК</t>
  </si>
  <si>
    <t>5007055103/        
5007079665</t>
  </si>
  <si>
    <t xml:space="preserve">ПЕРЕГОВОРЫ / тесты </t>
  </si>
  <si>
    <t>ООО «Сарая СНГ»</t>
  </si>
  <si>
    <t>ООО Вкусные Истории</t>
  </si>
  <si>
    <t>переговоры/расчёты/тест</t>
  </si>
  <si>
    <t>ООО "СОЛЬ ЗЕМЛИ"</t>
  </si>
  <si>
    <t>ООО Хелметекс</t>
  </si>
  <si>
    <t>ООО Айкап</t>
  </si>
  <si>
    <t>Заключение договора</t>
  </si>
  <si>
    <t xml:space="preserve">
ИП Волков А.Е. (Smart)</t>
  </si>
  <si>
    <t xml:space="preserve">переговоры/тест </t>
  </si>
  <si>
    <t xml:space="preserve">ТД Нефтемагистраль </t>
  </si>
  <si>
    <t>Арт Лайн</t>
  </si>
  <si>
    <t>ООО ЙУМИ</t>
  </si>
  <si>
    <t>ООО НЕРТА-СЕРВИС</t>
  </si>
  <si>
    <t xml:space="preserve">ООО АВАЛ ПЛЮС </t>
  </si>
  <si>
    <t>ООО "ИНСТАНТА РУС"</t>
  </si>
  <si>
    <t>ждем честный знак , кофе...</t>
  </si>
  <si>
    <t>ООО "СЕВЕРИНА"</t>
  </si>
  <si>
    <t>ООО ТИПОГРАФИЯ ПОЛИГРАФ МЕДИА ГРУПП (ПМГ)</t>
  </si>
  <si>
    <t>КФХ "ЭКО-ФЕРМА "ДЕЛЕН"</t>
  </si>
  <si>
    <t>ООО «Валдай» (Волдайский погребок)</t>
  </si>
  <si>
    <t>просчёт/переговоры</t>
  </si>
  <si>
    <t>ООО ДЕАРТ ГРУПП</t>
  </si>
  <si>
    <t>переговоры/расчёт</t>
  </si>
  <si>
    <t>ООО "Дат-Лайн"</t>
  </si>
  <si>
    <t xml:space="preserve">ждем честный знак </t>
  </si>
  <si>
    <t>ООО "ТЕХНИКА КИНО" "ТЕХНИКА +"</t>
  </si>
  <si>
    <t>Договор подписан / работаем</t>
  </si>
  <si>
    <t>ООО «Кнейссми»</t>
  </si>
  <si>
    <t>отсутствует/не находит</t>
  </si>
  <si>
    <t>им нужна цифра с белилами и трафарет</t>
  </si>
  <si>
    <t>легранд</t>
  </si>
  <si>
    <t>камапак</t>
  </si>
  <si>
    <t>работали</t>
  </si>
  <si>
    <t>пищепром</t>
  </si>
  <si>
    <t>айсбери</t>
  </si>
  <si>
    <t>автобибика</t>
  </si>
  <si>
    <t>фосфорель</t>
  </si>
  <si>
    <t>лакрин</t>
  </si>
  <si>
    <t>оско</t>
  </si>
  <si>
    <t>триумф красоты</t>
  </si>
  <si>
    <t>акватерра</t>
  </si>
  <si>
    <t>астрадермика</t>
  </si>
  <si>
    <t>экопол</t>
  </si>
  <si>
    <t>рикко</t>
  </si>
  <si>
    <t>норвин</t>
  </si>
  <si>
    <t>криветки</t>
  </si>
  <si>
    <t>АМС</t>
  </si>
  <si>
    <t>озон вкус</t>
  </si>
  <si>
    <t>поляна</t>
  </si>
  <si>
    <t>буйский химзавод</t>
  </si>
  <si>
    <t>экос 1</t>
  </si>
  <si>
    <t>металист</t>
  </si>
  <si>
    <t>рокакемикалс</t>
  </si>
  <si>
    <t>дзержинкс быт хим</t>
  </si>
  <si>
    <t>Эфко</t>
  </si>
  <si>
    <t>смоленский комбинат хлебопрод</t>
  </si>
  <si>
    <t>щелковоагрохим</t>
  </si>
  <si>
    <t>орионикс</t>
  </si>
  <si>
    <t>дарксайд</t>
  </si>
  <si>
    <t>нет материала</t>
  </si>
  <si>
    <t>ГК Вик</t>
  </si>
  <si>
    <t>АО Фаберлик</t>
  </si>
  <si>
    <t>отправлено КП</t>
  </si>
  <si>
    <t>царь упаковка л-пак</t>
  </si>
  <si>
    <t>мелькомбинат</t>
  </si>
  <si>
    <t>изоарт</t>
  </si>
  <si>
    <t>симко</t>
  </si>
  <si>
    <t>магистраль нн</t>
  </si>
  <si>
    <t>холдинг коломеский</t>
  </si>
  <si>
    <t>русское поле</t>
  </si>
  <si>
    <t>НИИМЕСТПРОМ</t>
  </si>
  <si>
    <t>нерпа</t>
  </si>
  <si>
    <t>грандтрейд</t>
  </si>
  <si>
    <t>гигиена дез</t>
  </si>
  <si>
    <t>русинхим</t>
  </si>
  <si>
    <t>юговский комбинат моол прод</t>
  </si>
  <si>
    <t>не прошли</t>
  </si>
  <si>
    <t>химэтика</t>
  </si>
  <si>
    <t>профихом</t>
  </si>
  <si>
    <t>прогресс</t>
  </si>
  <si>
    <t>ясные зори</t>
  </si>
  <si>
    <t>АВС фарбен</t>
  </si>
  <si>
    <t>волжские краски</t>
  </si>
  <si>
    <t>хома</t>
  </si>
  <si>
    <t>либай</t>
  </si>
  <si>
    <t>иней</t>
  </si>
  <si>
    <t>стройоптторгр</t>
  </si>
  <si>
    <t>белгород бройлер</t>
  </si>
  <si>
    <t>СКБМ</t>
  </si>
  <si>
    <t>эдамский сад</t>
  </si>
  <si>
    <t>рост</t>
  </si>
  <si>
    <t>сангрия</t>
  </si>
  <si>
    <t>дамате</t>
  </si>
  <si>
    <t>тосол синтез</t>
  </si>
  <si>
    <t>бинова</t>
  </si>
  <si>
    <t>ника хим</t>
  </si>
  <si>
    <t>вайт групп</t>
  </si>
  <si>
    <t>лп групп</t>
  </si>
  <si>
    <t>прохим</t>
  </si>
  <si>
    <t>веда</t>
  </si>
  <si>
    <t>Рыбный двор</t>
  </si>
  <si>
    <t>АО "Прогресс" (Фрутоняня)</t>
  </si>
  <si>
    <t>подписываем договор</t>
  </si>
  <si>
    <t xml:space="preserve">ООО Ингредика </t>
  </si>
  <si>
    <t>ООО НИКОН</t>
  </si>
  <si>
    <t>"ЮПЛАСТ-ЧЕРНОЗЕМЬЕ"</t>
  </si>
  <si>
    <t>подготовка КП</t>
  </si>
  <si>
    <t>ООО "Абар"</t>
  </si>
  <si>
    <t>переговоры/расчёт/ сильно не прошли по цене</t>
  </si>
  <si>
    <t>ООО "Саратовская Кондитерская Фабрика"</t>
  </si>
  <si>
    <t>ИП Суткевич Л.В.</t>
  </si>
  <si>
    <t>ООО ИППИН</t>
  </si>
  <si>
    <t>Переговоры/расчёт</t>
  </si>
  <si>
    <t>ООО Лакра Синтез</t>
  </si>
  <si>
    <t>ИП ЛЕБЕДЕВ А. В. - БЕРЕЖКОВСКАЯ СЫРОВАРНЯ</t>
  </si>
  <si>
    <t>Переговоры/пришлют тз</t>
  </si>
  <si>
    <t>ООО "Б-ПРИНТ"</t>
  </si>
  <si>
    <t>ООО «Вайт принт»</t>
  </si>
  <si>
    <t>ООО "КЕЙТЕРИНГ ТЕХНОЛОДЖИ"</t>
  </si>
  <si>
    <t>ООО КОМПАНИЯ "ДУКАТ"</t>
  </si>
  <si>
    <t>ООО ТД «ХЛЕБТОРГ»</t>
  </si>
  <si>
    <t>ООО КФ «Ресторан дома»</t>
  </si>
  <si>
    <t>ООО "Сибагро"</t>
  </si>
  <si>
    <t>кп</t>
  </si>
  <si>
    <t>ООО "Славкофе"</t>
  </si>
  <si>
    <t>Переговоры/Тендер/Белила/Трафарет/</t>
  </si>
  <si>
    <t>ЗАО "АКЗО НОБЕЛЬ ДЕКОР"</t>
  </si>
  <si>
    <t>ООО Белмолпродукт</t>
  </si>
  <si>
    <t>ООО ПАРЛИ</t>
  </si>
  <si>
    <t>Переговоры / кп / расчёт</t>
  </si>
  <si>
    <t>ООО "ЗАВОД КМ"</t>
  </si>
  <si>
    <t>ООО "Грин Рэй Кубань"</t>
  </si>
  <si>
    <t>Участвую в тендерах</t>
  </si>
  <si>
    <t>ООО «РКЗ-Тавр»</t>
  </si>
  <si>
    <t xml:space="preserve">ООО «Новый Дом» </t>
  </si>
  <si>
    <t>АО Унагранде Компани</t>
  </si>
  <si>
    <t>Верде</t>
  </si>
  <si>
    <t>ООО «Щекиноазот-БХ»</t>
  </si>
  <si>
    <t>переговоры/тест</t>
  </si>
  <si>
    <t>ООО «СДОБС ФУДС»</t>
  </si>
  <si>
    <t xml:space="preserve">Переговоры/расчёт </t>
  </si>
  <si>
    <t>ООО "АГРИВОЛГА"</t>
  </si>
  <si>
    <t xml:space="preserve">Прошли по цене, жду размещения заказа  </t>
  </si>
  <si>
    <t>ООО "ТК "Зелёная грядка"</t>
  </si>
  <si>
    <t>ООО Традиции Вкуса</t>
  </si>
  <si>
    <t>ООО "Агролива"</t>
  </si>
  <si>
    <t>ООО "Фитнес ФУД"</t>
  </si>
  <si>
    <t>ГЛИМС-ПРОДАКШН АО</t>
  </si>
  <si>
    <t>ООО ДЕСЯТОЕ КОРОЛЕВСТВО</t>
  </si>
  <si>
    <t xml:space="preserve">ООО ЛАБОРАТОРИЯ ЭДЕЛЬ </t>
  </si>
  <si>
    <t>ООО МИРЛИС</t>
  </si>
  <si>
    <t>ООО ПОЛИСЕРВИС</t>
  </si>
  <si>
    <t xml:space="preserve">ООО ПРОДЖЕКТ ТАЙМ И К </t>
  </si>
  <si>
    <t>ООО "МЕДИТЕЛЛ"</t>
  </si>
  <si>
    <t>ООО "РПХ СРС"</t>
  </si>
  <si>
    <t>Смоленский КХП</t>
  </si>
  <si>
    <t>ООО Кофе пью</t>
  </si>
  <si>
    <t>ООО «Юговской Комбинат Молочных Продуктов»</t>
  </si>
  <si>
    <t>Noyer (пищевое производство)</t>
  </si>
  <si>
    <t>ООО ФИРМА "БИОКОР"</t>
  </si>
  <si>
    <t>ООО "КОФЕ ТФ"</t>
  </si>
  <si>
    <t>Работаем</t>
  </si>
  <si>
    <t>ООО АВД ПРОДАКТ</t>
  </si>
  <si>
    <t>ООО "МПК ТВЕРЕЦКИЙ"</t>
  </si>
  <si>
    <t>расчеты</t>
  </si>
  <si>
    <t>ООО "СМП "МАРК - IV"</t>
  </si>
  <si>
    <t>ООО «ЭКО ПРОДУКТ»</t>
  </si>
  <si>
    <t>расчеты / переговоры</t>
  </si>
  <si>
    <t>ООО «Сикамор Фудс»</t>
  </si>
  <si>
    <t>ООО «Органик Логос»</t>
  </si>
  <si>
    <t>ООО «Вита-Стандарт»</t>
  </si>
  <si>
    <t>расчеты / сильно не прошли по цене</t>
  </si>
  <si>
    <t>Универсальные пищевые технологии</t>
  </si>
  <si>
    <t>ООО "ФАБРИКА СТМ"</t>
  </si>
  <si>
    <t>ИП Соколова Елена Владимировна</t>
  </si>
  <si>
    <t>ООО «БИОФАРМАТ»</t>
  </si>
  <si>
    <t>ООО «Метафарм»</t>
  </si>
  <si>
    <t>ООО «Инитиум-фарм» «PROVITERA»</t>
  </si>
  <si>
    <t>ООО смарт фуд Солюшнз</t>
  </si>
  <si>
    <t xml:space="preserve">Денисова Татьяна </t>
  </si>
  <si>
    <t>заключение договора/расчеты</t>
  </si>
  <si>
    <t>ООО ПРОВКУСНО</t>
  </si>
  <si>
    <t>РАБОТАЕМ</t>
  </si>
  <si>
    <t>ООО ИНТЕРКАФЕ</t>
  </si>
  <si>
    <t>ООО Золотые традиции</t>
  </si>
  <si>
    <t>АО Пуратос</t>
  </si>
  <si>
    <t>ООО "ПРЕМИУМ МИКС"</t>
  </si>
  <si>
    <t>ООО Заречное поле</t>
  </si>
  <si>
    <t>Расчёт/переговоры. Ждём ЧЗ</t>
  </si>
  <si>
    <t>ООО «Своя пекарня»</t>
  </si>
  <si>
    <t>ООО Оптимикс</t>
  </si>
  <si>
    <t>расчет/переговоры</t>
  </si>
  <si>
    <t xml:space="preserve">ООО ООО «ТРИ-С ФУД РИТЕЙЛ» «Бояринъ» Midori </t>
  </si>
  <si>
    <t>ООО «ФИТОКОСМЕТИК»</t>
  </si>
  <si>
    <t>Переговоры</t>
  </si>
  <si>
    <t>ООО ТРИУС</t>
  </si>
  <si>
    <t>Расчёт/Переговоры</t>
  </si>
  <si>
    <t>ООО КОЛОМЕНСКОЕ</t>
  </si>
  <si>
    <t>Переговоры/Расчёт</t>
  </si>
  <si>
    <t>ООО Компания у Палыча</t>
  </si>
  <si>
    <t>ООО Дядя Ваня Трейдинг</t>
  </si>
  <si>
    <t>ООО "ТПК "Привопье"</t>
  </si>
  <si>
    <t>ООО «Добросот»</t>
  </si>
  <si>
    <t>Доровор подписан / работаем</t>
  </si>
  <si>
    <t>ООО МИКСИТ</t>
  </si>
  <si>
    <t>ООО Арго</t>
  </si>
  <si>
    <t>ООО "ТЕХКОРМ НУТРИШЕН"</t>
  </si>
  <si>
    <t>Тендер, участвую</t>
  </si>
  <si>
    <t>ООО "ДАЛЬПРОМРЫБА"</t>
  </si>
  <si>
    <t>ООО "КОРОНА-ФУД"</t>
  </si>
  <si>
    <t>ООО "ЮНИОН-ФУД"</t>
  </si>
  <si>
    <t>ООО ФРУТТИ / BE TRUE</t>
  </si>
  <si>
    <t>ПРОИЗВОДСТВЕННЫЙ ХОЛДИНГ МЕРКУРИЙ</t>
  </si>
  <si>
    <t>Тендер, участвую/переговоры</t>
  </si>
  <si>
    <t>ООО ВКУС МИРА</t>
  </si>
  <si>
    <t>ООО "Династия Вкуса"</t>
  </si>
  <si>
    <t>АО "САХАЛИН-РЫБА" Красная Икра</t>
  </si>
  <si>
    <t>ООО «Здравсервис» г. Ставрополь</t>
  </si>
  <si>
    <t>Тендер, участвую / Не прошли</t>
  </si>
  <si>
    <t>ООО "АГРОЭКО-ЮГ"</t>
  </si>
  <si>
    <t xml:space="preserve">Озон  </t>
  </si>
  <si>
    <t>Русагро</t>
  </si>
  <si>
    <t>переговоры встреча на выставке</t>
  </si>
  <si>
    <t>ООО Лидер</t>
  </si>
  <si>
    <t>заключение договора</t>
  </si>
  <si>
    <t xml:space="preserve">ООО "Знаменский СГЦ"
</t>
  </si>
  <si>
    <t>Баранов Алекс</t>
  </si>
  <si>
    <t>ООО Кари</t>
  </si>
  <si>
    <t>Бизнес кар</t>
  </si>
  <si>
    <t>АО ТК Центр</t>
  </si>
  <si>
    <t>М.видео-Эльдорадо</t>
  </si>
  <si>
    <t>ТК Блеск</t>
  </si>
  <si>
    <t>Переговоры/расчет</t>
  </si>
  <si>
    <t>АО "Омпк"</t>
  </si>
  <si>
    <t>ООО ГРИН ПАУЭР</t>
  </si>
  <si>
    <t>ООО АГРОИМПЭКС</t>
  </si>
  <si>
    <t>ООО ПАРУС ЛОГИСТИК</t>
  </si>
  <si>
    <t>ООО "24 Вкуса"</t>
  </si>
  <si>
    <t>ООО «Глобус Джус»</t>
  </si>
  <si>
    <t>ООО "ТК "БЛАГО"</t>
  </si>
  <si>
    <t>Зарегистрирован на тендерной площадке/участвую в тендерах/переговоры</t>
  </si>
  <si>
    <t>ООО «Скандипакк»</t>
  </si>
  <si>
    <t>ООО "ЧАСТНАЯ ПИВОВАРНЯ "АФАНАСИЙ"</t>
  </si>
  <si>
    <t>ООО Экопродукт</t>
  </si>
  <si>
    <t>Расчеты/заключение договора</t>
  </si>
  <si>
    <t>ООО Вербицкие</t>
  </si>
  <si>
    <t>ООО "Морской меридиан"</t>
  </si>
  <si>
    <t>ПАО «ВымпелКом»</t>
  </si>
  <si>
    <t>Расчёт / Тендер</t>
  </si>
  <si>
    <t>ООО «ГЛОБАЛ ПЕТФУД»</t>
  </si>
  <si>
    <t>ООО "ТК Лето"</t>
  </si>
  <si>
    <t>ROVERBAR - ООО "ПК "Натуральные напитки"</t>
  </si>
  <si>
    <t>Переговоры/расчет/ Не прошли</t>
  </si>
  <si>
    <t>ИП Летуновский</t>
  </si>
  <si>
    <t>ООО Марк IV</t>
  </si>
  <si>
    <t>ООО Диетика</t>
  </si>
  <si>
    <t>ООО «Деликатес Дичь»</t>
  </si>
  <si>
    <t>Перговоры. Сезон ближе к зиме</t>
  </si>
  <si>
    <t>ООО «Удмуртская птицефабрика»</t>
  </si>
  <si>
    <t>Переговоры/Тендер/Расчет</t>
  </si>
  <si>
    <t>АО "Новбытхим"</t>
  </si>
  <si>
    <t>ООО «Завод Невохим» ГК «Невохим»</t>
  </si>
  <si>
    <t>ООО "АЛЛЕЯ ГРУПП"</t>
  </si>
  <si>
    <t>ООО Комос Групп</t>
  </si>
  <si>
    <t>Переговоры/тендер/расчет</t>
  </si>
  <si>
    <t>Мясокомбинат "Иней"</t>
  </si>
  <si>
    <t>Переговоры/расчёт/ТЕСТ</t>
  </si>
  <si>
    <t>ИП Рябчук Е.П.</t>
  </si>
  <si>
    <t>ООО "ЛУТОВ СНЭК ГРУПП"</t>
  </si>
  <si>
    <t>Переговоры, жду тз для расчёта</t>
  </si>
  <si>
    <t>ООО ТД «ЕКГФ»</t>
  </si>
  <si>
    <t>Зарегистрирован на тендерной площадке/жду тендер/</t>
  </si>
  <si>
    <t>Идеология Еды</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</si>
</sst>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 m"/>
    <numFmt numFmtId="166" formatCode="yyyy/m"/>
  </numFmts>
  <fonts count="89">
    <font>
      <sz val="10.0"/>
      <color rgb="FF000000"/>
      <name val="Roboto"/>
      <scheme val="minor"/>
    </font>
    <font>
      <b/>
      <sz val="14.0"/>
      <color theme="1"/>
      <name val="Roboto"/>
    </font>
    <font>
      <sz val="16.0"/>
      <color theme="1"/>
      <name val="Roboto"/>
    </font>
    <font>
      <sz val="17.0"/>
      <color theme="1"/>
      <name val="Roboto"/>
    </font>
    <font>
      <sz val="14.0"/>
      <color theme="1"/>
      <name val="Roboto"/>
    </font>
    <font>
      <sz val="11.0"/>
      <color theme="1"/>
      <name val="Roboto"/>
    </font>
    <font>
      <sz val="12.0"/>
      <color theme="1"/>
      <name val="Roboto"/>
    </font>
    <font>
      <sz val="13.0"/>
      <color theme="1"/>
      <name val="Roboto"/>
    </font>
    <font>
      <sz val="18.0"/>
      <color theme="1"/>
      <name val="Roboto"/>
    </font>
    <font>
      <color theme="1"/>
      <name val="Roboto"/>
    </font>
    <font>
      <sz val="14.0"/>
      <color theme="1"/>
      <name val="Roboto"/>
      <scheme val="minor"/>
    </font>
    <font>
      <sz val="16.0"/>
      <color theme="1"/>
      <name val="Roboto"/>
      <scheme val="minor"/>
    </font>
    <font>
      <sz val="17.0"/>
      <color theme="1"/>
      <name val="Roboto"/>
      <scheme val="minor"/>
    </font>
    <font>
      <sz val="11.0"/>
      <color theme="1"/>
      <name val="Roboto"/>
      <scheme val="minor"/>
    </font>
    <font>
      <sz val="12.0"/>
      <color theme="1"/>
      <name val="Roboto"/>
      <scheme val="minor"/>
    </font>
    <font>
      <color theme="1"/>
      <name val="Roboto"/>
      <scheme val="minor"/>
    </font>
    <font>
      <sz val="13.0"/>
      <color theme="1"/>
      <name val="Roboto"/>
      <scheme val="minor"/>
    </font>
    <font>
      <sz val="18.0"/>
      <color theme="1"/>
      <name val="Roboto"/>
      <scheme val="minor"/>
    </font>
    <font>
      <sz val="14.0"/>
      <color theme="1"/>
      <name val="Calibri"/>
    </font>
    <font>
      <sz val="16.0"/>
      <color theme="1"/>
      <name val="Calibri"/>
    </font>
    <font>
      <b/>
      <sz val="14.0"/>
      <color theme="1"/>
      <name val="Roboto"/>
      <scheme val="minor"/>
    </font>
    <font>
      <sz val="10.0"/>
      <color theme="1"/>
      <name val="Roboto"/>
      <scheme val="minor"/>
    </font>
    <font>
      <sz val="16.0"/>
      <color rgb="FF2C2D2E"/>
      <name val="Arial"/>
    </font>
    <font>
      <sz val="18.0"/>
      <color rgb="FF000000"/>
      <name val="Arial"/>
    </font>
    <font>
      <b/>
      <sz val="14.0"/>
      <color rgb="FF434343"/>
      <name val="Roboto"/>
    </font>
    <font>
      <sz val="18.0"/>
      <color rgb="FF0C0D0E"/>
      <name val="Arial"/>
    </font>
    <font>
      <sz val="14.0"/>
      <color rgb="FF2C2D2E"/>
      <name val="Arial"/>
    </font>
    <font>
      <sz val="11.0"/>
      <color rgb="FF2C2D2E"/>
      <name val="Arial"/>
    </font>
    <font>
      <sz val="11.0"/>
      <color rgb="FF000000"/>
      <name val="Arial"/>
    </font>
    <font>
      <b/>
      <sz val="13.0"/>
      <color theme="1"/>
      <name val="Roboto"/>
      <scheme val="minor"/>
    </font>
    <font>
      <sz val="12.0"/>
      <color rgb="FF2C2D2E"/>
      <name val="&quot;Arial&quot;"/>
    </font>
    <font>
      <b/>
      <sz val="14.0"/>
      <color rgb="FFFF0000"/>
      <name val="Roboto"/>
      <scheme val="minor"/>
    </font>
    <font>
      <sz val="9.0"/>
      <color theme="1"/>
      <name val="Roboto"/>
      <scheme val="minor"/>
    </font>
    <font>
      <sz val="16.0"/>
      <color theme="1"/>
      <name val="Arial"/>
    </font>
    <font>
      <sz val="17.0"/>
      <color theme="1"/>
      <name val="Arial"/>
    </font>
    <font>
      <sz val="14.0"/>
      <color theme="1"/>
      <name val="Arial"/>
    </font>
    <font>
      <sz val="18.0"/>
      <color rgb="FF2C2D2E"/>
      <name val="Arial"/>
    </font>
    <font>
      <sz val="11.0"/>
      <color rgb="FF000000"/>
      <name val="Calibri"/>
    </font>
    <font>
      <b/>
      <sz val="11.0"/>
      <color rgb="FF2C2D2E"/>
      <name val="Roboto"/>
      <scheme val="minor"/>
    </font>
    <font>
      <sz val="11.0"/>
      <color rgb="FF2C2D2E"/>
      <name val="Helvetica"/>
    </font>
    <font>
      <b/>
      <sz val="15.0"/>
      <color theme="1"/>
      <name val="Roboto"/>
      <scheme val="minor"/>
    </font>
    <font>
      <b/>
      <sz val="18.0"/>
      <color theme="1"/>
      <name val="Roboto"/>
      <scheme val="minor"/>
    </font>
    <font>
      <sz val="16.0"/>
      <color theme="1"/>
      <name val="&quot;Times New Roman&quot;"/>
    </font>
    <font>
      <sz val="12.0"/>
      <color theme="1"/>
      <name val="Arial"/>
    </font>
    <font>
      <sz val="15.0"/>
      <color theme="1"/>
      <name val="Roboto"/>
      <scheme val="minor"/>
    </font>
    <font>
      <sz val="17.0"/>
      <color rgb="FF000000"/>
      <name val="Roboto"/>
    </font>
    <font>
      <sz val="17.0"/>
      <color rgb="FF434343"/>
      <name val="Roboto"/>
    </font>
    <font>
      <sz val="15.0"/>
      <color theme="1"/>
      <name val="Arial"/>
    </font>
    <font>
      <sz val="17.0"/>
      <color theme="1"/>
      <name val="&quot;Times New Roman&quot;"/>
    </font>
    <font>
      <b/>
      <sz val="11.0"/>
      <color rgb="FF000000"/>
      <name val="Arial"/>
    </font>
    <font>
      <sz val="11.0"/>
      <color rgb="FF2C2D2E"/>
      <name val="Roboto"/>
    </font>
    <font>
      <sz val="17.0"/>
      <color rgb="FF2C2D2E"/>
      <name val="Roboto"/>
    </font>
    <font>
      <sz val="18.0"/>
      <color rgb="FF2C2D2E"/>
      <name val="Roboto"/>
    </font>
    <font>
      <sz val="19.0"/>
      <color rgb="FF2C2D2E"/>
      <name val="Arial"/>
    </font>
    <font>
      <b/>
      <sz val="14.0"/>
      <color theme="1"/>
      <name val="Arial"/>
    </font>
    <font>
      <sz val="17.0"/>
      <color rgb="FF2C2D2E"/>
      <name val="Arial"/>
    </font>
    <font>
      <sz val="10.0"/>
      <color theme="1"/>
      <name val="Roboto"/>
    </font>
    <font>
      <sz val="17.0"/>
      <color rgb="FF2C2D2E"/>
      <name val="&quot;Times New Roman&quot;"/>
    </font>
    <font>
      <sz val="17.0"/>
      <color rgb="FF000000"/>
      <name val="Arial"/>
    </font>
    <font>
      <sz val="15.0"/>
      <color rgb="FF2C2D2E"/>
      <name val="Arial"/>
    </font>
    <font>
      <sz val="13.0"/>
      <color rgb="FFFF0000"/>
      <name val="Roboto"/>
    </font>
    <font>
      <sz val="14.0"/>
      <color rgb="FF000000"/>
      <name val="Roboto"/>
    </font>
    <font>
      <b/>
      <sz val="13.0"/>
      <color theme="1"/>
      <name val="Roboto"/>
    </font>
    <font>
      <sz val="17.0"/>
      <color theme="1"/>
      <name val="&quot;Calibri&quot;"/>
    </font>
    <font>
      <sz val="11.0"/>
      <color rgb="FF000000"/>
      <name val="&quot;Open Sans&quot;"/>
    </font>
    <font>
      <b/>
      <color rgb="FF783F04"/>
      <name val="Roboto"/>
      <scheme val="minor"/>
    </font>
    <font>
      <b/>
      <sz val="14.0"/>
      <color rgb="FF7F6000"/>
      <name val="Roboto"/>
      <scheme val="minor"/>
    </font>
    <font>
      <sz val="12.0"/>
      <color theme="1"/>
      <name val="Calibri"/>
    </font>
    <font>
      <sz val="11.0"/>
      <color rgb="FF35383B"/>
      <name val="Rubik"/>
    </font>
    <font>
      <sz val="12.0"/>
      <color rgb="FF000000"/>
      <name val="&quot;Times New Roman&quot;"/>
    </font>
    <font>
      <strike/>
      <color theme="1"/>
      <name val="Roboto"/>
      <scheme val="minor"/>
    </font>
    <font>
      <sz val="11.0"/>
      <color rgb="FF000000"/>
      <name val="DefaultFont"/>
    </font>
    <font>
      <sz val="12.0"/>
      <color rgb="FF000000"/>
      <name val="DefaultFont"/>
    </font>
    <font>
      <sz val="11.0"/>
      <color rgb="FF333333"/>
      <name val="Open Sans"/>
    </font>
    <font>
      <sz val="12.0"/>
      <color rgb="FF000000"/>
      <name val="Arial"/>
    </font>
    <font>
      <sz val="11.0"/>
      <color rgb="FF1C1C1C"/>
      <name val="&quot;Graphik RBC LC&quot;"/>
    </font>
    <font>
      <sz val="11.0"/>
      <color rgb="FF000000"/>
      <name val="Open Sans"/>
    </font>
    <font>
      <sz val="11.0"/>
      <color rgb="FF000000"/>
      <name val="SuppmanBaseFont"/>
    </font>
    <font>
      <sz val="11.0"/>
      <color rgb="FF1C1C1C"/>
      <name val="Arial"/>
    </font>
    <font>
      <sz val="10.0"/>
      <color rgb="FF08000A"/>
      <name val="Roboto"/>
    </font>
    <font>
      <sz val="11.0"/>
      <color rgb="FF000000"/>
      <name val="Roboto"/>
    </font>
    <font>
      <color rgb="FF000000"/>
      <name val="Arial"/>
    </font>
    <font>
      <sz val="11.0"/>
      <color rgb="FF111111"/>
      <name val="Arial"/>
    </font>
    <font>
      <sz val="11.0"/>
      <color rgb="FF111111"/>
      <name val="DefaultFont"/>
    </font>
    <font>
      <color rgb="FF000000"/>
      <name val="Roboto"/>
      <scheme val="minor"/>
    </font>
    <font>
      <sz val="11.0"/>
      <color rgb="FF333333"/>
      <name val="Roboto"/>
      <scheme val="minor"/>
    </font>
    <font>
      <sz val="11.0"/>
      <color rgb="FF333333"/>
      <name val="Verdana"/>
    </font>
    <font>
      <sz val="12.0"/>
      <color rgb="FF3A3A3A"/>
      <name val="Roboto"/>
    </font>
    <font>
      <color rgb="FF000000"/>
      <name val="SuppmanBaseFont"/>
    </font>
  </fonts>
  <fills count="21">
    <fill>
      <patternFill patternType="none"/>
    </fill>
    <fill>
      <patternFill patternType="lightGray"/>
    </fill>
    <fill>
      <patternFill patternType="solid">
        <fgColor rgb="FF356854"/>
        <bgColor rgb="FF356854"/>
      </patternFill>
    </fill>
    <fill>
      <patternFill patternType="solid">
        <fgColor rgb="FFC9DAF8"/>
        <bgColor rgb="FFC9DAF8"/>
      </patternFill>
    </fill>
    <fill>
      <patternFill patternType="solid">
        <fgColor rgb="FF93C47D"/>
        <bgColor rgb="FF93C47D"/>
      </patternFill>
    </fill>
    <fill>
      <patternFill patternType="solid">
        <fgColor rgb="FFB6D7A8"/>
        <bgColor rgb="FFB6D7A8"/>
      </patternFill>
    </fill>
    <fill>
      <patternFill patternType="solid">
        <fgColor rgb="FFFFFFFF"/>
        <bgColor rgb="FFFFFFFF"/>
      </patternFill>
    </fill>
    <fill>
      <patternFill patternType="solid">
        <fgColor rgb="FFF9CB9C"/>
        <bgColor rgb="FFF9CB9C"/>
      </patternFill>
    </fill>
    <fill>
      <patternFill patternType="solid">
        <fgColor rgb="FF9FC5E8"/>
        <bgColor rgb="FF9FC5E8"/>
      </patternFill>
    </fill>
    <fill>
      <patternFill patternType="solid">
        <fgColor rgb="FFFFFF00"/>
        <bgColor rgb="FFFFFF00"/>
      </patternFill>
    </fill>
    <fill>
      <patternFill patternType="solid">
        <fgColor rgb="FFFF00FF"/>
        <bgColor rgb="FFFF00FF"/>
      </patternFill>
    </fill>
    <fill>
      <patternFill patternType="solid">
        <fgColor rgb="FFEA9999"/>
        <bgColor rgb="FFEA9999"/>
      </patternFill>
    </fill>
    <fill>
      <patternFill patternType="solid">
        <fgColor rgb="FFF6F8F9"/>
        <bgColor rgb="FFF6F8F9"/>
      </patternFill>
    </fill>
    <fill>
      <patternFill patternType="solid">
        <fgColor rgb="FFD9EAD3"/>
        <bgColor rgb="FFD9EAD3"/>
      </patternFill>
    </fill>
    <fill>
      <patternFill patternType="solid">
        <fgColor rgb="FFFFE599"/>
        <bgColor rgb="FFFFE599"/>
      </patternFill>
    </fill>
    <fill>
      <patternFill patternType="solid">
        <fgColor rgb="FFF4CCCC"/>
        <bgColor rgb="FFF4CCCC"/>
      </patternFill>
    </fill>
    <fill>
      <patternFill patternType="solid">
        <fgColor rgb="FFF3F3F3"/>
        <bgColor rgb="FFF3F3F3"/>
      </patternFill>
    </fill>
    <fill>
      <patternFill patternType="solid">
        <fgColor rgb="FFF1F1F1"/>
        <bgColor rgb="FFF1F1F1"/>
      </patternFill>
    </fill>
    <fill>
      <patternFill patternType="solid">
        <fgColor rgb="FFF4F4F5"/>
        <bgColor rgb="FFF4F4F5"/>
      </patternFill>
    </fill>
    <fill>
      <patternFill patternType="solid">
        <fgColor rgb="FFF4F4F4"/>
        <bgColor rgb="FFF4F4F4"/>
      </patternFill>
    </fill>
    <fill>
      <patternFill patternType="solid">
        <fgColor rgb="FFF6F4EF"/>
        <bgColor rgb="FFF6F4EF"/>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n">
        <color rgb="FF999999"/>
      </left>
      <right style="thin">
        <color rgb="FF999999"/>
      </right>
      <top style="thin">
        <color rgb="FF999999"/>
      </top>
      <bottom style="thin">
        <color rgb="FF999999"/>
      </bottom>
    </border>
    <border>
      <left style="thin">
        <color rgb="FFCCCCCC"/>
      </left>
      <right style="thin">
        <color rgb="FFCCCCCC"/>
      </right>
      <top style="thin">
        <color rgb="FFCCCCCC"/>
      </top>
      <bottom style="thin">
        <color rgb="FFCCCCCC"/>
      </bottom>
    </border>
    <border>
      <left style="thick">
        <color rgb="FF274E13"/>
      </left>
      <right style="thick">
        <color rgb="FF274E13"/>
      </right>
      <top style="thick">
        <color rgb="FF274E13"/>
      </top>
    </border>
    <border>
      <left style="thick">
        <color rgb="FF274E13"/>
      </left>
      <bottom style="thick">
        <color rgb="FF274E13"/>
      </bottom>
    </border>
    <border>
      <left style="thin">
        <color rgb="FFCCCCCC"/>
      </left>
      <right style="thin">
        <color rgb="FFCCCCCC"/>
      </right>
      <bottom style="thin">
        <color rgb="FFCCCCCC"/>
      </bottom>
    </border>
  </borders>
  <cellStyleXfs count="1">
    <xf borderId="0" fillId="0" fontId="0" numFmtId="0" applyAlignment="1" applyFont="1"/>
  </cellStyleXfs>
  <cellXfs count="599">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3" numFmtId="49" xfId="0" applyAlignment="1" applyBorder="1" applyFont="1" applyNumberFormat="1">
      <alignment horizontal="left"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2" fontId="7" numFmtId="0" xfId="0" applyAlignment="1" applyBorder="1" applyFill="1" applyFont="1">
      <alignment horizontal="center" readingOrder="0" shrinkToFit="0" vertical="center" wrapText="1"/>
    </xf>
    <xf borderId="1" fillId="3" fontId="8" numFmtId="0" xfId="0" applyAlignment="1" applyBorder="1" applyFill="1" applyFont="1">
      <alignment horizontal="center" readingOrder="0" shrinkToFit="0" vertical="center" wrapText="1"/>
    </xf>
    <xf borderId="1" fillId="3" fontId="8" numFmtId="0" xfId="0" applyAlignment="1" applyBorder="1" applyFont="1">
      <alignment horizontal="center" readingOrder="0" shrinkToFit="0" vertical="center" wrapText="1"/>
    </xf>
    <xf borderId="1" fillId="3" fontId="8" numFmtId="0" xfId="0" applyAlignment="1" applyBorder="1" applyFont="1">
      <alignment horizontal="center" readingOrder="0" shrinkToFit="0" vertical="center" wrapText="0"/>
    </xf>
    <xf borderId="1" fillId="0" fontId="9" numFmtId="0" xfId="0" applyBorder="1" applyFont="1"/>
    <xf borderId="0" fillId="0" fontId="9" numFmtId="0" xfId="0" applyFont="1"/>
    <xf borderId="1" fillId="4" fontId="10" numFmtId="0" xfId="0" applyAlignment="1" applyBorder="1" applyFill="1" applyFont="1">
      <alignment horizontal="center" readingOrder="0" shrinkToFit="0" vertical="center" wrapText="1"/>
    </xf>
    <xf borderId="1" fillId="4" fontId="11" numFmtId="0" xfId="0" applyAlignment="1" applyBorder="1" applyFont="1">
      <alignment horizontal="left" readingOrder="0" shrinkToFit="0" vertical="center" wrapText="1"/>
    </xf>
    <xf borderId="1" fillId="4" fontId="12" numFmtId="0" xfId="0" applyAlignment="1" applyBorder="1" applyFont="1">
      <alignment horizontal="center" readingOrder="0" shrinkToFit="0" vertical="center" wrapText="0"/>
    </xf>
    <xf borderId="1" fillId="4" fontId="13" numFmtId="0" xfId="0" applyAlignment="1" applyBorder="1" applyFont="1">
      <alignment readingOrder="0" shrinkToFit="0" vertical="center" wrapText="0"/>
    </xf>
    <xf borderId="1" fillId="4" fontId="10" numFmtId="0" xfId="0" applyAlignment="1" applyBorder="1" applyFont="1">
      <alignment readingOrder="0" shrinkToFit="0" vertical="center" wrapText="0"/>
    </xf>
    <xf borderId="1" fillId="4" fontId="10" numFmtId="0" xfId="0" applyAlignment="1" applyBorder="1" applyFont="1">
      <alignment horizontal="center" readingOrder="0" shrinkToFit="0" vertical="center" wrapText="0"/>
    </xf>
    <xf borderId="1" fillId="4" fontId="14" numFmtId="0" xfId="0" applyAlignment="1" applyBorder="1" applyFont="1">
      <alignment readingOrder="0" shrinkToFit="0" vertical="center" wrapText="0"/>
    </xf>
    <xf borderId="1" fillId="4" fontId="10" numFmtId="0" xfId="0" applyAlignment="1" applyBorder="1" applyFont="1">
      <alignment readingOrder="0" shrinkToFit="0" vertical="center" wrapText="1"/>
    </xf>
    <xf borderId="1" fillId="4" fontId="10" numFmtId="164" xfId="0" applyAlignment="1" applyBorder="1" applyFont="1" applyNumberFormat="1">
      <alignment horizontal="center" readingOrder="0" shrinkToFit="0" vertical="center" wrapText="1"/>
    </xf>
    <xf borderId="1" fillId="4" fontId="10" numFmtId="164" xfId="0" applyAlignment="1" applyBorder="1" applyFont="1" applyNumberFormat="1">
      <alignment readingOrder="0" shrinkToFit="0" vertical="center" wrapText="1"/>
    </xf>
    <xf borderId="1" fillId="4" fontId="10" numFmtId="0" xfId="0" applyAlignment="1" applyBorder="1" applyFont="1">
      <alignment readingOrder="0" shrinkToFit="0" vertical="center" wrapText="1"/>
    </xf>
    <xf borderId="1" fillId="4" fontId="10" numFmtId="164" xfId="0" applyAlignment="1" applyBorder="1" applyFont="1" applyNumberFormat="1">
      <alignment readingOrder="0" shrinkToFit="0" vertical="center" wrapText="0"/>
    </xf>
    <xf borderId="1" fillId="4" fontId="15" numFmtId="0" xfId="0" applyAlignment="1" applyBorder="1" applyFont="1">
      <alignment readingOrder="0" shrinkToFit="0" vertical="center" wrapText="0"/>
    </xf>
    <xf borderId="1" fillId="4" fontId="15" numFmtId="0" xfId="0" applyAlignment="1" applyBorder="1" applyFont="1">
      <alignment readingOrder="0" shrinkToFit="0" vertical="center" wrapText="0"/>
    </xf>
    <xf borderId="1" fillId="4" fontId="16" numFmtId="0" xfId="0" applyAlignment="1" applyBorder="1" applyFont="1">
      <alignment readingOrder="0" shrinkToFit="0" vertical="center" wrapText="1"/>
    </xf>
    <xf borderId="1" fillId="4" fontId="16" numFmtId="0" xfId="0" applyAlignment="1" applyBorder="1" applyFont="1">
      <alignment readingOrder="0" shrinkToFit="0" vertical="center" wrapText="1"/>
    </xf>
    <xf borderId="1" fillId="4" fontId="16" numFmtId="164" xfId="0" applyAlignment="1" applyBorder="1" applyFont="1" applyNumberFormat="1">
      <alignment readingOrder="0" shrinkToFit="0" vertical="center" wrapText="1"/>
    </xf>
    <xf borderId="1" fillId="4" fontId="16" numFmtId="0" xfId="0" applyAlignment="1" applyBorder="1" applyFont="1">
      <alignment horizontal="center" readingOrder="0" shrinkToFit="0" vertical="center" wrapText="1"/>
    </xf>
    <xf borderId="1" fillId="4" fontId="17" numFmtId="0" xfId="0" applyAlignment="1" applyBorder="1" applyFont="1">
      <alignment horizontal="center" readingOrder="0" shrinkToFit="0" vertical="center" wrapText="0"/>
    </xf>
    <xf borderId="1" fillId="4" fontId="17" numFmtId="0" xfId="0" applyAlignment="1" applyBorder="1" applyFont="1">
      <alignment horizontal="center" readingOrder="0" shrinkToFit="0" vertical="center" wrapText="0"/>
    </xf>
    <xf borderId="1" fillId="4" fontId="15" numFmtId="0" xfId="0" applyBorder="1" applyFont="1"/>
    <xf borderId="0" fillId="4" fontId="15" numFmtId="0" xfId="0" applyFont="1"/>
    <xf borderId="1" fillId="4" fontId="17" numFmtId="0" xfId="0" applyAlignment="1" applyBorder="1" applyFont="1">
      <alignment horizontal="center" shrinkToFit="0" vertical="center" wrapText="0"/>
    </xf>
    <xf borderId="1" fillId="4" fontId="17" numFmtId="0" xfId="0" applyAlignment="1" applyBorder="1" applyFont="1">
      <alignment horizontal="center" shrinkToFit="0" vertical="center" wrapText="0"/>
    </xf>
    <xf borderId="1" fillId="4" fontId="18" numFmtId="0" xfId="0" applyAlignment="1" applyBorder="1" applyFont="1">
      <alignment horizontal="center" readingOrder="0" shrinkToFit="0" vertical="center" wrapText="1"/>
    </xf>
    <xf borderId="1" fillId="5" fontId="10" numFmtId="0" xfId="0" applyAlignment="1" applyBorder="1" applyFill="1" applyFont="1">
      <alignment horizontal="center" readingOrder="0" shrinkToFit="0" vertical="center" wrapText="1"/>
    </xf>
    <xf borderId="1" fillId="5" fontId="11" numFmtId="0" xfId="0" applyAlignment="1" applyBorder="1" applyFont="1">
      <alignment horizontal="center" readingOrder="0" shrinkToFit="0" vertical="center" wrapText="1"/>
    </xf>
    <xf borderId="1" fillId="5" fontId="12" numFmtId="0" xfId="0" applyAlignment="1" applyBorder="1" applyFont="1">
      <alignment horizontal="center" readingOrder="0" shrinkToFit="0" vertical="center" wrapText="0"/>
    </xf>
    <xf borderId="1" fillId="5" fontId="13" numFmtId="0" xfId="0" applyAlignment="1" applyBorder="1" applyFont="1">
      <alignment readingOrder="0" shrinkToFit="0" vertical="center" wrapText="0"/>
    </xf>
    <xf borderId="1" fillId="5" fontId="10" numFmtId="0" xfId="0" applyAlignment="1" applyBorder="1" applyFont="1">
      <alignment readingOrder="0" shrinkToFit="0" vertical="center" wrapText="0"/>
    </xf>
    <xf borderId="1" fillId="5" fontId="10" numFmtId="0" xfId="0" applyAlignment="1" applyBorder="1" applyFont="1">
      <alignment horizontal="center" readingOrder="0" shrinkToFit="0" vertical="center" wrapText="0"/>
    </xf>
    <xf borderId="1" fillId="5" fontId="14" numFmtId="0" xfId="0" applyAlignment="1" applyBorder="1" applyFont="1">
      <alignment readingOrder="0" shrinkToFit="0" vertical="center" wrapText="0"/>
    </xf>
    <xf borderId="1" fillId="5" fontId="10" numFmtId="4" xfId="0" applyAlignment="1" applyBorder="1" applyFont="1" applyNumberFormat="1">
      <alignment shrinkToFit="0" vertical="center" wrapText="1"/>
    </xf>
    <xf borderId="1" fillId="5" fontId="10" numFmtId="164" xfId="0" applyAlignment="1" applyBorder="1" applyFont="1" applyNumberFormat="1">
      <alignment horizontal="center" readingOrder="0" shrinkToFit="0" vertical="center" wrapText="1"/>
    </xf>
    <xf borderId="1" fillId="5" fontId="10" numFmtId="164" xfId="0" applyAlignment="1" applyBorder="1" applyFont="1" applyNumberFormat="1">
      <alignment readingOrder="0" shrinkToFit="0" vertical="center" wrapText="1"/>
    </xf>
    <xf borderId="1" fillId="5" fontId="10" numFmtId="0" xfId="0" applyAlignment="1" applyBorder="1" applyFont="1">
      <alignment readingOrder="0" shrinkToFit="0" vertical="center" wrapText="1"/>
    </xf>
    <xf borderId="1" fillId="5" fontId="10" numFmtId="164" xfId="0" applyAlignment="1" applyBorder="1" applyFont="1" applyNumberFormat="1">
      <alignment shrinkToFit="0" vertical="center" wrapText="0"/>
    </xf>
    <xf borderId="1" fillId="6" fontId="15" numFmtId="0" xfId="0" applyAlignment="1" applyBorder="1" applyFill="1" applyFont="1">
      <alignment readingOrder="0" shrinkToFit="0" vertical="center" wrapText="0"/>
    </xf>
    <xf borderId="1" fillId="6" fontId="15" numFmtId="0" xfId="0" applyAlignment="1" applyBorder="1" applyFont="1">
      <alignment readingOrder="0" shrinkToFit="0" vertical="center" wrapText="0"/>
    </xf>
    <xf borderId="1" fillId="5" fontId="16" numFmtId="0" xfId="0" applyAlignment="1" applyBorder="1" applyFont="1">
      <alignment readingOrder="0" shrinkToFit="0" vertical="center" wrapText="1"/>
    </xf>
    <xf borderId="1" fillId="5" fontId="16" numFmtId="0" xfId="0" applyAlignment="1" applyBorder="1" applyFont="1">
      <alignment readingOrder="0" shrinkToFit="0" vertical="center" wrapText="1"/>
    </xf>
    <xf borderId="1" fillId="5" fontId="16" numFmtId="164" xfId="0" applyAlignment="1" applyBorder="1" applyFont="1" applyNumberFormat="1">
      <alignment readingOrder="0" shrinkToFit="0" vertical="center" wrapText="1"/>
    </xf>
    <xf borderId="1" fillId="5" fontId="16" numFmtId="0" xfId="0" applyAlignment="1" applyBorder="1" applyFont="1">
      <alignment horizontal="center" readingOrder="0" shrinkToFit="0" vertical="center" wrapText="1"/>
    </xf>
    <xf borderId="1" fillId="5" fontId="17" numFmtId="0" xfId="0" applyAlignment="1" applyBorder="1" applyFont="1">
      <alignment horizontal="center" readingOrder="0" shrinkToFit="0" vertical="center" wrapText="0"/>
    </xf>
    <xf borderId="1" fillId="5" fontId="17" numFmtId="0" xfId="0" applyAlignment="1" applyBorder="1" applyFont="1">
      <alignment horizontal="center" readingOrder="0" shrinkToFit="0" vertical="center" wrapText="0"/>
    </xf>
    <xf borderId="1" fillId="5" fontId="15" numFmtId="0" xfId="0" applyBorder="1" applyFont="1"/>
    <xf borderId="0" fillId="5" fontId="15" numFmtId="0" xfId="0" applyFont="1"/>
    <xf borderId="1" fillId="5" fontId="11" numFmtId="0" xfId="0" applyAlignment="1" applyBorder="1" applyFont="1">
      <alignment horizontal="left" readingOrder="0" shrinkToFit="0" vertical="center" wrapText="1"/>
    </xf>
    <xf borderId="1" fillId="5" fontId="14" numFmtId="0" xfId="0" applyAlignment="1" applyBorder="1" applyFont="1">
      <alignment horizontal="center" readingOrder="0" shrinkToFit="0" vertical="center" wrapText="1"/>
    </xf>
    <xf borderId="1" fillId="5" fontId="10" numFmtId="0" xfId="0" applyAlignment="1" applyBorder="1" applyFont="1">
      <alignment readingOrder="0" shrinkToFit="0" vertical="center" wrapText="1"/>
    </xf>
    <xf borderId="1" fillId="5" fontId="10" numFmtId="164" xfId="0" applyAlignment="1" applyBorder="1" applyFont="1" applyNumberFormat="1">
      <alignment readingOrder="0" shrinkToFit="0" vertical="center" wrapText="0"/>
    </xf>
    <xf borderId="1" fillId="5" fontId="16" numFmtId="0" xfId="0" applyAlignment="1" applyBorder="1" applyFont="1">
      <alignment horizontal="center" shrinkToFit="0" vertical="center" wrapText="1"/>
    </xf>
    <xf borderId="1" fillId="5" fontId="17" numFmtId="0" xfId="0" applyAlignment="1" applyBorder="1" applyFont="1">
      <alignment horizontal="center" readingOrder="0" shrinkToFit="0" vertical="center" wrapText="0"/>
    </xf>
    <xf borderId="1" fillId="5" fontId="17" numFmtId="0" xfId="0" applyAlignment="1" applyBorder="1" applyFont="1">
      <alignment horizontal="center" shrinkToFit="0" vertical="center" wrapText="0"/>
    </xf>
    <xf borderId="1" fillId="5" fontId="17" numFmtId="0" xfId="0" applyAlignment="1" applyBorder="1" applyFont="1">
      <alignment horizontal="center" shrinkToFit="0" vertical="center" wrapText="0"/>
    </xf>
    <xf borderId="1" fillId="6" fontId="10" numFmtId="0" xfId="0" applyAlignment="1" applyBorder="1" applyFont="1">
      <alignment horizontal="center" readingOrder="0" shrinkToFit="0" vertical="center" wrapText="1"/>
    </xf>
    <xf borderId="1" fillId="6" fontId="11" numFmtId="0" xfId="0" applyAlignment="1" applyBorder="1" applyFont="1">
      <alignment horizontal="center" readingOrder="0" shrinkToFit="0" vertical="center" wrapText="1"/>
    </xf>
    <xf borderId="1" fillId="6" fontId="12" numFmtId="0" xfId="0" applyAlignment="1" applyBorder="1" applyFont="1">
      <alignment horizontal="center" readingOrder="0" shrinkToFit="0" vertical="center" wrapText="0"/>
    </xf>
    <xf borderId="1" fillId="6" fontId="13" numFmtId="0" xfId="0" applyAlignment="1" applyBorder="1" applyFont="1">
      <alignment readingOrder="0" shrinkToFit="0" vertical="center" wrapText="0"/>
    </xf>
    <xf borderId="1" fillId="6" fontId="10" numFmtId="0" xfId="0" applyAlignment="1" applyBorder="1" applyFont="1">
      <alignment readingOrder="0" shrinkToFit="0" vertical="center" wrapText="0"/>
    </xf>
    <xf borderId="1" fillId="6" fontId="10" numFmtId="0" xfId="0" applyAlignment="1" applyBorder="1" applyFont="1">
      <alignment horizontal="center" readingOrder="0" shrinkToFit="0" vertical="center" wrapText="0"/>
    </xf>
    <xf borderId="1" fillId="6" fontId="14" numFmtId="0" xfId="0" applyAlignment="1" applyBorder="1" applyFont="1">
      <alignment readingOrder="0" shrinkToFit="0" vertical="center" wrapText="0"/>
    </xf>
    <xf borderId="1" fillId="6" fontId="10" numFmtId="0" xfId="0" applyAlignment="1" applyBorder="1" applyFont="1">
      <alignment readingOrder="0" shrinkToFit="0" vertical="center" wrapText="1"/>
    </xf>
    <xf borderId="1" fillId="6" fontId="10" numFmtId="164" xfId="0" applyAlignment="1" applyBorder="1" applyFont="1" applyNumberFormat="1">
      <alignment horizontal="center" readingOrder="0" shrinkToFit="0" vertical="center" wrapText="1"/>
    </xf>
    <xf borderId="1" fillId="6" fontId="10" numFmtId="164" xfId="0" applyAlignment="1" applyBorder="1" applyFont="1" applyNumberFormat="1">
      <alignment readingOrder="0" shrinkToFit="0" vertical="center" wrapText="1"/>
    </xf>
    <xf borderId="1" fillId="6" fontId="10" numFmtId="0" xfId="0" applyAlignment="1" applyBorder="1" applyFont="1">
      <alignment readingOrder="0" shrinkToFit="0" vertical="center" wrapText="1"/>
    </xf>
    <xf borderId="1" fillId="6" fontId="10" numFmtId="164" xfId="0" applyAlignment="1" applyBorder="1" applyFont="1" applyNumberFormat="1">
      <alignment readingOrder="0" shrinkToFit="0" vertical="center" wrapText="0"/>
    </xf>
    <xf borderId="1" fillId="6" fontId="16" numFmtId="0" xfId="0" applyAlignment="1" applyBorder="1" applyFont="1">
      <alignment readingOrder="0" shrinkToFit="0" vertical="center" wrapText="1"/>
    </xf>
    <xf borderId="1" fillId="6" fontId="16" numFmtId="0" xfId="0" applyAlignment="1" applyBorder="1" applyFont="1">
      <alignment readingOrder="0" shrinkToFit="0" vertical="center" wrapText="1"/>
    </xf>
    <xf borderId="1" fillId="6" fontId="16" numFmtId="164" xfId="0" applyAlignment="1" applyBorder="1" applyFont="1" applyNumberFormat="1">
      <alignment readingOrder="0" shrinkToFit="0" vertical="center" wrapText="1"/>
    </xf>
    <xf borderId="1" fillId="6" fontId="16" numFmtId="0" xfId="0" applyAlignment="1" applyBorder="1" applyFont="1">
      <alignment horizontal="center" readingOrder="0" shrinkToFit="0" vertical="center" wrapText="1"/>
    </xf>
    <xf borderId="1" fillId="6" fontId="17" numFmtId="0" xfId="0" applyAlignment="1" applyBorder="1" applyFont="1">
      <alignment horizontal="center" readingOrder="0" shrinkToFit="0" vertical="center" wrapText="0"/>
    </xf>
    <xf borderId="1" fillId="6" fontId="17" numFmtId="0" xfId="0" applyAlignment="1" applyBorder="1" applyFont="1">
      <alignment horizontal="center" readingOrder="0" shrinkToFit="0" vertical="center" wrapText="0"/>
    </xf>
    <xf borderId="1" fillId="6" fontId="15" numFmtId="0" xfId="0" applyBorder="1" applyFont="1"/>
    <xf borderId="0" fillId="6" fontId="15" numFmtId="0" xfId="0" applyFont="1"/>
    <xf borderId="2" fillId="4" fontId="19" numFmtId="0" xfId="0" applyAlignment="1" applyBorder="1" applyFont="1">
      <alignment horizontal="left" readingOrder="0" shrinkToFit="0" vertical="center" wrapText="1"/>
    </xf>
    <xf borderId="1" fillId="4" fontId="19" numFmtId="0" xfId="0" applyAlignment="1" applyBorder="1" applyFont="1">
      <alignment horizontal="left" readingOrder="0" shrinkToFit="0" vertical="center" wrapText="1"/>
    </xf>
    <xf borderId="1" fillId="4" fontId="10" numFmtId="0" xfId="0" applyAlignment="1" applyBorder="1" applyFont="1">
      <alignment horizontal="center" readingOrder="0" shrinkToFit="0" vertical="center" wrapText="0"/>
    </xf>
    <xf borderId="1" fillId="4" fontId="10" numFmtId="164" xfId="0" applyAlignment="1" applyBorder="1" applyFont="1" applyNumberFormat="1">
      <alignment shrinkToFit="0" vertical="center" wrapText="0"/>
    </xf>
    <xf borderId="1" fillId="4" fontId="16" numFmtId="0" xfId="0" applyAlignment="1" applyBorder="1" applyFont="1">
      <alignment readingOrder="0" shrinkToFit="0" vertical="center" wrapText="1"/>
    </xf>
    <xf borderId="1" fillId="4" fontId="16" numFmtId="0" xfId="0" applyAlignment="1" applyBorder="1" applyFont="1">
      <alignment horizontal="center" shrinkToFit="0" vertical="center" wrapText="1"/>
    </xf>
    <xf borderId="1" fillId="4" fontId="17" numFmtId="0" xfId="0" applyAlignment="1" applyBorder="1" applyFont="1">
      <alignment horizontal="center" readingOrder="0" shrinkToFit="0" vertical="center" wrapText="0"/>
    </xf>
    <xf borderId="3" fillId="4" fontId="10" numFmtId="0" xfId="0" applyAlignment="1" applyBorder="1" applyFont="1">
      <alignment horizontal="center" readingOrder="0" shrinkToFit="0" vertical="center" wrapText="1"/>
    </xf>
    <xf borderId="1" fillId="4" fontId="19" numFmtId="0" xfId="0" applyAlignment="1" applyBorder="1" applyFont="1">
      <alignment readingOrder="0" shrinkToFit="0" vertical="center" wrapText="0"/>
    </xf>
    <xf borderId="0" fillId="4" fontId="19" numFmtId="0" xfId="0" applyAlignment="1" applyFont="1">
      <alignment readingOrder="0" shrinkToFit="0" vertical="center" wrapText="0"/>
    </xf>
    <xf borderId="1" fillId="4" fontId="10" numFmtId="4" xfId="0" applyAlignment="1" applyBorder="1" applyFont="1" applyNumberFormat="1">
      <alignment readingOrder="0" shrinkToFit="0" vertical="center" wrapText="1"/>
    </xf>
    <xf borderId="1" fillId="4" fontId="10" numFmtId="164" xfId="0" applyAlignment="1" applyBorder="1" applyFont="1" applyNumberFormat="1">
      <alignment horizontal="center" shrinkToFit="0" vertical="center" wrapText="1"/>
    </xf>
    <xf borderId="4" fillId="4" fontId="19" numFmtId="0" xfId="0" applyAlignment="1" applyBorder="1" applyFont="1">
      <alignment horizontal="left" readingOrder="0" shrinkToFit="0" vertical="center" wrapText="1"/>
    </xf>
    <xf borderId="1" fillId="0" fontId="20" numFmtId="0" xfId="0" applyAlignment="1" applyBorder="1" applyFont="1">
      <alignment horizontal="center" readingOrder="0" shrinkToFit="0" vertical="center" wrapText="1"/>
    </xf>
    <xf borderId="1" fillId="0" fontId="11" numFmtId="0" xfId="0" applyAlignment="1" applyBorder="1" applyFont="1">
      <alignment horizontal="center" shrinkToFit="0" vertical="center" wrapText="1"/>
    </xf>
    <xf borderId="1" fillId="0" fontId="12" numFmtId="0" xfId="0" applyAlignment="1" applyBorder="1" applyFont="1">
      <alignment horizontal="left" readingOrder="0" shrinkToFit="0" vertical="center" wrapText="1"/>
    </xf>
    <xf borderId="1" fillId="0" fontId="12" numFmtId="0" xfId="0" applyAlignment="1" applyBorder="1" applyFont="1">
      <alignment horizontal="center" readingOrder="0" shrinkToFit="0" vertical="center" wrapText="1"/>
    </xf>
    <xf borderId="1" fillId="0" fontId="13" numFmtId="0" xfId="0" applyAlignment="1" applyBorder="1" applyFont="1">
      <alignment readingOrder="0" shrinkToFit="0" vertical="center" wrapText="0"/>
    </xf>
    <xf borderId="1" fillId="0" fontId="10" numFmtId="0" xfId="0" applyAlignment="1" applyBorder="1" applyFont="1">
      <alignment readingOrder="0" shrinkToFit="0" vertical="center" wrapText="0"/>
    </xf>
    <xf borderId="1" fillId="0" fontId="10" numFmtId="0" xfId="0" applyAlignment="1" applyBorder="1" applyFont="1">
      <alignment horizontal="center" readingOrder="0" shrinkToFit="0" vertical="center" wrapText="0"/>
    </xf>
    <xf borderId="1" fillId="0" fontId="14" numFmtId="0" xfId="0" applyAlignment="1" applyBorder="1" applyFont="1">
      <alignment readingOrder="0" shrinkToFit="0" vertical="center" wrapText="0"/>
    </xf>
    <xf borderId="1" fillId="0" fontId="10" numFmtId="0" xfId="0" applyAlignment="1" applyBorder="1" applyFont="1">
      <alignment horizontal="center" readingOrder="0" shrinkToFit="0" vertical="center" wrapText="1"/>
    </xf>
    <xf borderId="1" fillId="0" fontId="10" numFmtId="4" xfId="0" applyAlignment="1" applyBorder="1" applyFont="1" applyNumberFormat="1">
      <alignment readingOrder="0" shrinkToFit="0" vertical="center" wrapText="1"/>
    </xf>
    <xf borderId="1" fillId="0" fontId="10" numFmtId="164" xfId="0" applyAlignment="1" applyBorder="1" applyFont="1" applyNumberFormat="1">
      <alignment horizontal="center" readingOrder="0" shrinkToFit="0" vertical="center" wrapText="1"/>
    </xf>
    <xf borderId="1" fillId="0" fontId="10" numFmtId="164" xfId="0" applyAlignment="1" applyBorder="1" applyFont="1" applyNumberFormat="1">
      <alignment shrinkToFit="0" vertical="center" wrapText="1"/>
    </xf>
    <xf borderId="1" fillId="0" fontId="10" numFmtId="0" xfId="0" applyAlignment="1" applyBorder="1" applyFont="1">
      <alignment readingOrder="0" shrinkToFit="0" vertical="center" wrapText="1"/>
    </xf>
    <xf borderId="1" fillId="0" fontId="10" numFmtId="164" xfId="0" applyAlignment="1" applyBorder="1" applyFont="1" applyNumberFormat="1">
      <alignment shrinkToFit="0" vertical="center" wrapText="0"/>
    </xf>
    <xf borderId="1" fillId="0" fontId="13" numFmtId="0" xfId="0" applyAlignment="1" applyBorder="1" applyFont="1">
      <alignment readingOrder="0" shrinkToFit="0" vertical="center" wrapText="0"/>
    </xf>
    <xf borderId="1" fillId="0" fontId="10" numFmtId="0" xfId="0" applyAlignment="1" applyBorder="1" applyFont="1">
      <alignment readingOrder="0" shrinkToFit="0" vertical="center" wrapText="1"/>
    </xf>
    <xf borderId="1" fillId="0" fontId="10" numFmtId="164" xfId="0" applyAlignment="1" applyBorder="1" applyFont="1" applyNumberFormat="1">
      <alignment readingOrder="0" shrinkToFit="0" vertical="center" wrapText="1"/>
    </xf>
    <xf borderId="1" fillId="7" fontId="17" numFmtId="0" xfId="0" applyAlignment="1" applyBorder="1" applyFill="1" applyFont="1">
      <alignment horizontal="center" shrinkToFit="0" vertical="center" wrapText="1"/>
    </xf>
    <xf borderId="1" fillId="7" fontId="17" numFmtId="0" xfId="0" applyAlignment="1" applyBorder="1" applyFont="1">
      <alignment horizontal="center" shrinkToFit="0" vertical="center" wrapText="0"/>
    </xf>
    <xf borderId="1" fillId="0" fontId="15" numFmtId="0" xfId="0" applyBorder="1" applyFont="1"/>
    <xf borderId="1" fillId="0" fontId="11" numFmtId="0" xfId="0" applyAlignment="1" applyBorder="1" applyFont="1">
      <alignment horizontal="center" readingOrder="0" shrinkToFit="0" vertical="center" wrapText="1"/>
    </xf>
    <xf borderId="1" fillId="0" fontId="11" numFmtId="0" xfId="0" applyAlignment="1" applyBorder="1" applyFont="1">
      <alignment horizontal="left" readingOrder="0" shrinkToFit="0" vertical="center" wrapText="1"/>
    </xf>
    <xf borderId="1" fillId="0" fontId="12" numFmtId="0" xfId="0" applyAlignment="1" applyBorder="1" applyFont="1">
      <alignment horizontal="center" readingOrder="0" shrinkToFit="0" vertical="center" wrapText="0"/>
    </xf>
    <xf borderId="1" fillId="0" fontId="16" numFmtId="0" xfId="0" applyAlignment="1" applyBorder="1" applyFont="1">
      <alignment readingOrder="0" shrinkToFit="0" vertical="center" wrapText="1"/>
    </xf>
    <xf borderId="1" fillId="0" fontId="16" numFmtId="0" xfId="0" applyAlignment="1" applyBorder="1" applyFont="1">
      <alignment readingOrder="0" shrinkToFit="0" vertical="center" wrapText="1"/>
    </xf>
    <xf borderId="1" fillId="0" fontId="16" numFmtId="164" xfId="0" applyAlignment="1" applyBorder="1" applyFont="1" applyNumberFormat="1">
      <alignment readingOrder="0" shrinkToFit="0" vertical="center" wrapText="1"/>
    </xf>
    <xf borderId="1" fillId="0" fontId="16" numFmtId="0" xfId="0" applyAlignment="1" applyBorder="1" applyFont="1">
      <alignment horizontal="center" readingOrder="0" shrinkToFit="0" vertical="center" wrapText="1"/>
    </xf>
    <xf borderId="1" fillId="7" fontId="17" numFmtId="0" xfId="0" applyAlignment="1" applyBorder="1" applyFont="1">
      <alignment horizontal="center" readingOrder="0" shrinkToFit="0" vertical="center" wrapText="0"/>
    </xf>
    <xf borderId="1" fillId="4" fontId="10" numFmtId="0" xfId="0" applyAlignment="1" applyBorder="1" applyFont="1">
      <alignment readingOrder="0" shrinkToFit="0" vertical="center" wrapText="0"/>
    </xf>
    <xf borderId="1" fillId="4" fontId="11" numFmtId="0" xfId="0" applyAlignment="1" applyBorder="1" applyFont="1">
      <alignment horizontal="center" shrinkToFit="0" vertical="center" wrapText="1"/>
    </xf>
    <xf borderId="1" fillId="4" fontId="10" numFmtId="164" xfId="0" applyAlignment="1" applyBorder="1" applyFont="1" applyNumberFormat="1">
      <alignment shrinkToFit="0" vertical="center" wrapText="1"/>
    </xf>
    <xf borderId="1" fillId="4" fontId="21" numFmtId="0" xfId="0" applyAlignment="1" applyBorder="1" applyFont="1">
      <alignment horizontal="left" readingOrder="0" shrinkToFit="0" vertical="center" wrapText="0"/>
    </xf>
    <xf borderId="1" fillId="0" fontId="10" numFmtId="4" xfId="0" applyAlignment="1" applyBorder="1" applyFont="1" applyNumberFormat="1">
      <alignment shrinkToFit="0" vertical="center" wrapText="1"/>
    </xf>
    <xf borderId="1" fillId="0" fontId="16" numFmtId="0" xfId="0" applyAlignment="1" applyBorder="1" applyFont="1">
      <alignment horizontal="center" shrinkToFit="0" vertical="center" wrapText="1"/>
    </xf>
    <xf borderId="1" fillId="8" fontId="20" numFmtId="0" xfId="0" applyAlignment="1" applyBorder="1" applyFill="1" applyFont="1">
      <alignment horizontal="center" readingOrder="0" shrinkToFit="0" vertical="center" wrapText="1"/>
    </xf>
    <xf borderId="1" fillId="8" fontId="11" numFmtId="0" xfId="0" applyAlignment="1" applyBorder="1" applyFont="1">
      <alignment horizontal="center" shrinkToFit="0" vertical="center" wrapText="1"/>
    </xf>
    <xf borderId="1" fillId="8" fontId="11" numFmtId="0" xfId="0" applyAlignment="1" applyBorder="1" applyFont="1">
      <alignment horizontal="left" readingOrder="0" shrinkToFit="0" vertical="center" wrapText="1"/>
    </xf>
    <xf borderId="1" fillId="8" fontId="12" numFmtId="0" xfId="0" applyAlignment="1" applyBorder="1" applyFont="1">
      <alignment horizontal="center" readingOrder="0" shrinkToFit="0" vertical="center" wrapText="1"/>
    </xf>
    <xf borderId="1" fillId="8" fontId="13" numFmtId="0" xfId="0" applyAlignment="1" applyBorder="1" applyFont="1">
      <alignment readingOrder="0" shrinkToFit="0" vertical="center" wrapText="0"/>
    </xf>
    <xf borderId="1" fillId="8" fontId="10" numFmtId="0" xfId="0" applyAlignment="1" applyBorder="1" applyFont="1">
      <alignment readingOrder="0" shrinkToFit="0" vertical="center" wrapText="0"/>
    </xf>
    <xf borderId="1" fillId="8" fontId="10" numFmtId="0" xfId="0" applyAlignment="1" applyBorder="1" applyFont="1">
      <alignment horizontal="center" readingOrder="0" shrinkToFit="0" vertical="center" wrapText="0"/>
    </xf>
    <xf borderId="1" fillId="8" fontId="14" numFmtId="0" xfId="0" applyAlignment="1" applyBorder="1" applyFont="1">
      <alignment readingOrder="0" shrinkToFit="0" vertical="center" wrapText="0"/>
    </xf>
    <xf borderId="1" fillId="8" fontId="10" numFmtId="0" xfId="0" applyAlignment="1" applyBorder="1" applyFont="1">
      <alignment horizontal="center" readingOrder="0" shrinkToFit="0" vertical="center" wrapText="1"/>
    </xf>
    <xf borderId="1" fillId="8" fontId="10" numFmtId="4" xfId="0" applyAlignment="1" applyBorder="1" applyFont="1" applyNumberFormat="1">
      <alignment readingOrder="0" shrinkToFit="0" vertical="center" wrapText="1"/>
    </xf>
    <xf borderId="1" fillId="8" fontId="10" numFmtId="164" xfId="0" applyAlignment="1" applyBorder="1" applyFont="1" applyNumberFormat="1">
      <alignment horizontal="center" readingOrder="0" shrinkToFit="0" vertical="center" wrapText="1"/>
    </xf>
    <xf borderId="1" fillId="8" fontId="10" numFmtId="164" xfId="0" applyAlignment="1" applyBorder="1" applyFont="1" applyNumberFormat="1">
      <alignment shrinkToFit="0" vertical="center" wrapText="1"/>
    </xf>
    <xf borderId="1" fillId="8" fontId="10" numFmtId="0" xfId="0" applyAlignment="1" applyBorder="1" applyFont="1">
      <alignment readingOrder="0" shrinkToFit="0" vertical="center" wrapText="1"/>
    </xf>
    <xf borderId="1" fillId="8" fontId="10" numFmtId="164" xfId="0" applyAlignment="1" applyBorder="1" applyFont="1" applyNumberFormat="1">
      <alignment shrinkToFit="0" vertical="center" wrapText="0"/>
    </xf>
    <xf borderId="1" fillId="8" fontId="15" numFmtId="0" xfId="0" applyAlignment="1" applyBorder="1" applyFont="1">
      <alignment shrinkToFit="0" vertical="center" wrapText="0"/>
    </xf>
    <xf borderId="1" fillId="8" fontId="15" numFmtId="0" xfId="0" applyAlignment="1" applyBorder="1" applyFont="1">
      <alignment readingOrder="0" shrinkToFit="0" vertical="center" wrapText="0"/>
    </xf>
    <xf borderId="1" fillId="8" fontId="16" numFmtId="0" xfId="0" applyAlignment="1" applyBorder="1" applyFont="1">
      <alignment readingOrder="0" shrinkToFit="0" vertical="center" wrapText="1"/>
    </xf>
    <xf borderId="1" fillId="8" fontId="16" numFmtId="0" xfId="0" applyAlignment="1" applyBorder="1" applyFont="1">
      <alignment readingOrder="0" shrinkToFit="0" vertical="center" wrapText="1"/>
    </xf>
    <xf borderId="1" fillId="8" fontId="16" numFmtId="164" xfId="0" applyAlignment="1" applyBorder="1" applyFont="1" applyNumberFormat="1">
      <alignment readingOrder="0" shrinkToFit="0" vertical="center" wrapText="1"/>
    </xf>
    <xf borderId="1" fillId="8" fontId="16" numFmtId="0" xfId="0" applyAlignment="1" applyBorder="1" applyFont="1">
      <alignment horizontal="center" readingOrder="0" shrinkToFit="0" vertical="center" wrapText="1"/>
    </xf>
    <xf borderId="1" fillId="8" fontId="17" numFmtId="0" xfId="0" applyAlignment="1" applyBorder="1" applyFont="1">
      <alignment horizontal="center" shrinkToFit="0" vertical="center" wrapText="1"/>
    </xf>
    <xf borderId="1" fillId="8" fontId="17" numFmtId="0" xfId="0" applyAlignment="1" applyBorder="1" applyFont="1">
      <alignment horizontal="center" shrinkToFit="0" vertical="center" wrapText="0"/>
    </xf>
    <xf borderId="1" fillId="8" fontId="15" numFmtId="0" xfId="0" applyBorder="1" applyFont="1"/>
    <xf borderId="0" fillId="8" fontId="15" numFmtId="0" xfId="0" applyFont="1"/>
    <xf borderId="1" fillId="8" fontId="22" numFmtId="0" xfId="0" applyAlignment="1" applyBorder="1" applyFont="1">
      <alignment readingOrder="0" shrinkToFit="0" vertical="center" wrapText="1"/>
    </xf>
    <xf borderId="1" fillId="8" fontId="17" numFmtId="0" xfId="0" applyAlignment="1" applyBorder="1" applyFont="1">
      <alignment horizontal="center" readingOrder="0" shrinkToFit="0" vertical="center" wrapText="1"/>
    </xf>
    <xf borderId="1" fillId="4" fontId="2" numFmtId="0" xfId="0" applyAlignment="1" applyBorder="1" applyFont="1">
      <alignment readingOrder="0" shrinkToFit="0" vertical="center" wrapText="0"/>
    </xf>
    <xf borderId="1" fillId="7" fontId="17" numFmtId="0" xfId="0" applyAlignment="1" applyBorder="1" applyFont="1">
      <alignment horizontal="center" readingOrder="0" shrinkToFit="0" vertical="center" wrapText="1"/>
    </xf>
    <xf borderId="1" fillId="7" fontId="21" numFmtId="0" xfId="0" applyAlignment="1" applyBorder="1" applyFont="1">
      <alignment horizontal="center" readingOrder="0" shrinkToFit="0" vertical="center" wrapText="0"/>
    </xf>
    <xf borderId="1" fillId="0" fontId="4" numFmtId="0" xfId="0" applyAlignment="1" applyBorder="1" applyFont="1">
      <alignment readingOrder="0" shrinkToFit="0" vertical="center" wrapText="0"/>
    </xf>
    <xf borderId="1" fillId="0" fontId="15" numFmtId="0" xfId="0" applyAlignment="1" applyBorder="1" applyFont="1">
      <alignment readingOrder="0" shrinkToFit="0" vertical="center" wrapText="0"/>
    </xf>
    <xf borderId="1" fillId="0" fontId="15" numFmtId="0" xfId="0" applyAlignment="1" applyBorder="1" applyFont="1">
      <alignment readingOrder="0" shrinkToFit="0" vertical="center" wrapText="0"/>
    </xf>
    <xf borderId="1" fillId="6" fontId="23" numFmtId="0" xfId="0" applyAlignment="1" applyBorder="1" applyFont="1">
      <alignment horizontal="center" readingOrder="0" shrinkToFit="0" vertical="center" wrapText="0"/>
    </xf>
    <xf borderId="1" fillId="7" fontId="17" numFmtId="0" xfId="0" applyAlignment="1" applyBorder="1" applyFont="1">
      <alignment horizontal="center" readingOrder="0" shrinkToFit="0" vertical="center" wrapText="0"/>
    </xf>
    <xf borderId="1" fillId="0" fontId="4" numFmtId="0" xfId="0" applyAlignment="1" applyBorder="1" applyFont="1">
      <alignment readingOrder="0" shrinkToFit="0" vertical="top" wrapText="0"/>
    </xf>
    <xf borderId="0" fillId="0" fontId="4" numFmtId="0" xfId="0" applyAlignment="1" applyFont="1">
      <alignment readingOrder="0" shrinkToFit="0" vertical="center" wrapText="0"/>
    </xf>
    <xf borderId="1" fillId="4" fontId="20" numFmtId="0" xfId="0" applyAlignment="1" applyBorder="1" applyFont="1">
      <alignment horizontal="center" readingOrder="0" shrinkToFit="0" vertical="center" wrapText="1"/>
    </xf>
    <xf borderId="1" fillId="4" fontId="12" numFmtId="0" xfId="0" applyAlignment="1" applyBorder="1" applyFont="1">
      <alignment horizontal="center" readingOrder="0" shrinkToFit="0" vertical="center" wrapText="1"/>
    </xf>
    <xf borderId="1" fillId="4" fontId="17" numFmtId="0" xfId="0" applyAlignment="1" applyBorder="1" applyFont="1">
      <alignment horizontal="center" shrinkToFit="0" vertical="center" wrapText="1"/>
    </xf>
    <xf borderId="1" fillId="4" fontId="21" numFmtId="0" xfId="0" applyAlignment="1" applyBorder="1" applyFont="1">
      <alignment horizontal="center" readingOrder="0" shrinkToFit="0" vertical="center" wrapText="0"/>
    </xf>
    <xf borderId="1" fillId="4" fontId="12" numFmtId="0" xfId="0" applyAlignment="1" applyBorder="1" applyFont="1">
      <alignment horizontal="center" shrinkToFit="0" vertical="center" wrapText="0"/>
    </xf>
    <xf borderId="1" fillId="4" fontId="10" numFmtId="4" xfId="0" applyAlignment="1" applyBorder="1" applyFont="1" applyNumberFormat="1">
      <alignment shrinkToFit="0" vertical="center" wrapText="1"/>
    </xf>
    <xf borderId="1" fillId="0" fontId="14" numFmtId="0" xfId="0" applyAlignment="1" applyBorder="1" applyFont="1">
      <alignment shrinkToFit="0" vertical="center" wrapText="0"/>
    </xf>
    <xf borderId="1" fillId="0" fontId="10" numFmtId="164" xfId="0" applyAlignment="1" applyBorder="1" applyFont="1" applyNumberFormat="1">
      <alignment horizontal="center" shrinkToFit="0" vertical="center" wrapText="1"/>
    </xf>
    <xf borderId="1" fillId="4" fontId="24" numFmtId="0" xfId="0" applyAlignment="1" applyBorder="1" applyFont="1">
      <alignment horizontal="center" shrinkToFit="0" vertical="center" wrapText="1"/>
    </xf>
    <xf borderId="1" fillId="0" fontId="12" numFmtId="0" xfId="0" applyAlignment="1" applyBorder="1" applyFont="1">
      <alignment horizontal="center" shrinkToFit="0" vertical="center" wrapText="0"/>
    </xf>
    <xf borderId="0" fillId="6" fontId="25" numFmtId="0" xfId="0" applyAlignment="1" applyFont="1">
      <alignment readingOrder="0" shrinkToFit="0" vertical="center" wrapText="1"/>
    </xf>
    <xf borderId="1" fillId="9" fontId="15" numFmtId="0" xfId="0" applyBorder="1" applyFill="1" applyFont="1"/>
    <xf borderId="0" fillId="9" fontId="15" numFmtId="0" xfId="0" applyFont="1"/>
    <xf borderId="1" fillId="4" fontId="12" numFmtId="0" xfId="0" applyAlignment="1" applyBorder="1" applyFont="1">
      <alignment horizontal="left" readingOrder="0" shrinkToFit="0" vertical="center" wrapText="1"/>
    </xf>
    <xf borderId="1" fillId="4" fontId="17" numFmtId="0" xfId="0" applyAlignment="1" applyBorder="1" applyFont="1">
      <alignment horizontal="center" readingOrder="0" shrinkToFit="0" vertical="center" wrapText="1"/>
    </xf>
    <xf borderId="0" fillId="6" fontId="26" numFmtId="0" xfId="0" applyAlignment="1" applyFont="1">
      <alignment readingOrder="0" shrinkToFit="0" vertical="center" wrapText="0"/>
    </xf>
    <xf borderId="0" fillId="6" fontId="27" numFmtId="0" xfId="0" applyAlignment="1" applyFont="1">
      <alignment readingOrder="0" shrinkToFit="0" vertical="center" wrapText="0"/>
    </xf>
    <xf borderId="1" fillId="0" fontId="12" numFmtId="0" xfId="0" applyAlignment="1" applyBorder="1" applyFont="1">
      <alignment horizontal="center" shrinkToFit="0" vertical="center" wrapText="1"/>
    </xf>
    <xf borderId="1" fillId="0" fontId="10" numFmtId="0" xfId="0" applyAlignment="1" applyBorder="1" applyFont="1">
      <alignment horizontal="center" shrinkToFit="0" vertical="center" wrapText="0"/>
    </xf>
    <xf borderId="1" fillId="6" fontId="20" numFmtId="0" xfId="0" applyAlignment="1" applyBorder="1" applyFont="1">
      <alignment horizontal="center" readingOrder="0" shrinkToFit="0" vertical="center" wrapText="1"/>
    </xf>
    <xf borderId="1" fillId="6" fontId="11" numFmtId="0" xfId="0" applyAlignment="1" applyBorder="1" applyFont="1">
      <alignment horizontal="center" shrinkToFit="0" vertical="center" wrapText="1"/>
    </xf>
    <xf borderId="1" fillId="6" fontId="11" numFmtId="0" xfId="0" applyAlignment="1" applyBorder="1" applyFont="1">
      <alignment horizontal="left" readingOrder="0" shrinkToFit="0" vertical="center" wrapText="1"/>
    </xf>
    <xf borderId="1" fillId="6" fontId="12" numFmtId="0" xfId="0" applyAlignment="1" applyBorder="1" applyFont="1">
      <alignment horizontal="center" readingOrder="0" shrinkToFit="0" vertical="center" wrapText="1"/>
    </xf>
    <xf borderId="1" fillId="6" fontId="10" numFmtId="0" xfId="0" applyAlignment="1" applyBorder="1" applyFont="1">
      <alignment horizontal="center" readingOrder="0" shrinkToFit="0" vertical="center" wrapText="0"/>
    </xf>
    <xf borderId="1" fillId="6" fontId="10" numFmtId="4" xfId="0" applyAlignment="1" applyBorder="1" applyFont="1" applyNumberFormat="1">
      <alignment readingOrder="0" shrinkToFit="0" vertical="center" wrapText="1"/>
    </xf>
    <xf borderId="1" fillId="6" fontId="10" numFmtId="164" xfId="0" applyAlignment="1" applyBorder="1" applyFont="1" applyNumberFormat="1">
      <alignment shrinkToFit="0" vertical="center" wrapText="1"/>
    </xf>
    <xf borderId="1" fillId="6" fontId="10" numFmtId="164" xfId="0" applyAlignment="1" applyBorder="1" applyFont="1" applyNumberFormat="1">
      <alignment shrinkToFit="0" vertical="center" wrapText="0"/>
    </xf>
    <xf borderId="1" fillId="6" fontId="15" numFmtId="0" xfId="0" applyAlignment="1" applyBorder="1" applyFont="1">
      <alignment shrinkToFit="0" vertical="center" wrapText="0"/>
    </xf>
    <xf borderId="1" fillId="6" fontId="16" numFmtId="0" xfId="0" applyAlignment="1" applyBorder="1" applyFont="1">
      <alignment readingOrder="0" shrinkToFit="0" vertical="center" wrapText="1"/>
    </xf>
    <xf borderId="1" fillId="6" fontId="17" numFmtId="0" xfId="0" applyAlignment="1" applyBorder="1" applyFont="1">
      <alignment horizontal="center" shrinkToFit="0" vertical="center" wrapText="1"/>
    </xf>
    <xf borderId="1" fillId="6" fontId="17" numFmtId="0" xfId="0" applyAlignment="1" applyBorder="1" applyFont="1">
      <alignment horizontal="center" shrinkToFit="0" vertical="center" wrapText="0"/>
    </xf>
    <xf borderId="1" fillId="6" fontId="17" numFmtId="0" xfId="0" applyAlignment="1" applyBorder="1" applyFont="1">
      <alignment horizontal="center" shrinkToFit="0" vertical="center" wrapText="0"/>
    </xf>
    <xf borderId="1" fillId="9" fontId="20" numFmtId="0" xfId="0" applyAlignment="1" applyBorder="1" applyFont="1">
      <alignment horizontal="center" readingOrder="0" shrinkToFit="0" vertical="center" wrapText="1"/>
    </xf>
    <xf borderId="1" fillId="9" fontId="11" numFmtId="0" xfId="0" applyAlignment="1" applyBorder="1" applyFont="1">
      <alignment horizontal="center" shrinkToFit="0" vertical="center" wrapText="1"/>
    </xf>
    <xf borderId="1" fillId="9" fontId="11" numFmtId="0" xfId="0" applyAlignment="1" applyBorder="1" applyFont="1">
      <alignment horizontal="left" readingOrder="0" shrinkToFit="0" vertical="center" wrapText="1"/>
    </xf>
    <xf borderId="1" fillId="9" fontId="12" numFmtId="0" xfId="0" applyAlignment="1" applyBorder="1" applyFont="1">
      <alignment horizontal="center" readingOrder="0" shrinkToFit="0" vertical="center" wrapText="1"/>
    </xf>
    <xf borderId="1" fillId="9" fontId="13" numFmtId="0" xfId="0" applyAlignment="1" applyBorder="1" applyFont="1">
      <alignment readingOrder="0" shrinkToFit="0" vertical="center" wrapText="0"/>
    </xf>
    <xf borderId="1" fillId="9" fontId="10" numFmtId="0" xfId="0" applyAlignment="1" applyBorder="1" applyFont="1">
      <alignment readingOrder="0" shrinkToFit="0" vertical="center" wrapText="0"/>
    </xf>
    <xf borderId="1" fillId="9" fontId="10" numFmtId="0" xfId="0" applyAlignment="1" applyBorder="1" applyFont="1">
      <alignment horizontal="center" readingOrder="0" shrinkToFit="0" vertical="center" wrapText="0"/>
    </xf>
    <xf borderId="1" fillId="9" fontId="14" numFmtId="0" xfId="0" applyAlignment="1" applyBorder="1" applyFont="1">
      <alignment readingOrder="0" shrinkToFit="0" vertical="center" wrapText="0"/>
    </xf>
    <xf borderId="1" fillId="9" fontId="10" numFmtId="0" xfId="0" applyAlignment="1" applyBorder="1" applyFont="1">
      <alignment horizontal="center" readingOrder="0" shrinkToFit="0" vertical="center" wrapText="1"/>
    </xf>
    <xf borderId="1" fillId="9" fontId="10" numFmtId="4" xfId="0" applyAlignment="1" applyBorder="1" applyFont="1" applyNumberFormat="1">
      <alignment readingOrder="0" shrinkToFit="0" vertical="center" wrapText="1"/>
    </xf>
    <xf borderId="1" fillId="9" fontId="10" numFmtId="164" xfId="0" applyAlignment="1" applyBorder="1" applyFont="1" applyNumberFormat="1">
      <alignment horizontal="center" readingOrder="0" shrinkToFit="0" vertical="center" wrapText="1"/>
    </xf>
    <xf borderId="1" fillId="9" fontId="10" numFmtId="164" xfId="0" applyAlignment="1" applyBorder="1" applyFont="1" applyNumberFormat="1">
      <alignment shrinkToFit="0" vertical="center" wrapText="1"/>
    </xf>
    <xf borderId="1" fillId="9" fontId="10" numFmtId="0" xfId="0" applyAlignment="1" applyBorder="1" applyFont="1">
      <alignment readingOrder="0" shrinkToFit="0" vertical="center" wrapText="1"/>
    </xf>
    <xf borderId="1" fillId="9" fontId="10" numFmtId="164" xfId="0" applyAlignment="1" applyBorder="1" applyFont="1" applyNumberFormat="1">
      <alignment shrinkToFit="0" vertical="center" wrapText="0"/>
    </xf>
    <xf borderId="1" fillId="9" fontId="15" numFmtId="0" xfId="0" applyAlignment="1" applyBorder="1" applyFont="1">
      <alignment shrinkToFit="0" vertical="center" wrapText="0"/>
    </xf>
    <xf borderId="1" fillId="9" fontId="15" numFmtId="0" xfId="0" applyAlignment="1" applyBorder="1" applyFont="1">
      <alignment readingOrder="0" shrinkToFit="0" vertical="center" wrapText="0"/>
    </xf>
    <xf borderId="1" fillId="9" fontId="16" numFmtId="0" xfId="0" applyAlignment="1" applyBorder="1" applyFont="1">
      <alignment readingOrder="0" shrinkToFit="0" vertical="center" wrapText="1"/>
    </xf>
    <xf borderId="1" fillId="9" fontId="16" numFmtId="0" xfId="0" applyAlignment="1" applyBorder="1" applyFont="1">
      <alignment readingOrder="0" shrinkToFit="0" vertical="center" wrapText="1"/>
    </xf>
    <xf borderId="1" fillId="9" fontId="16" numFmtId="164" xfId="0" applyAlignment="1" applyBorder="1" applyFont="1" applyNumberFormat="1">
      <alignment readingOrder="0" shrinkToFit="0" vertical="center" wrapText="1"/>
    </xf>
    <xf borderId="1" fillId="9" fontId="16" numFmtId="0" xfId="0" applyAlignment="1" applyBorder="1" applyFont="1">
      <alignment horizontal="center" readingOrder="0" shrinkToFit="0" vertical="center" wrapText="1"/>
    </xf>
    <xf borderId="1" fillId="9" fontId="17" numFmtId="0" xfId="0" applyAlignment="1" applyBorder="1" applyFont="1">
      <alignment horizontal="center" shrinkToFit="0" vertical="center" wrapText="1"/>
    </xf>
    <xf borderId="1" fillId="9" fontId="17" numFmtId="0" xfId="0" applyAlignment="1" applyBorder="1" applyFont="1">
      <alignment horizontal="center" shrinkToFit="0" vertical="center" wrapText="0"/>
    </xf>
    <xf borderId="1" fillId="9" fontId="17" numFmtId="0" xfId="0" applyAlignment="1" applyBorder="1" applyFont="1">
      <alignment horizontal="center" shrinkToFit="0" vertical="center" wrapText="0"/>
    </xf>
    <xf borderId="1" fillId="8" fontId="17" numFmtId="0" xfId="0" applyAlignment="1" applyBorder="1" applyFont="1">
      <alignment horizontal="center" shrinkToFit="0" vertical="center" wrapText="0"/>
    </xf>
    <xf borderId="1" fillId="9" fontId="17" numFmtId="0" xfId="0" applyAlignment="1" applyBorder="1" applyFont="1">
      <alignment horizontal="center" readingOrder="0" shrinkToFit="0" vertical="center" wrapText="1"/>
    </xf>
    <xf borderId="0" fillId="6" fontId="28" numFmtId="0" xfId="0" applyAlignment="1" applyFont="1">
      <alignment readingOrder="0" shrinkToFit="0" vertical="center" wrapText="0"/>
    </xf>
    <xf borderId="1" fillId="10" fontId="15" numFmtId="0" xfId="0" applyBorder="1" applyFill="1" applyFont="1"/>
    <xf borderId="0" fillId="10" fontId="15" numFmtId="0" xfId="0" applyFont="1"/>
    <xf borderId="1" fillId="0" fontId="29" numFmtId="0" xfId="0" applyAlignment="1" applyBorder="1" applyFont="1">
      <alignment horizontal="center" readingOrder="0" shrinkToFit="0" vertical="center" wrapText="1"/>
    </xf>
    <xf borderId="1" fillId="0" fontId="15" numFmtId="0" xfId="0" applyAlignment="1" applyBorder="1" applyFont="1">
      <alignment shrinkToFit="0" vertical="center" wrapText="0"/>
    </xf>
    <xf borderId="0" fillId="0" fontId="30" numFmtId="0" xfId="0" applyAlignment="1" applyFont="1">
      <alignment readingOrder="0" shrinkToFit="0" vertical="center" wrapText="0"/>
    </xf>
    <xf borderId="0" fillId="8" fontId="17" numFmtId="0" xfId="0" applyAlignment="1" applyFont="1">
      <alignment horizontal="center" shrinkToFit="0" vertical="center" wrapText="1"/>
    </xf>
    <xf borderId="1" fillId="0" fontId="31" numFmtId="0" xfId="0" applyAlignment="1" applyBorder="1" applyFont="1">
      <alignment horizontal="center" readingOrder="0" shrinkToFit="0" vertical="center" wrapText="1"/>
    </xf>
    <xf borderId="1" fillId="0" fontId="12" numFmtId="0" xfId="0" applyAlignment="1" applyBorder="1" applyFont="1">
      <alignment readingOrder="0" shrinkToFit="0" vertical="center" wrapText="0"/>
    </xf>
    <xf borderId="1" fillId="5" fontId="20" numFmtId="0" xfId="0" applyAlignment="1" applyBorder="1" applyFont="1">
      <alignment horizontal="center" readingOrder="0" shrinkToFit="0" vertical="center" wrapText="1"/>
    </xf>
    <xf borderId="1" fillId="5" fontId="11" numFmtId="0" xfId="0" applyAlignment="1" applyBorder="1" applyFont="1">
      <alignment horizontal="center" shrinkToFit="0" vertical="center" wrapText="1"/>
    </xf>
    <xf borderId="1" fillId="5" fontId="22" numFmtId="0" xfId="0" applyAlignment="1" applyBorder="1" applyFont="1">
      <alignment readingOrder="0" shrinkToFit="0" vertical="center" wrapText="1"/>
    </xf>
    <xf borderId="1" fillId="5" fontId="12" numFmtId="0" xfId="0" applyAlignment="1" applyBorder="1" applyFont="1">
      <alignment horizontal="center" readingOrder="0" shrinkToFit="0" vertical="center" wrapText="1"/>
    </xf>
    <xf borderId="1" fillId="5" fontId="10" numFmtId="0" xfId="0" applyAlignment="1" applyBorder="1" applyFont="1">
      <alignment readingOrder="0" shrinkToFit="0" vertical="center" wrapText="0"/>
    </xf>
    <xf borderId="1" fillId="5" fontId="10" numFmtId="0" xfId="0" applyAlignment="1" applyBorder="1" applyFont="1">
      <alignment horizontal="center" readingOrder="0" shrinkToFit="0" vertical="center" wrapText="0"/>
    </xf>
    <xf borderId="1" fillId="5" fontId="10" numFmtId="4" xfId="0" applyAlignment="1" applyBorder="1" applyFont="1" applyNumberFormat="1">
      <alignment readingOrder="0" shrinkToFit="0" vertical="center" wrapText="1"/>
    </xf>
    <xf borderId="1" fillId="5" fontId="10" numFmtId="164" xfId="0" applyAlignment="1" applyBorder="1" applyFont="1" applyNumberFormat="1">
      <alignment shrinkToFit="0" vertical="center" wrapText="1"/>
    </xf>
    <xf borderId="1" fillId="5" fontId="15" numFmtId="0" xfId="0" applyAlignment="1" applyBorder="1" applyFont="1">
      <alignment readingOrder="0" shrinkToFit="0" vertical="center" wrapText="0"/>
    </xf>
    <xf borderId="1" fillId="5" fontId="16" numFmtId="0" xfId="0" applyAlignment="1" applyBorder="1" applyFont="1">
      <alignment readingOrder="0" shrinkToFit="0" vertical="center" wrapText="1"/>
    </xf>
    <xf borderId="1" fillId="5" fontId="17" numFmtId="0" xfId="0" applyAlignment="1" applyBorder="1" applyFont="1">
      <alignment horizontal="center" shrinkToFit="0" vertical="center" wrapText="1"/>
    </xf>
    <xf borderId="1" fillId="0" fontId="32" numFmtId="0" xfId="0" applyAlignment="1" applyBorder="1" applyFont="1">
      <alignment horizontal="center" readingOrder="0" shrinkToFit="0" vertical="center" wrapText="1"/>
    </xf>
    <xf borderId="1" fillId="7" fontId="21" numFmtId="0" xfId="0" applyAlignment="1" applyBorder="1" applyFont="1">
      <alignment horizontal="center" readingOrder="0" shrinkToFit="0" vertical="center" wrapText="1"/>
    </xf>
    <xf borderId="0" fillId="0" fontId="33" numFmtId="0" xfId="0" applyAlignment="1" applyFont="1">
      <alignment horizontal="left" readingOrder="0" shrinkToFit="0" vertical="center" wrapText="1"/>
    </xf>
    <xf borderId="1" fillId="0" fontId="16" numFmtId="0" xfId="0" applyAlignment="1" applyBorder="1" applyFont="1">
      <alignment shrinkToFit="0" vertical="center" wrapText="1"/>
    </xf>
    <xf borderId="1" fillId="0" fontId="2" numFmtId="0" xfId="0" applyAlignment="1" applyBorder="1" applyFont="1">
      <alignment readingOrder="0" shrinkToFit="0" vertical="center" wrapText="0"/>
    </xf>
    <xf borderId="1" fillId="7" fontId="13" numFmtId="0" xfId="0" applyAlignment="1" applyBorder="1" applyFont="1">
      <alignment horizontal="center" readingOrder="0" shrinkToFit="0" vertical="center" wrapText="1"/>
    </xf>
    <xf borderId="1" fillId="0" fontId="34" numFmtId="0" xfId="0" applyAlignment="1" applyBorder="1" applyFont="1">
      <alignment readingOrder="0" shrinkToFit="0" vertical="center" wrapText="1"/>
    </xf>
    <xf borderId="1" fillId="0" fontId="15" numFmtId="0" xfId="0" applyAlignment="1" applyBorder="1" applyFont="1">
      <alignment shrinkToFit="0" vertical="center" wrapText="0"/>
    </xf>
    <xf borderId="1" fillId="0" fontId="35" numFmtId="0" xfId="0" applyAlignment="1" applyBorder="1" applyFont="1">
      <alignment horizontal="center" readingOrder="0" shrinkToFit="0" vertical="center" wrapText="0"/>
    </xf>
    <xf borderId="1" fillId="6" fontId="17" numFmtId="0" xfId="0" applyAlignment="1" applyBorder="1" applyFont="1">
      <alignment horizontal="center" readingOrder="0" shrinkToFit="0" vertical="center" wrapText="1"/>
    </xf>
    <xf borderId="1" fillId="6" fontId="17" numFmtId="0" xfId="0" applyAlignment="1" applyBorder="1" applyFont="1">
      <alignment horizontal="center" readingOrder="0" shrinkToFit="0" vertical="center" wrapText="0"/>
    </xf>
    <xf borderId="1" fillId="7" fontId="17" numFmtId="165" xfId="0" applyAlignment="1" applyBorder="1" applyFont="1" applyNumberFormat="1">
      <alignment horizontal="center" readingOrder="0" shrinkToFit="0" vertical="center" wrapText="1"/>
    </xf>
    <xf borderId="1" fillId="6" fontId="36" numFmtId="0" xfId="0" applyAlignment="1" applyBorder="1" applyFont="1">
      <alignment readingOrder="0" shrinkToFit="0" vertical="center" wrapText="1"/>
    </xf>
    <xf borderId="0" fillId="7" fontId="17" numFmtId="0" xfId="0" applyAlignment="1" applyFont="1">
      <alignment horizontal="center" readingOrder="0" shrinkToFit="0" vertical="center" wrapText="1"/>
    </xf>
    <xf borderId="1" fillId="11" fontId="10" numFmtId="0" xfId="0" applyAlignment="1" applyBorder="1" applyFill="1" applyFont="1">
      <alignment horizontal="center" readingOrder="0" shrinkToFit="0" vertical="center" wrapText="1"/>
    </xf>
    <xf borderId="1" fillId="6" fontId="12" numFmtId="0" xfId="0" applyAlignment="1" applyBorder="1" applyFont="1">
      <alignment horizontal="left" readingOrder="0" shrinkToFit="0" vertical="center" wrapText="1"/>
    </xf>
    <xf borderId="1" fillId="6" fontId="27" numFmtId="0" xfId="0" applyAlignment="1" applyBorder="1" applyFont="1">
      <alignment readingOrder="0" shrinkToFit="0" vertical="center" wrapText="0"/>
    </xf>
    <xf borderId="5" fillId="7" fontId="17" numFmtId="0" xfId="0" applyAlignment="1" applyBorder="1" applyFont="1">
      <alignment horizontal="center" shrinkToFit="0" vertical="center" wrapText="1"/>
    </xf>
    <xf borderId="1" fillId="0" fontId="12" numFmtId="3" xfId="0" applyAlignment="1" applyBorder="1" applyFont="1" applyNumberFormat="1">
      <alignment horizontal="center" readingOrder="0" shrinkToFit="0" vertical="center" wrapText="1"/>
    </xf>
    <xf borderId="1" fillId="0" fontId="14" numFmtId="0" xfId="0" applyAlignment="1" applyBorder="1" applyFont="1">
      <alignment readingOrder="0" shrinkToFit="0" vertical="center" wrapText="0"/>
    </xf>
    <xf borderId="1" fillId="0" fontId="30" numFmtId="0" xfId="0" applyAlignment="1" applyBorder="1" applyFont="1">
      <alignment readingOrder="0" shrinkToFit="0" vertical="center" wrapText="0"/>
    </xf>
    <xf borderId="1" fillId="6" fontId="37" numFmtId="0" xfId="0" applyAlignment="1" applyBorder="1" applyFont="1">
      <alignment horizontal="right" readingOrder="0" shrinkToFit="0" vertical="bottom" wrapText="0"/>
    </xf>
    <xf borderId="0" fillId="7" fontId="17" numFmtId="0" xfId="0" applyAlignment="1" applyFont="1">
      <alignment horizontal="left" readingOrder="0" shrinkToFit="0" vertical="center" wrapText="1"/>
    </xf>
    <xf borderId="1" fillId="7" fontId="17" numFmtId="0" xfId="0" applyAlignment="1" applyBorder="1" applyFont="1">
      <alignment horizontal="left" readingOrder="0" shrinkToFit="0" vertical="center" wrapText="1"/>
    </xf>
    <xf borderId="1" fillId="0" fontId="10" numFmtId="0" xfId="0" applyAlignment="1" applyBorder="1" applyFont="1">
      <alignment shrinkToFit="0" vertical="center" wrapText="0"/>
    </xf>
    <xf borderId="1" fillId="6" fontId="38" numFmtId="0" xfId="0" applyAlignment="1" applyBorder="1" applyFont="1">
      <alignment horizontal="center" readingOrder="0" shrinkToFit="0" vertical="center" wrapText="1"/>
    </xf>
    <xf borderId="1" fillId="6" fontId="39" numFmtId="0" xfId="0" applyAlignment="1" applyBorder="1" applyFont="1">
      <alignment readingOrder="0" shrinkToFit="0" vertical="center" wrapText="0"/>
    </xf>
    <xf borderId="1" fillId="0" fontId="10" numFmtId="166" xfId="0" applyAlignment="1" applyBorder="1" applyFont="1" applyNumberFormat="1">
      <alignment horizontal="center" readingOrder="0" shrinkToFit="0" vertical="center" wrapText="1"/>
    </xf>
    <xf borderId="1" fillId="9" fontId="20" numFmtId="0" xfId="0" applyAlignment="1" applyBorder="1" applyFont="1">
      <alignment readingOrder="0" shrinkToFit="0" vertical="center" wrapText="0"/>
    </xf>
    <xf borderId="1" fillId="9" fontId="40" numFmtId="0" xfId="0" applyAlignment="1" applyBorder="1" applyFont="1">
      <alignment horizontal="center" readingOrder="0" shrinkToFit="0" vertical="center" wrapText="0"/>
    </xf>
    <xf borderId="1" fillId="9" fontId="10" numFmtId="0" xfId="0" applyAlignment="1" applyBorder="1" applyFont="1">
      <alignment readingOrder="0" shrinkToFit="0" vertical="center" wrapText="1"/>
    </xf>
    <xf borderId="1" fillId="9" fontId="16" numFmtId="0" xfId="0" applyAlignment="1" applyBorder="1" applyFont="1">
      <alignment horizontal="center" shrinkToFit="0" vertical="center" wrapText="1"/>
    </xf>
    <xf borderId="1" fillId="9" fontId="17" numFmtId="0" xfId="0" applyAlignment="1" applyBorder="1" applyFont="1">
      <alignment horizontal="left" readingOrder="0" shrinkToFit="0" vertical="center" wrapText="0"/>
    </xf>
    <xf borderId="1" fillId="6" fontId="20" numFmtId="0" xfId="0" applyAlignment="1" applyBorder="1" applyFont="1">
      <alignment readingOrder="0" shrinkToFit="0" vertical="center" wrapText="0"/>
    </xf>
    <xf borderId="1" fillId="6" fontId="10" numFmtId="0" xfId="0" applyAlignment="1" applyBorder="1" applyFont="1">
      <alignment readingOrder="0" shrinkToFit="0" vertical="center" wrapText="1"/>
    </xf>
    <xf borderId="1" fillId="6" fontId="16" numFmtId="0" xfId="0" applyAlignment="1" applyBorder="1" applyFont="1">
      <alignment horizontal="center" shrinkToFit="0" vertical="center" wrapText="1"/>
    </xf>
    <xf borderId="1" fillId="6" fontId="17" numFmtId="0" xfId="0" applyAlignment="1" applyBorder="1" applyFont="1">
      <alignment horizontal="left" readingOrder="0" shrinkToFit="0" vertical="center" wrapText="0"/>
    </xf>
    <xf borderId="1" fillId="9" fontId="41" numFmtId="0" xfId="0" applyAlignment="1" applyBorder="1" applyFont="1">
      <alignment horizontal="center" readingOrder="0" shrinkToFit="0" vertical="center" wrapText="1"/>
    </xf>
    <xf borderId="1" fillId="9" fontId="41" numFmtId="0" xfId="0" applyAlignment="1" applyBorder="1" applyFont="1">
      <alignment horizontal="center" shrinkToFit="0" vertical="center" wrapText="0"/>
    </xf>
    <xf borderId="1" fillId="9" fontId="41" numFmtId="0" xfId="0" applyAlignment="1" applyBorder="1" applyFont="1">
      <alignment horizontal="left" readingOrder="0" shrinkToFit="0" vertical="center" wrapText="0"/>
    </xf>
    <xf borderId="1" fillId="9" fontId="13" numFmtId="0" xfId="0" applyAlignment="1" applyBorder="1" applyFont="1">
      <alignment readingOrder="0" shrinkToFit="0" vertical="center" wrapText="0"/>
    </xf>
    <xf borderId="1" fillId="9" fontId="14" numFmtId="0" xfId="0" applyAlignment="1" applyBorder="1" applyFont="1">
      <alignment readingOrder="0" shrinkToFit="0" vertical="center" wrapText="0"/>
    </xf>
    <xf borderId="1" fillId="9" fontId="15" numFmtId="0" xfId="0" applyAlignment="1" applyBorder="1" applyFont="1">
      <alignment readingOrder="0" shrinkToFit="0" vertical="center" wrapText="0"/>
    </xf>
    <xf borderId="1" fillId="9" fontId="16" numFmtId="0" xfId="0" applyAlignment="1" applyBorder="1" applyFont="1">
      <alignment readingOrder="0" shrinkToFit="0" vertical="center" wrapText="1"/>
    </xf>
    <xf borderId="0" fillId="9" fontId="16" numFmtId="164" xfId="0" applyAlignment="1" applyFont="1" applyNumberFormat="1">
      <alignment readingOrder="0" shrinkToFit="0" vertical="center" wrapText="1"/>
    </xf>
    <xf borderId="5" fillId="9" fontId="16" numFmtId="0" xfId="0" applyAlignment="1" applyBorder="1" applyFont="1">
      <alignment horizontal="center" shrinkToFit="0" vertical="center" wrapText="1"/>
    </xf>
    <xf borderId="1" fillId="6" fontId="13" numFmtId="0" xfId="0" applyAlignment="1" applyBorder="1" applyFont="1">
      <alignment readingOrder="0" shrinkToFit="0" vertical="center" wrapText="0"/>
    </xf>
    <xf borderId="1" fillId="6" fontId="20" numFmtId="0" xfId="0" applyAlignment="1" applyBorder="1" applyFont="1">
      <alignment horizontal="center" readingOrder="0" shrinkToFit="0" vertical="center" wrapText="0"/>
    </xf>
    <xf borderId="5" fillId="0" fontId="20" numFmtId="0" xfId="0" applyAlignment="1" applyBorder="1" applyFont="1">
      <alignment horizontal="center" readingOrder="0" shrinkToFit="0" vertical="center" wrapText="1"/>
    </xf>
    <xf borderId="5" fillId="6" fontId="20" numFmtId="0" xfId="0" applyAlignment="1" applyBorder="1" applyFont="1">
      <alignment readingOrder="0" shrinkToFit="0" vertical="center" wrapText="0"/>
    </xf>
    <xf borderId="5" fillId="9" fontId="20" numFmtId="0" xfId="0" applyAlignment="1" applyBorder="1" applyFont="1">
      <alignment readingOrder="0" shrinkToFit="0" vertical="center" wrapText="0"/>
    </xf>
    <xf borderId="1" fillId="0" fontId="10" numFmtId="0" xfId="0" applyAlignment="1" applyBorder="1" applyFont="1">
      <alignment readingOrder="0" shrinkToFit="0" vertical="center" wrapText="1"/>
    </xf>
    <xf borderId="1" fillId="7" fontId="13" numFmtId="0" xfId="0" applyAlignment="1" applyBorder="1" applyFont="1">
      <alignment horizontal="center" readingOrder="0" shrinkToFit="0" vertical="center" wrapText="0"/>
    </xf>
    <xf borderId="1" fillId="0" fontId="13" numFmtId="0" xfId="0" applyAlignment="1" applyBorder="1" applyFont="1">
      <alignment readingOrder="0" shrinkToFit="0" vertical="center" wrapText="0"/>
    </xf>
    <xf borderId="1" fillId="6" fontId="14" numFmtId="0" xfId="0" applyAlignment="1" applyBorder="1" applyFont="1">
      <alignment readingOrder="0" shrinkToFit="0" vertical="center" wrapText="0"/>
    </xf>
    <xf borderId="1" fillId="6" fontId="16" numFmtId="0" xfId="0" applyAlignment="1" applyBorder="1" applyFont="1">
      <alignment readingOrder="0" shrinkToFit="0" vertical="center" wrapText="1"/>
    </xf>
    <xf borderId="1" fillId="6" fontId="41" numFmtId="0" xfId="0" applyAlignment="1" applyBorder="1" applyFont="1">
      <alignment horizontal="left" readingOrder="0" shrinkToFit="0" vertical="center" wrapText="0"/>
    </xf>
    <xf borderId="1" fillId="0" fontId="42" numFmtId="0" xfId="0" applyAlignment="1" applyBorder="1" applyFont="1">
      <alignment readingOrder="0" shrinkToFit="0" vertical="center" wrapText="0"/>
    </xf>
    <xf borderId="5" fillId="5" fontId="20" numFmtId="0" xfId="0" applyAlignment="1" applyBorder="1" applyFont="1">
      <alignment horizontal="center" readingOrder="0" shrinkToFit="0" vertical="center" wrapText="1"/>
    </xf>
    <xf borderId="1" fillId="5" fontId="15" numFmtId="0" xfId="0" applyAlignment="1" applyBorder="1" applyFont="1">
      <alignment shrinkToFit="0" vertical="center" wrapText="0"/>
    </xf>
    <xf borderId="5" fillId="6" fontId="20" numFmtId="0" xfId="0" applyAlignment="1" applyBorder="1" applyFont="1">
      <alignment horizontal="center" readingOrder="0" shrinkToFit="0" vertical="center" wrapText="1"/>
    </xf>
    <xf borderId="5" fillId="0" fontId="20" numFmtId="0" xfId="0" applyAlignment="1" applyBorder="1" applyFont="1">
      <alignment horizontal="center" readingOrder="0" shrinkToFit="0" wrapText="1"/>
    </xf>
    <xf borderId="1" fillId="0" fontId="11" numFmtId="0" xfId="0" applyAlignment="1" applyBorder="1" applyFont="1">
      <alignment horizontal="center" shrinkToFit="0" vertical="center" wrapText="1"/>
    </xf>
    <xf borderId="1" fillId="0" fontId="43" numFmtId="0" xfId="0" applyAlignment="1" applyBorder="1" applyFont="1">
      <alignment readingOrder="0"/>
    </xf>
    <xf borderId="1" fillId="0" fontId="12" numFmtId="0" xfId="0" applyAlignment="1" applyBorder="1" applyFont="1">
      <alignment horizontal="center" readingOrder="0" shrinkToFit="0" wrapText="1"/>
    </xf>
    <xf borderId="1" fillId="0" fontId="13" numFmtId="0" xfId="0" applyAlignment="1" applyBorder="1" applyFont="1">
      <alignment readingOrder="0" shrinkToFit="0" wrapText="0"/>
    </xf>
    <xf borderId="1" fillId="0" fontId="10" numFmtId="0" xfId="0" applyAlignment="1" applyBorder="1" applyFont="1">
      <alignment readingOrder="0" shrinkToFit="0" wrapText="0"/>
    </xf>
    <xf borderId="1" fillId="0" fontId="10" numFmtId="0" xfId="0" applyAlignment="1" applyBorder="1" applyFont="1">
      <alignment horizontal="center" readingOrder="0" shrinkToFit="0" wrapText="0"/>
    </xf>
    <xf borderId="1" fillId="0" fontId="14" numFmtId="0" xfId="0" applyAlignment="1" applyBorder="1" applyFont="1">
      <alignment readingOrder="0" shrinkToFit="0" wrapText="0"/>
    </xf>
    <xf borderId="1" fillId="0" fontId="14" numFmtId="0" xfId="0" applyAlignment="1" applyBorder="1" applyFont="1">
      <alignment shrinkToFit="0" wrapText="0"/>
    </xf>
    <xf borderId="1" fillId="0" fontId="10" numFmtId="0" xfId="0" applyAlignment="1" applyBorder="1" applyFont="1">
      <alignment horizontal="center" readingOrder="0" shrinkToFit="0" vertical="center" wrapText="1"/>
    </xf>
    <xf borderId="1" fillId="0" fontId="10" numFmtId="0" xfId="0" applyAlignment="1" applyBorder="1" applyFont="1">
      <alignment horizontal="center" readingOrder="0" shrinkToFit="0" wrapText="1"/>
    </xf>
    <xf borderId="1" fillId="0" fontId="10" numFmtId="164" xfId="0" applyAlignment="1" applyBorder="1" applyFont="1" applyNumberFormat="1">
      <alignment horizontal="center" readingOrder="0" shrinkToFit="0" wrapText="1"/>
    </xf>
    <xf borderId="1" fillId="0" fontId="10" numFmtId="164" xfId="0" applyAlignment="1" applyBorder="1" applyFont="1" applyNumberFormat="1">
      <alignment shrinkToFit="0" wrapText="1"/>
    </xf>
    <xf borderId="1" fillId="0" fontId="10" numFmtId="0" xfId="0" applyAlignment="1" applyBorder="1" applyFont="1">
      <alignment readingOrder="0" shrinkToFit="0" wrapText="1"/>
    </xf>
    <xf borderId="1" fillId="0" fontId="10" numFmtId="164" xfId="0" applyBorder="1" applyFont="1" applyNumberFormat="1"/>
    <xf borderId="1" fillId="0" fontId="15" numFmtId="0" xfId="0" applyAlignment="1" applyBorder="1" applyFont="1">
      <alignment readingOrder="0"/>
    </xf>
    <xf borderId="1" fillId="0" fontId="16" numFmtId="0" xfId="0" applyAlignment="1" applyBorder="1" applyFont="1">
      <alignment readingOrder="0" shrinkToFit="0" wrapText="1"/>
    </xf>
    <xf borderId="1" fillId="0" fontId="16" numFmtId="0" xfId="0" applyAlignment="1" applyBorder="1" applyFont="1">
      <alignment readingOrder="0" shrinkToFit="0" wrapText="1"/>
    </xf>
    <xf borderId="1" fillId="0" fontId="16" numFmtId="0" xfId="0" applyAlignment="1" applyBorder="1" applyFont="1">
      <alignment horizontal="center" readingOrder="0" shrinkToFit="0" wrapText="1"/>
    </xf>
    <xf borderId="1" fillId="7" fontId="17" numFmtId="0" xfId="0" applyAlignment="1" applyBorder="1" applyFont="1">
      <alignment horizontal="center" readingOrder="0" shrinkToFit="0" wrapText="1"/>
    </xf>
    <xf borderId="1" fillId="7" fontId="17" numFmtId="0" xfId="0" applyAlignment="1" applyBorder="1" applyFont="1">
      <alignment horizontal="center" readingOrder="0"/>
    </xf>
    <xf borderId="1" fillId="7" fontId="17" numFmtId="0" xfId="0" applyAlignment="1" applyBorder="1" applyFont="1">
      <alignment horizontal="center"/>
    </xf>
    <xf borderId="1" fillId="7" fontId="44" numFmtId="0" xfId="0" applyAlignment="1" applyBorder="1" applyFont="1">
      <alignment horizontal="center" shrinkToFit="0" vertical="center" wrapText="1"/>
    </xf>
    <xf borderId="5" fillId="6" fontId="17"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7" fontId="44" numFmtId="0" xfId="0" applyAlignment="1" applyBorder="1" applyFont="1">
      <alignment horizontal="center" readingOrder="0" shrinkToFit="0" vertical="center" wrapText="1"/>
    </xf>
    <xf borderId="0" fillId="6" fontId="11" numFmtId="0" xfId="0" applyAlignment="1" applyFont="1">
      <alignment horizontal="left" readingOrder="0" shrinkToFit="0" vertical="center" wrapText="1"/>
    </xf>
    <xf borderId="5" fillId="0" fontId="15" numFmtId="0" xfId="0" applyAlignment="1" applyBorder="1" applyFont="1">
      <alignment shrinkToFit="0" vertical="center" wrapText="0"/>
    </xf>
    <xf borderId="1" fillId="0" fontId="3" numFmtId="0" xfId="0" applyAlignment="1" applyBorder="1" applyFont="1">
      <alignment readingOrder="0" shrinkToFit="0" vertical="center" wrapText="0"/>
    </xf>
    <xf borderId="1" fillId="0" fontId="40" numFmtId="0" xfId="0" applyAlignment="1" applyBorder="1" applyFont="1">
      <alignment horizontal="center" readingOrder="0" shrinkToFit="0" vertical="center" wrapText="1"/>
    </xf>
    <xf borderId="5" fillId="7" fontId="17" numFmtId="0" xfId="0" applyAlignment="1" applyBorder="1" applyFont="1">
      <alignment horizontal="center" readingOrder="0" shrinkToFit="0" vertical="center" wrapText="1"/>
    </xf>
    <xf borderId="1" fillId="6" fontId="14" numFmtId="0" xfId="0" applyAlignment="1" applyBorder="1" applyFont="1">
      <alignment shrinkToFit="0" vertical="center" wrapText="0"/>
    </xf>
    <xf borderId="1" fillId="6" fontId="10" numFmtId="0" xfId="0" applyAlignment="1" applyBorder="1" applyFont="1">
      <alignment readingOrder="0" shrinkToFit="0" vertical="center" wrapText="1"/>
    </xf>
    <xf borderId="1" fillId="0" fontId="13" numFmtId="0" xfId="0" applyAlignment="1" applyBorder="1" applyFont="1">
      <alignment horizontal="center" readingOrder="0" shrinkToFit="0" vertical="center" wrapText="1"/>
    </xf>
    <xf borderId="1" fillId="5" fontId="45" numFmtId="0" xfId="0" applyAlignment="1" applyBorder="1" applyFont="1">
      <alignment horizontal="center" readingOrder="0" shrinkToFit="0" vertical="center" wrapText="0"/>
    </xf>
    <xf borderId="1" fillId="7" fontId="10" numFmtId="0" xfId="0" applyAlignment="1" applyBorder="1" applyFont="1">
      <alignment horizontal="center" readingOrder="0" shrinkToFit="0" vertical="center" wrapText="1"/>
    </xf>
    <xf borderId="0" fillId="0" fontId="10" numFmtId="0" xfId="0" applyAlignment="1" applyFont="1">
      <alignment horizontal="center" readingOrder="0" shrinkToFit="0" vertical="center" wrapText="0"/>
    </xf>
    <xf borderId="1" fillId="0" fontId="11" numFmtId="0" xfId="0" applyAlignment="1" applyBorder="1" applyFont="1">
      <alignment horizontal="left" shrinkToFit="0" vertical="center" wrapText="1"/>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0" fontId="4" numFmtId="0" xfId="0" applyAlignment="1" applyBorder="1" applyFont="1">
      <alignment horizontal="center" readingOrder="0" shrinkToFit="0" vertical="center" wrapText="0"/>
    </xf>
    <xf borderId="1" fillId="0" fontId="6" numFmtId="0" xfId="0" applyAlignment="1" applyBorder="1" applyFont="1">
      <alignment readingOrder="0" shrinkToFit="0" vertical="center" wrapText="0"/>
    </xf>
    <xf borderId="1" fillId="0" fontId="4" numFmtId="0" xfId="0" applyAlignment="1" applyBorder="1" applyFont="1">
      <alignment horizontal="center" readingOrder="0" shrinkToFit="0" vertical="center" wrapText="1"/>
    </xf>
    <xf borderId="1" fillId="0" fontId="4" numFmtId="4" xfId="0" applyAlignment="1" applyBorder="1" applyFont="1" applyNumberFormat="1">
      <alignment readingOrder="0" shrinkToFit="0" vertical="center" wrapText="1"/>
    </xf>
    <xf borderId="1" fillId="0" fontId="4" numFmtId="164" xfId="0" applyAlignment="1" applyBorder="1" applyFont="1" applyNumberFormat="1">
      <alignment horizontal="center" readingOrder="0" shrinkToFit="0" vertical="center" wrapText="1"/>
    </xf>
    <xf borderId="1" fillId="0" fontId="4" numFmtId="164" xfId="0" applyAlignment="1" applyBorder="1" applyFont="1" applyNumberFormat="1">
      <alignment shrinkToFit="0" vertical="center" wrapText="1"/>
    </xf>
    <xf borderId="1" fillId="0" fontId="4" numFmtId="0" xfId="0" applyAlignment="1" applyBorder="1" applyFont="1">
      <alignment readingOrder="0" shrinkToFit="0" vertical="center" wrapText="1"/>
    </xf>
    <xf borderId="1" fillId="0" fontId="4" numFmtId="164" xfId="0" applyAlignment="1" applyBorder="1" applyFont="1" applyNumberFormat="1">
      <alignment shrinkToFit="0" vertical="center" wrapText="0"/>
    </xf>
    <xf borderId="1" fillId="0" fontId="4" numFmtId="0" xfId="0" applyAlignment="1" applyBorder="1" applyFont="1">
      <alignment readingOrder="0" shrinkToFit="0" vertical="center" wrapText="1"/>
    </xf>
    <xf borderId="1" fillId="0" fontId="4" numFmtId="164" xfId="0" applyAlignment="1" applyBorder="1" applyFont="1" applyNumberFormat="1">
      <alignment readingOrder="0" shrinkToFit="0" vertical="center" wrapText="1"/>
    </xf>
    <xf borderId="1" fillId="7" fontId="8" numFmtId="0" xfId="0" applyAlignment="1" applyBorder="1" applyFont="1">
      <alignment horizontal="center" readingOrder="0" shrinkToFit="0" vertical="center" wrapText="1"/>
    </xf>
    <xf borderId="1" fillId="7" fontId="8" numFmtId="0" xfId="0" applyAlignment="1" applyBorder="1" applyFont="1">
      <alignment horizontal="center" shrinkToFit="0" vertical="center" wrapText="1"/>
    </xf>
    <xf borderId="1" fillId="7" fontId="8" numFmtId="0" xfId="0" applyAlignment="1" applyBorder="1" applyFont="1">
      <alignment horizontal="center" shrinkToFit="0" vertical="center" wrapText="0"/>
    </xf>
    <xf borderId="1" fillId="6" fontId="46" numFmtId="0" xfId="0" applyAlignment="1" applyBorder="1" applyFont="1">
      <alignment shrinkToFit="0" vertical="center" wrapText="1"/>
    </xf>
    <xf borderId="1" fillId="0" fontId="5" numFmtId="0" xfId="0" applyAlignment="1" applyBorder="1" applyFont="1">
      <alignment readingOrder="0" shrinkToFit="0" vertical="center" wrapText="0"/>
    </xf>
    <xf borderId="1" fillId="0" fontId="6" numFmtId="0" xfId="0" applyAlignment="1" applyBorder="1" applyFont="1">
      <alignment readingOrder="0" shrinkToFit="0" vertical="center" wrapText="0"/>
    </xf>
    <xf borderId="1" fillId="0" fontId="4" numFmtId="0" xfId="0" applyAlignment="1" applyBorder="1" applyFont="1">
      <alignment readingOrder="0" shrinkToFit="0" vertical="center" wrapText="1"/>
    </xf>
    <xf borderId="1" fillId="0" fontId="9" numFmtId="0" xfId="0" applyAlignment="1" applyBorder="1" applyFont="1">
      <alignment readingOrder="0" shrinkToFit="0" vertical="center" wrapText="0"/>
    </xf>
    <xf borderId="1" fillId="0" fontId="7"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1" fillId="0" fontId="7" numFmtId="164" xfId="0" applyAlignment="1" applyBorder="1" applyFont="1" applyNumberFormat="1">
      <alignment readingOrder="0" shrinkToFit="0" vertical="center" wrapText="1"/>
    </xf>
    <xf borderId="1" fillId="0" fontId="3" numFmtId="0" xfId="0" applyAlignment="1" applyBorder="1" applyFont="1">
      <alignment shrinkToFit="0" vertical="center" wrapText="0"/>
    </xf>
    <xf borderId="1" fillId="7" fontId="3" numFmtId="0" xfId="0" applyAlignment="1" applyBorder="1" applyFont="1">
      <alignment horizontal="center" readingOrder="0" shrinkToFit="0" vertical="center" wrapText="1"/>
    </xf>
    <xf borderId="1" fillId="0" fontId="47" numFmtId="0" xfId="0" applyAlignment="1" applyBorder="1" applyFont="1">
      <alignment readingOrder="0" shrinkToFit="0" vertical="center" wrapText="0"/>
    </xf>
    <xf borderId="1" fillId="5" fontId="3" numFmtId="0" xfId="0" applyAlignment="1" applyBorder="1" applyFont="1">
      <alignment horizontal="center" readingOrder="0" shrinkToFit="0" vertical="center" wrapText="1"/>
    </xf>
    <xf borderId="1" fillId="7" fontId="8" numFmtId="0" xfId="0" applyAlignment="1" applyBorder="1" applyFont="1">
      <alignment horizontal="center" readingOrder="0" shrinkToFit="0" vertical="center" wrapText="0"/>
    </xf>
    <xf borderId="1" fillId="0" fontId="7" numFmtId="0" xfId="0" applyAlignment="1" applyBorder="1" applyFont="1">
      <alignment readingOrder="0" shrinkToFit="0" vertical="center" wrapText="1"/>
    </xf>
    <xf borderId="1" fillId="0" fontId="7"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0" fontId="8" numFmtId="0" xfId="0" applyAlignment="1" applyBorder="1" applyFont="1">
      <alignment horizontal="center" readingOrder="0" shrinkToFit="0" vertical="center" wrapText="1"/>
    </xf>
    <xf borderId="1" fillId="0" fontId="8" numFmtId="0" xfId="0" applyAlignment="1" applyBorder="1" applyFont="1">
      <alignment horizontal="center" shrinkToFit="0" vertical="center" wrapText="0"/>
    </xf>
    <xf borderId="1" fillId="0" fontId="8" numFmtId="0" xfId="0" applyAlignment="1" applyBorder="1" applyFont="1">
      <alignment horizontal="center" readingOrder="0" shrinkToFit="0" vertical="center" wrapText="0"/>
    </xf>
    <xf borderId="1" fillId="0" fontId="9" numFmtId="0" xfId="0" applyAlignment="1" applyBorder="1" applyFont="1">
      <alignment shrinkToFit="0" vertical="center" wrapText="0"/>
    </xf>
    <xf borderId="1" fillId="0" fontId="9" numFmtId="0" xfId="0" applyAlignment="1" applyBorder="1" applyFont="1">
      <alignment readingOrder="0" shrinkToFit="0" vertical="center" wrapText="0"/>
    </xf>
    <xf borderId="1" fillId="0" fontId="48" numFmtId="0" xfId="0" applyAlignment="1" applyBorder="1" applyFont="1">
      <alignment readingOrder="0" shrinkToFit="0" vertical="center" wrapText="0"/>
    </xf>
    <xf borderId="1" fillId="9" fontId="7" numFmtId="0" xfId="0" applyAlignment="1" applyBorder="1" applyFont="1">
      <alignment horizontal="center" readingOrder="0" shrinkToFit="0" vertical="center" wrapText="1"/>
    </xf>
    <xf borderId="1" fillId="0" fontId="10" numFmtId="0" xfId="0" applyAlignment="1" applyBorder="1" applyFont="1">
      <alignment readingOrder="0" shrinkToFit="0" vertical="center" wrapText="1"/>
    </xf>
    <xf borderId="1" fillId="6" fontId="49" numFmtId="0" xfId="0" applyAlignment="1" applyBorder="1" applyFont="1">
      <alignment readingOrder="0" shrinkToFit="0" vertical="center" wrapText="0"/>
    </xf>
    <xf borderId="0" fillId="0" fontId="3" numFmtId="0" xfId="0" applyAlignment="1" applyFont="1">
      <alignment horizontal="left" readingOrder="0" shrinkToFit="0" vertical="center" wrapText="1"/>
    </xf>
    <xf borderId="1" fillId="0" fontId="6" numFmtId="0" xfId="0" applyAlignment="1" applyBorder="1" applyFont="1">
      <alignment shrinkToFit="0" vertical="center" wrapText="0"/>
    </xf>
    <xf borderId="1" fillId="0" fontId="7" numFmtId="0" xfId="0" applyAlignment="1" applyBorder="1" applyFont="1">
      <alignment horizontal="center" readingOrder="0" shrinkToFit="0" vertical="center" wrapText="1"/>
    </xf>
    <xf borderId="1" fillId="0" fontId="4" numFmtId="1" xfId="0" applyAlignment="1" applyBorder="1" applyFont="1" applyNumberFormat="1">
      <alignment readingOrder="0" shrinkToFit="0" vertical="center" wrapText="1"/>
    </xf>
    <xf borderId="1" fillId="7" fontId="6" numFmtId="0" xfId="0" applyAlignment="1" applyBorder="1" applyFont="1">
      <alignment horizontal="center" readingOrder="0" shrinkToFit="0" vertical="center" wrapText="1"/>
    </xf>
    <xf borderId="1" fillId="6" fontId="46" numFmtId="0" xfId="0" applyAlignment="1" applyBorder="1" applyFont="1">
      <alignment readingOrder="0" shrinkToFit="0" vertical="center" wrapText="0"/>
    </xf>
    <xf borderId="1" fillId="6" fontId="50" numFmtId="0" xfId="0" applyAlignment="1" applyBorder="1" applyFont="1">
      <alignment readingOrder="0" shrinkToFit="0" vertical="center" wrapText="0"/>
    </xf>
    <xf borderId="0" fillId="6" fontId="51" numFmtId="0" xfId="0" applyAlignment="1" applyFont="1">
      <alignment readingOrder="0" shrinkToFit="0" vertical="center" wrapText="0"/>
    </xf>
    <xf borderId="1" fillId="6" fontId="51" numFmtId="0" xfId="0" applyAlignment="1" applyBorder="1" applyFont="1">
      <alignment readingOrder="0" shrinkToFit="0" vertical="center" wrapText="0"/>
    </xf>
    <xf borderId="1" fillId="6" fontId="52" numFmtId="0" xfId="0" applyAlignment="1" applyBorder="1" applyFont="1">
      <alignment horizontal="left" readingOrder="0" shrinkToFit="0" vertical="center" wrapText="1"/>
    </xf>
    <xf borderId="0" fillId="0" fontId="4" numFmtId="0" xfId="0" applyAlignment="1" applyFont="1">
      <alignment horizontal="center" readingOrder="0" shrinkToFit="0" vertical="center" wrapText="1"/>
    </xf>
    <xf borderId="1" fillId="6" fontId="28" numFmtId="0" xfId="0" applyAlignment="1" applyBorder="1" applyFont="1">
      <alignment readingOrder="0" shrinkToFit="0" vertical="center" wrapText="0"/>
    </xf>
    <xf borderId="1" fillId="6" fontId="53" numFmtId="0" xfId="0" applyAlignment="1" applyBorder="1" applyFont="1">
      <alignment horizontal="center" readingOrder="0" shrinkToFit="0" vertical="center" wrapText="0"/>
    </xf>
    <xf borderId="1" fillId="0" fontId="16" numFmtId="0" xfId="0" applyAlignment="1" applyBorder="1" applyFont="1">
      <alignment readingOrder="0" shrinkToFit="0" vertical="center" wrapText="1"/>
    </xf>
    <xf borderId="1" fillId="0" fontId="4" numFmtId="4" xfId="0" applyAlignment="1" applyBorder="1" applyFont="1" applyNumberFormat="1">
      <alignment shrinkToFit="0" vertical="center" wrapText="1"/>
    </xf>
    <xf borderId="1" fillId="6" fontId="46" numFmtId="0" xfId="0" applyAlignment="1" applyBorder="1" applyFont="1">
      <alignment readingOrder="0" shrinkToFit="0" vertical="center" wrapText="1"/>
    </xf>
    <xf borderId="1" fillId="12" fontId="46" numFmtId="0" xfId="0" applyAlignment="1" applyBorder="1" applyFill="1" applyFont="1">
      <alignment readingOrder="0" shrinkToFit="0" vertical="center" wrapText="1"/>
    </xf>
    <xf borderId="1" fillId="0" fontId="1" numFmtId="4" xfId="0" applyAlignment="1" applyBorder="1" applyFont="1" applyNumberFormat="1">
      <alignment readingOrder="0" shrinkToFit="0" vertical="center" wrapText="1"/>
    </xf>
    <xf borderId="1" fillId="0" fontId="1" numFmtId="164"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1"/>
    </xf>
    <xf borderId="0" fillId="0" fontId="7" numFmtId="164" xfId="0" applyAlignment="1" applyFont="1" applyNumberFormat="1">
      <alignment readingOrder="0" shrinkToFit="0" vertical="center" wrapText="1"/>
    </xf>
    <xf borderId="5" fillId="0" fontId="7" numFmtId="0" xfId="0" applyAlignment="1" applyBorder="1" applyFont="1">
      <alignment horizontal="center" readingOrder="0" shrinkToFit="0" vertical="center" wrapText="1"/>
    </xf>
    <xf borderId="5" fillId="7" fontId="8" numFmtId="0" xfId="0" applyAlignment="1" applyBorder="1" applyFont="1">
      <alignment horizontal="center" shrinkToFit="0" vertical="center" wrapText="1"/>
    </xf>
    <xf borderId="5" fillId="7" fontId="8" numFmtId="0" xfId="0" applyAlignment="1" applyBorder="1" applyFont="1">
      <alignment horizontal="center" readingOrder="0" shrinkToFit="0" vertical="center" wrapText="0"/>
    </xf>
    <xf borderId="5" fillId="7" fontId="8" numFmtId="0" xfId="0" applyAlignment="1" applyBorder="1" applyFont="1">
      <alignment horizontal="center" shrinkToFit="0" vertical="center" wrapText="0"/>
    </xf>
    <xf borderId="5" fillId="0" fontId="3" numFmtId="0" xfId="0" applyAlignment="1" applyBorder="1" applyFont="1">
      <alignment shrinkToFit="0" wrapText="0"/>
    </xf>
    <xf borderId="5" fillId="0" fontId="3" numFmtId="0" xfId="0" applyAlignment="1" applyBorder="1" applyFont="1">
      <alignment horizontal="center" shrinkToFit="0" wrapText="0"/>
    </xf>
    <xf borderId="5" fillId="0" fontId="3" numFmtId="0" xfId="0" applyAlignment="1" applyBorder="1" applyFont="1">
      <alignment horizontal="center"/>
    </xf>
    <xf borderId="5" fillId="0" fontId="3" numFmtId="0" xfId="0" applyBorder="1" applyFont="1"/>
    <xf borderId="5" fillId="0" fontId="3" numFmtId="164" xfId="0" applyBorder="1" applyFont="1" applyNumberFormat="1"/>
    <xf borderId="0" fillId="0" fontId="3" numFmtId="0" xfId="0" applyFont="1"/>
    <xf borderId="1" fillId="0" fontId="54" numFmtId="0" xfId="0" applyAlignment="1" applyBorder="1" applyFont="1">
      <alignment horizontal="center" readingOrder="0" shrinkToFit="0" vertical="center" wrapText="1"/>
    </xf>
    <xf borderId="1" fillId="5" fontId="4"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6" fontId="55" numFmtId="0" xfId="0" applyAlignment="1" applyBorder="1" applyFont="1">
      <alignment readingOrder="0" shrinkToFit="0" vertical="center" wrapText="1"/>
    </xf>
    <xf borderId="1" fillId="0" fontId="7" numFmtId="164" xfId="0" applyAlignment="1" applyBorder="1" applyFont="1" applyNumberFormat="1">
      <alignment shrinkToFit="0" vertical="center" wrapText="1"/>
    </xf>
    <xf borderId="1" fillId="7" fontId="56"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4" numFmtId="0" xfId="0" applyAlignment="1" applyBorder="1" applyFont="1">
      <alignment horizontal="center" shrinkToFit="0" vertical="center" wrapText="0"/>
    </xf>
    <xf borderId="1" fillId="13" fontId="3" numFmtId="0" xfId="0" applyAlignment="1" applyBorder="1" applyFill="1" applyFont="1">
      <alignment horizontal="center" readingOrder="0" shrinkToFit="0" vertical="center" wrapText="1"/>
    </xf>
    <xf borderId="1" fillId="7" fontId="5"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 fillId="6" fontId="57" numFmtId="0" xfId="0" applyAlignment="1" applyBorder="1" applyFont="1">
      <alignment readingOrder="0" shrinkToFit="0" vertical="center" wrapText="1"/>
    </xf>
    <xf borderId="1" fillId="0" fontId="7" numFmtId="0" xfId="0" applyAlignment="1" applyBorder="1" applyFont="1">
      <alignment shrinkToFit="0" vertical="center" wrapText="1"/>
    </xf>
    <xf borderId="1" fillId="6" fontId="58" numFmtId="0" xfId="0" applyAlignment="1" applyBorder="1" applyFont="1">
      <alignment readingOrder="0" shrinkToFit="0" vertical="center" wrapText="0"/>
    </xf>
    <xf borderId="1" fillId="6" fontId="57" numFmtId="0" xfId="0" applyAlignment="1" applyBorder="1" applyFont="1">
      <alignment readingOrder="0" shrinkToFit="0" vertical="center" wrapText="0"/>
    </xf>
    <xf borderId="1" fillId="0" fontId="7" numFmtId="0" xfId="0" applyAlignment="1" applyBorder="1" applyFont="1">
      <alignment readingOrder="0" shrinkToFit="0" vertical="center" wrapText="1"/>
    </xf>
    <xf borderId="1" fillId="0" fontId="12" numFmtId="0" xfId="0" applyAlignment="1" applyBorder="1" applyFont="1">
      <alignment shrinkToFit="0" vertical="center" wrapText="0"/>
    </xf>
    <xf borderId="1" fillId="6" fontId="59" numFmtId="0" xfId="0" applyAlignment="1" applyBorder="1" applyFont="1">
      <alignment readingOrder="0" shrinkToFit="0" vertical="center" wrapText="0"/>
    </xf>
    <xf borderId="1" fillId="7" fontId="4" numFmtId="0" xfId="0" applyAlignment="1" applyBorder="1" applyFont="1">
      <alignment horizontal="center" readingOrder="0" shrinkToFit="0" vertical="center" wrapText="1"/>
    </xf>
    <xf borderId="1" fillId="0" fontId="4" numFmtId="166" xfId="0" applyAlignment="1" applyBorder="1" applyFont="1" applyNumberFormat="1">
      <alignment horizontal="center" readingOrder="0" shrinkToFit="0" vertical="center" wrapText="1"/>
    </xf>
    <xf borderId="1" fillId="0" fontId="3" numFmtId="0" xfId="0" applyAlignment="1" applyBorder="1" applyFont="1">
      <alignment horizontal="center" shrinkToFit="0" vertical="center" wrapText="1"/>
    </xf>
    <xf borderId="0" fillId="0" fontId="7" numFmtId="0" xfId="0" applyAlignment="1" applyFont="1">
      <alignment horizontal="center" readingOrder="0" shrinkToFit="0" vertical="center" wrapText="1"/>
    </xf>
    <xf borderId="1" fillId="14" fontId="3" numFmtId="0" xfId="0" applyAlignment="1" applyBorder="1" applyFill="1" applyFont="1">
      <alignment horizontal="center" readingOrder="0" shrinkToFit="0" vertical="center" wrapText="1"/>
    </xf>
    <xf borderId="1" fillId="0" fontId="60" numFmtId="0" xfId="0" applyAlignment="1" applyBorder="1" applyFont="1">
      <alignment horizontal="center" readingOrder="0" shrinkToFit="0" vertical="center" wrapText="1"/>
    </xf>
    <xf borderId="1" fillId="7" fontId="7" numFmtId="0" xfId="0" applyAlignment="1" applyBorder="1" applyFont="1">
      <alignment horizontal="center" readingOrder="0" shrinkToFit="0" vertical="center" wrapText="1"/>
    </xf>
    <xf borderId="1" fillId="0" fontId="61" numFmtId="0" xfId="0" applyAlignment="1" applyBorder="1" applyFont="1">
      <alignment horizontal="center" readingOrder="0" shrinkToFit="0" vertical="bottom" wrapText="0"/>
    </xf>
    <xf borderId="1" fillId="0" fontId="4" numFmtId="0" xfId="0" applyAlignment="1" applyBorder="1" applyFont="1">
      <alignment horizontal="center" readingOrder="0" shrinkToFit="0" textRotation="0" vertical="center" wrapText="1"/>
    </xf>
    <xf borderId="1" fillId="4" fontId="1" numFmtId="0" xfId="0" applyAlignment="1" applyBorder="1" applyFont="1">
      <alignment horizontal="center" readingOrder="0" shrinkToFit="0" vertical="center" wrapText="1"/>
    </xf>
    <xf borderId="1" fillId="4" fontId="2" numFmtId="0" xfId="0" applyAlignment="1" applyBorder="1" applyFont="1">
      <alignment horizontal="center" shrinkToFit="0" vertical="center" wrapText="1"/>
    </xf>
    <xf borderId="1" fillId="4" fontId="3" numFmtId="0" xfId="0" applyAlignment="1" applyBorder="1" applyFont="1">
      <alignment horizontal="left" readingOrder="0" shrinkToFit="0" vertical="center" wrapText="1"/>
    </xf>
    <xf borderId="1" fillId="4" fontId="3" numFmtId="0" xfId="0" applyAlignment="1" applyBorder="1" applyFont="1">
      <alignment horizontal="center" readingOrder="0" shrinkToFit="0" vertical="center" wrapText="1"/>
    </xf>
    <xf borderId="1" fillId="4" fontId="5" numFmtId="0" xfId="0" applyAlignment="1" applyBorder="1" applyFont="1">
      <alignment readingOrder="0" shrinkToFit="0" vertical="center" wrapText="0"/>
    </xf>
    <xf borderId="1" fillId="4" fontId="4" numFmtId="0" xfId="0" applyAlignment="1" applyBorder="1" applyFont="1">
      <alignment readingOrder="0" shrinkToFit="0" vertical="center" wrapText="0"/>
    </xf>
    <xf borderId="1" fillId="4" fontId="4" numFmtId="0" xfId="0" applyAlignment="1" applyBorder="1" applyFont="1">
      <alignment horizontal="center" readingOrder="0" shrinkToFit="0" vertical="center" wrapText="0"/>
    </xf>
    <xf borderId="1" fillId="4" fontId="6" numFmtId="0" xfId="0" applyAlignment="1" applyBorder="1" applyFont="1">
      <alignment readingOrder="0" shrinkToFit="0" vertical="center" wrapText="0"/>
    </xf>
    <xf borderId="1" fillId="4" fontId="4" numFmtId="0" xfId="0" applyAlignment="1" applyBorder="1" applyFont="1">
      <alignment horizontal="center" readingOrder="0" shrinkToFit="0" vertical="center" wrapText="1"/>
    </xf>
    <xf borderId="1" fillId="4" fontId="4" numFmtId="1" xfId="0" applyAlignment="1" applyBorder="1" applyFont="1" applyNumberFormat="1">
      <alignment readingOrder="0" shrinkToFit="0" vertical="center" wrapText="1"/>
    </xf>
    <xf borderId="1" fillId="4" fontId="4" numFmtId="164" xfId="0" applyAlignment="1" applyBorder="1" applyFont="1" applyNumberFormat="1">
      <alignment horizontal="center" readingOrder="0" shrinkToFit="0" vertical="center" wrapText="1"/>
    </xf>
    <xf borderId="1" fillId="4" fontId="4" numFmtId="164" xfId="0" applyAlignment="1" applyBorder="1" applyFont="1" applyNumberFormat="1">
      <alignment shrinkToFit="0" vertical="center" wrapText="1"/>
    </xf>
    <xf borderId="1" fillId="4" fontId="4" numFmtId="0" xfId="0" applyAlignment="1" applyBorder="1" applyFont="1">
      <alignment readingOrder="0" shrinkToFit="0" vertical="center" wrapText="1"/>
    </xf>
    <xf borderId="1" fillId="4" fontId="4" numFmtId="164" xfId="0" applyAlignment="1" applyBorder="1" applyFont="1" applyNumberFormat="1">
      <alignment shrinkToFit="0" vertical="center" wrapText="0"/>
    </xf>
    <xf borderId="1" fillId="4" fontId="9" numFmtId="0" xfId="0" applyAlignment="1" applyBorder="1" applyFont="1">
      <alignment readingOrder="0" shrinkToFit="0" vertical="center" wrapText="0"/>
    </xf>
    <xf borderId="1" fillId="4" fontId="7" numFmtId="0" xfId="0" applyAlignment="1" applyBorder="1" applyFont="1">
      <alignment readingOrder="0" shrinkToFit="0" vertical="center" wrapText="1"/>
    </xf>
    <xf borderId="1" fillId="4" fontId="7" numFmtId="0" xfId="0" applyAlignment="1" applyBorder="1" applyFont="1">
      <alignment readingOrder="0" shrinkToFit="0" vertical="center" wrapText="1"/>
    </xf>
    <xf borderId="1" fillId="4" fontId="7" numFmtId="164" xfId="0" applyAlignment="1" applyBorder="1" applyFont="1" applyNumberFormat="1">
      <alignment shrinkToFit="0" vertical="center" wrapText="1"/>
    </xf>
    <xf borderId="1" fillId="4" fontId="7" numFmtId="0" xfId="0" applyAlignment="1" applyBorder="1" applyFont="1">
      <alignment horizontal="center" readingOrder="0" shrinkToFit="0" vertical="center" wrapText="1"/>
    </xf>
    <xf borderId="1" fillId="4" fontId="8" numFmtId="0" xfId="0" applyAlignment="1" applyBorder="1" applyFont="1">
      <alignment horizontal="center" shrinkToFit="0" vertical="center" wrapText="1"/>
    </xf>
    <xf borderId="1" fillId="4" fontId="8" numFmtId="0" xfId="0" applyAlignment="1" applyBorder="1" applyFont="1">
      <alignment horizontal="center" shrinkToFit="0" vertical="center" wrapText="0"/>
    </xf>
    <xf borderId="1" fillId="4" fontId="9" numFmtId="0" xfId="0" applyBorder="1" applyFont="1"/>
    <xf borderId="0" fillId="4" fontId="9" numFmtId="0" xfId="0" applyFont="1"/>
    <xf borderId="1" fillId="0" fontId="4" numFmtId="0" xfId="0" applyAlignment="1" applyBorder="1" applyFont="1">
      <alignment horizontal="center" shrinkToFit="0" vertical="center" wrapText="1"/>
    </xf>
    <xf borderId="0" fillId="0" fontId="48" numFmtId="0" xfId="0" applyAlignment="1" applyFont="1">
      <alignment readingOrder="0" shrinkToFit="0" vertical="center" wrapText="0"/>
    </xf>
    <xf borderId="1" fillId="0" fontId="4" numFmtId="1" xfId="0" applyAlignment="1" applyBorder="1" applyFont="1" applyNumberFormat="1">
      <alignment shrinkToFit="0" vertical="center" wrapText="1"/>
    </xf>
    <xf borderId="0" fillId="0" fontId="4" numFmtId="0" xfId="0" applyAlignment="1" applyFont="1">
      <alignment horizontal="center" readingOrder="0" shrinkToFit="0" vertical="center" wrapText="0"/>
    </xf>
    <xf borderId="1" fillId="0" fontId="10" numFmtId="0" xfId="0" applyAlignment="1" applyBorder="1" applyFont="1">
      <alignment readingOrder="0" shrinkToFit="0" vertical="center" wrapText="0"/>
    </xf>
    <xf borderId="1" fillId="4" fontId="9" numFmtId="0" xfId="0" applyAlignment="1" applyBorder="1" applyFont="1">
      <alignment shrinkToFit="0" vertical="center" wrapText="0"/>
    </xf>
    <xf borderId="1" fillId="4" fontId="8" numFmtId="0" xfId="0" applyAlignment="1" applyBorder="1" applyFont="1">
      <alignment horizontal="center" readingOrder="0" shrinkToFit="0" vertical="center" wrapText="0"/>
    </xf>
    <xf borderId="0" fillId="6" fontId="50" numFmtId="0" xfId="0" applyAlignment="1" applyFont="1">
      <alignment shrinkToFit="0" vertical="center" wrapText="0"/>
    </xf>
    <xf borderId="1" fillId="6" fontId="8" numFmtId="0" xfId="0" applyAlignment="1" applyBorder="1" applyFont="1">
      <alignment horizontal="center" shrinkToFit="0" vertical="center" wrapText="0"/>
    </xf>
    <xf borderId="1" fillId="15" fontId="4" numFmtId="0" xfId="0" applyAlignment="1" applyBorder="1" applyFill="1" applyFont="1">
      <alignment readingOrder="0" shrinkToFit="0" vertical="center" wrapText="1"/>
    </xf>
    <xf borderId="1" fillId="0" fontId="62" numFmtId="0" xfId="0" applyAlignment="1" applyBorder="1" applyFont="1">
      <alignment horizontal="center" readingOrder="0" shrinkToFit="0" vertical="center" wrapText="1"/>
    </xf>
    <xf borderId="0" fillId="0" fontId="15" numFmtId="0" xfId="0" applyAlignment="1" applyFont="1">
      <alignment readingOrder="0" shrinkToFit="0" vertical="center" wrapText="0"/>
    </xf>
    <xf borderId="0" fillId="0" fontId="15" numFmtId="0" xfId="0" applyAlignment="1" applyFont="1">
      <alignment readingOrder="0" shrinkToFit="0" vertical="center" wrapText="1"/>
    </xf>
    <xf borderId="1" fillId="0" fontId="63" numFmtId="0" xfId="0" applyAlignment="1" applyBorder="1" applyFont="1">
      <alignment readingOrder="0" shrinkToFit="0" vertical="center" wrapText="0"/>
    </xf>
    <xf borderId="1" fillId="0" fontId="37" numFmtId="0" xfId="0" applyAlignment="1" applyBorder="1" applyFont="1">
      <alignment horizontal="right" readingOrder="0" shrinkToFit="0" vertical="bottom" wrapText="0"/>
    </xf>
    <xf borderId="5" fillId="0" fontId="13" numFmtId="0" xfId="0" applyAlignment="1" applyBorder="1" applyFont="1">
      <alignment readingOrder="0" shrinkToFit="0" vertical="center" wrapText="0"/>
    </xf>
    <xf borderId="1" fillId="0" fontId="1" numFmtId="0" xfId="0" applyAlignment="1" applyBorder="1" applyFont="1">
      <alignment horizontal="center" shrinkToFit="0" vertical="center" wrapText="1"/>
    </xf>
    <xf borderId="1" fillId="0" fontId="5" numFmtId="0" xfId="0" applyAlignment="1" applyBorder="1" applyFont="1">
      <alignment shrinkToFit="0" vertical="center" wrapText="0"/>
    </xf>
    <xf borderId="1" fillId="0" fontId="4" numFmtId="0" xfId="0" applyAlignment="1" applyBorder="1" applyFont="1">
      <alignment shrinkToFit="0" vertical="center" wrapText="0"/>
    </xf>
    <xf borderId="1" fillId="0" fontId="4" numFmtId="164" xfId="0" applyAlignment="1" applyBorder="1" applyFont="1" applyNumberFormat="1">
      <alignment horizontal="center" shrinkToFit="0" vertical="center" wrapText="1"/>
    </xf>
    <xf borderId="1" fillId="0" fontId="4" numFmtId="0" xfId="0" applyAlignment="1" applyBorder="1" applyFont="1">
      <alignment shrinkToFit="0" vertical="center" wrapText="1"/>
    </xf>
    <xf borderId="1" fillId="0" fontId="7" numFmtId="0" xfId="0" applyAlignment="1" applyBorder="1" applyFont="1">
      <alignment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5" numFmtId="0" xfId="0" applyAlignment="1" applyFont="1">
      <alignment shrinkToFit="0" vertical="center" wrapText="0"/>
    </xf>
    <xf borderId="0" fillId="0" fontId="4" numFmtId="0" xfId="0" applyAlignment="1" applyFont="1">
      <alignment shrinkToFit="0" vertical="center" wrapText="0"/>
    </xf>
    <xf borderId="0" fillId="0" fontId="4" numFmtId="0" xfId="0" applyAlignment="1" applyFont="1">
      <alignment horizontal="center" shrinkToFit="0" vertical="center" wrapText="0"/>
    </xf>
    <xf borderId="0" fillId="0" fontId="6" numFmtId="0" xfId="0" applyAlignment="1" applyFont="1">
      <alignment shrinkToFit="0" vertical="center" wrapText="0"/>
    </xf>
    <xf borderId="0" fillId="0" fontId="4" numFmtId="0" xfId="0" applyAlignment="1" applyFont="1">
      <alignment horizontal="center" shrinkToFit="0" vertical="center" wrapText="1"/>
    </xf>
    <xf borderId="0" fillId="0" fontId="4" numFmtId="1" xfId="0" applyAlignment="1" applyFont="1" applyNumberFormat="1">
      <alignment shrinkToFit="0" vertical="center" wrapText="1"/>
    </xf>
    <xf borderId="0" fillId="0" fontId="4" numFmtId="164" xfId="0" applyAlignment="1" applyFont="1" applyNumberFormat="1">
      <alignment horizontal="center" shrinkToFit="0" vertical="center" wrapText="1"/>
    </xf>
    <xf borderId="0" fillId="0" fontId="4" numFmtId="164" xfId="0" applyAlignment="1" applyFont="1" applyNumberFormat="1">
      <alignment shrinkToFit="0" vertical="center" wrapText="1"/>
    </xf>
    <xf borderId="0" fillId="0" fontId="4" numFmtId="0" xfId="0" applyAlignment="1" applyFont="1">
      <alignment shrinkToFit="0" vertical="center" wrapText="1"/>
    </xf>
    <xf borderId="0" fillId="0" fontId="4" numFmtId="164" xfId="0" applyAlignment="1" applyFont="1" applyNumberFormat="1">
      <alignment shrinkToFit="0" vertical="center" wrapText="0"/>
    </xf>
    <xf borderId="0" fillId="0" fontId="9" numFmtId="0" xfId="0" applyAlignment="1" applyFont="1">
      <alignment shrinkToFit="0" vertical="center" wrapText="0"/>
    </xf>
    <xf borderId="0" fillId="0" fontId="7" numFmtId="0" xfId="0" applyAlignment="1" applyFont="1">
      <alignment shrinkToFit="0" vertical="center" wrapText="1"/>
    </xf>
    <xf borderId="0" fillId="0" fontId="7" numFmtId="0" xfId="0" applyAlignment="1" applyFont="1">
      <alignment shrinkToFit="0" vertical="center" wrapText="1"/>
    </xf>
    <xf borderId="0" fillId="0" fontId="7" numFmtId="164" xfId="0" applyAlignment="1" applyFont="1" applyNumberFormat="1">
      <alignment shrinkToFit="0" vertical="center" wrapText="1"/>
    </xf>
    <xf borderId="0" fillId="0" fontId="7" numFmtId="0" xfId="0" applyAlignment="1" applyFont="1">
      <alignment horizontal="center" shrinkToFit="0" vertical="center" wrapText="1"/>
    </xf>
    <xf borderId="0" fillId="7" fontId="8" numFmtId="0" xfId="0" applyAlignment="1" applyFont="1">
      <alignment horizontal="center" shrinkToFit="0" vertical="center" wrapText="1"/>
    </xf>
    <xf borderId="0" fillId="7" fontId="8" numFmtId="0" xfId="0" applyAlignment="1" applyFont="1">
      <alignment horizontal="center" shrinkToFit="0" vertical="center" wrapText="0"/>
    </xf>
    <xf borderId="5" fillId="0" fontId="15" numFmtId="0" xfId="0" applyAlignment="1" applyBorder="1" applyFont="1">
      <alignment horizontal="left" readingOrder="0" shrinkToFit="0" vertical="center" wrapText="1"/>
    </xf>
    <xf borderId="5" fillId="0" fontId="15" numFmtId="0" xfId="0" applyAlignment="1" applyBorder="1" applyFont="1">
      <alignment horizontal="left" readingOrder="0" shrinkToFit="0" vertical="center" wrapText="1"/>
    </xf>
    <xf borderId="5" fillId="0" fontId="15" numFmtId="0" xfId="0" applyAlignment="1" applyBorder="1" applyFont="1">
      <alignment horizontal="left" readingOrder="0" shrinkToFit="0" vertical="center" wrapText="0"/>
    </xf>
    <xf borderId="0" fillId="0" fontId="15" numFmtId="0" xfId="0" applyFont="1"/>
    <xf borderId="0" fillId="0" fontId="15" numFmtId="0" xfId="0" applyAlignment="1" applyFont="1">
      <alignment horizontal="left" readingOrder="0" shrinkToFit="0" vertical="center" wrapText="0"/>
    </xf>
    <xf borderId="5" fillId="0" fontId="15" numFmtId="0" xfId="0" applyAlignment="1" applyBorder="1" applyFont="1">
      <alignment readingOrder="0" shrinkToFit="0" vertical="center" wrapText="0"/>
    </xf>
    <xf borderId="0" fillId="0" fontId="21" numFmtId="0" xfId="0" applyAlignment="1" applyFont="1">
      <alignment horizontal="left" readingOrder="0" shrinkToFit="0" vertical="center" wrapText="1"/>
    </xf>
    <xf borderId="5" fillId="0" fontId="15" numFmtId="0" xfId="0" applyAlignment="1" applyBorder="1" applyFont="1">
      <alignment shrinkToFit="0" vertical="center" wrapText="0"/>
    </xf>
    <xf borderId="5" fillId="0" fontId="15" numFmtId="0" xfId="0" applyAlignment="1" applyBorder="1" applyFont="1">
      <alignment readingOrder="0" shrinkToFit="0" vertical="center" wrapText="0"/>
    </xf>
    <xf borderId="5" fillId="0" fontId="15" numFmtId="0" xfId="0" applyAlignment="1" applyBorder="1" applyFont="1">
      <alignment shrinkToFit="0" vertical="center" wrapText="0"/>
    </xf>
    <xf borderId="5" fillId="15" fontId="15" numFmtId="0" xfId="0" applyAlignment="1" applyBorder="1" applyFont="1">
      <alignment readingOrder="0" shrinkToFit="0" vertical="center" wrapText="1"/>
    </xf>
    <xf borderId="5" fillId="0" fontId="15" numFmtId="0" xfId="0" applyAlignment="1" applyBorder="1" applyFont="1">
      <alignment readingOrder="0" shrinkToFit="0" vertical="center" wrapText="1"/>
    </xf>
    <xf borderId="0" fillId="0" fontId="14" numFmtId="0" xfId="0" applyAlignment="1" applyFont="1">
      <alignment horizontal="left" readingOrder="0" shrinkToFit="0" vertical="center" wrapText="1"/>
    </xf>
    <xf borderId="5" fillId="0" fontId="15" numFmtId="0" xfId="0" applyBorder="1" applyFont="1"/>
    <xf borderId="5" fillId="0" fontId="15" numFmtId="0" xfId="0" applyAlignment="1" applyBorder="1" applyFont="1">
      <alignment horizontal="center" readingOrder="0" shrinkToFit="0" vertical="center" wrapText="1"/>
    </xf>
    <xf borderId="5" fillId="0" fontId="15" numFmtId="0" xfId="0" applyAlignment="1" applyBorder="1" applyFont="1">
      <alignment horizontal="center" readingOrder="0" shrinkToFit="0" vertical="center" wrapText="1"/>
    </xf>
    <xf borderId="5" fillId="0" fontId="15" numFmtId="0" xfId="0" applyAlignment="1" applyBorder="1" applyFont="1">
      <alignment horizontal="center" shrinkToFit="0" vertical="center" wrapText="0"/>
    </xf>
    <xf borderId="5" fillId="0" fontId="15" numFmtId="0" xfId="0" applyAlignment="1" applyBorder="1" applyFont="1">
      <alignment horizontal="center" shrinkToFit="0" vertical="center" wrapText="0"/>
    </xf>
    <xf borderId="5" fillId="0" fontId="15" numFmtId="164" xfId="0" applyAlignment="1" applyBorder="1" applyFont="1" applyNumberFormat="1">
      <alignment shrinkToFit="0" vertical="center" wrapText="0"/>
    </xf>
    <xf borderId="5" fillId="0" fontId="15" numFmtId="3" xfId="0" applyAlignment="1" applyBorder="1" applyFont="1" applyNumberFormat="1">
      <alignment shrinkToFit="0" vertical="center" wrapText="0"/>
    </xf>
    <xf borderId="5" fillId="0" fontId="15" numFmtId="166" xfId="0" applyAlignment="1" applyBorder="1" applyFont="1" applyNumberFormat="1">
      <alignment horizontal="center" shrinkToFit="0" vertical="center" wrapText="0"/>
    </xf>
    <xf borderId="0" fillId="0" fontId="15" numFmtId="0" xfId="0" applyAlignment="1" applyFont="1">
      <alignment horizontal="left" readingOrder="0"/>
    </xf>
    <xf borderId="0" fillId="0" fontId="15" numFmtId="0" xfId="0" applyAlignment="1" applyFont="1">
      <alignment horizontal="center"/>
    </xf>
    <xf borderId="0" fillId="0" fontId="15" numFmtId="164" xfId="0" applyFont="1" applyNumberFormat="1"/>
    <xf borderId="6" fillId="6" fontId="15" numFmtId="0" xfId="0" applyBorder="1" applyFont="1"/>
    <xf borderId="0" fillId="0" fontId="15" numFmtId="0" xfId="0" applyAlignment="1" applyFont="1">
      <alignment shrinkToFit="0" wrapText="1"/>
    </xf>
    <xf borderId="1" fillId="12" fontId="64" numFmtId="49" xfId="0" applyAlignment="1" applyBorder="1" applyFont="1" applyNumberFormat="1">
      <alignment horizontal="left" readingOrder="0" shrinkToFit="0" vertical="center" wrapText="1"/>
    </xf>
    <xf borderId="1" fillId="12" fontId="64" numFmtId="49" xfId="0" applyAlignment="1" applyBorder="1" applyFont="1" applyNumberFormat="1">
      <alignment horizontal="center" readingOrder="0" shrinkToFit="0" vertical="center" wrapText="1"/>
    </xf>
    <xf borderId="1" fillId="12" fontId="64" numFmtId="49" xfId="0" applyAlignment="1" applyBorder="1" applyFont="1" applyNumberFormat="1">
      <alignment horizontal="right" readingOrder="0" shrinkToFit="0" vertical="center" wrapText="1"/>
    </xf>
    <xf borderId="7" fillId="0" fontId="65" numFmtId="0" xfId="0" applyAlignment="1" applyBorder="1" applyFont="1">
      <alignment horizontal="center" readingOrder="0" vertical="center"/>
    </xf>
    <xf borderId="0" fillId="0" fontId="13" numFmtId="0" xfId="0" applyAlignment="1" applyFont="1">
      <alignment readingOrder="0" shrinkToFit="0" wrapText="1"/>
    </xf>
    <xf borderId="1" fillId="12" fontId="64" numFmtId="0" xfId="0" applyAlignment="1" applyBorder="1" applyFont="1">
      <alignment horizontal="left" readingOrder="0" shrinkToFit="0" vertical="center" wrapText="1"/>
    </xf>
    <xf borderId="1" fillId="12" fontId="64" numFmtId="0" xfId="0" applyAlignment="1" applyBorder="1" applyFont="1">
      <alignment horizontal="center" readingOrder="0" shrinkToFit="0" vertical="center" wrapText="1"/>
    </xf>
    <xf borderId="1" fillId="12" fontId="64" numFmtId="0" xfId="0" applyAlignment="1" applyBorder="1" applyFont="1">
      <alignment horizontal="right" readingOrder="0" shrinkToFit="0" vertical="center" wrapText="1"/>
    </xf>
    <xf borderId="1" fillId="12" fontId="64" numFmtId="164" xfId="0" applyAlignment="1" applyBorder="1" applyFont="1" applyNumberFormat="1">
      <alignment horizontal="right" readingOrder="0" shrinkToFit="0" vertical="center" wrapText="1"/>
    </xf>
    <xf borderId="8" fillId="0" fontId="66" numFmtId="0" xfId="0" applyAlignment="1" applyBorder="1" applyFont="1">
      <alignment horizontal="center" readingOrder="0"/>
    </xf>
    <xf borderId="1" fillId="16" fontId="67" numFmtId="0" xfId="0" applyAlignment="1" applyBorder="1" applyFill="1" applyFont="1">
      <alignment readingOrder="0"/>
    </xf>
    <xf borderId="0" fillId="6" fontId="68" numFmtId="0" xfId="0" applyAlignment="1" applyFont="1">
      <alignment readingOrder="0"/>
    </xf>
    <xf borderId="0" fillId="0" fontId="15" numFmtId="0" xfId="0" applyAlignment="1" applyFont="1">
      <alignment readingOrder="0"/>
    </xf>
    <xf borderId="0" fillId="0" fontId="69" numFmtId="0" xfId="0" applyAlignment="1" applyFont="1">
      <alignment horizontal="center" readingOrder="0" shrinkToFit="0" vertical="center" wrapText="0"/>
    </xf>
    <xf borderId="0" fillId="0" fontId="70" numFmtId="0" xfId="0" applyFont="1"/>
    <xf borderId="0" fillId="0" fontId="70" numFmtId="0" xfId="0" applyAlignment="1" applyFont="1">
      <alignment shrinkToFit="0" wrapText="1"/>
    </xf>
    <xf borderId="0" fillId="0" fontId="70" numFmtId="164" xfId="0" applyFont="1" applyNumberFormat="1"/>
    <xf borderId="1" fillId="6" fontId="71" numFmtId="0" xfId="0" applyAlignment="1" applyBorder="1" applyFont="1">
      <alignment horizontal="center" readingOrder="0" shrinkToFit="0" vertical="center" wrapText="0"/>
    </xf>
    <xf borderId="0" fillId="6" fontId="72" numFmtId="0" xfId="0" applyAlignment="1" applyFont="1">
      <alignment horizontal="center" readingOrder="0" shrinkToFit="0" vertical="center" wrapText="0"/>
    </xf>
    <xf borderId="1" fillId="17" fontId="73" numFmtId="0" xfId="0" applyAlignment="1" applyBorder="1" applyFill="1" applyFont="1">
      <alignment readingOrder="0" shrinkToFit="0" vertical="center" wrapText="0"/>
    </xf>
    <xf borderId="1" fillId="6" fontId="72" numFmtId="0" xfId="0" applyAlignment="1" applyBorder="1" applyFont="1">
      <alignment horizontal="center" readingOrder="0" shrinkToFit="0" vertical="center" wrapText="0"/>
    </xf>
    <xf borderId="1" fillId="17" fontId="73" numFmtId="0" xfId="0" applyAlignment="1" applyBorder="1" applyFont="1">
      <alignment readingOrder="0" shrinkToFit="0" vertical="center" wrapText="0"/>
    </xf>
    <xf borderId="1" fillId="6" fontId="74" numFmtId="0" xfId="0" applyAlignment="1" applyBorder="1" applyFont="1">
      <alignment horizontal="center" readingOrder="0" shrinkToFit="0" vertical="center" wrapText="0"/>
    </xf>
    <xf borderId="1" fillId="0" fontId="75" numFmtId="0" xfId="0" applyAlignment="1" applyBorder="1" applyFont="1">
      <alignment horizontal="center" readingOrder="0" shrinkToFit="0" vertical="center" wrapText="0"/>
    </xf>
    <xf borderId="1" fillId="0" fontId="76" numFmtId="0" xfId="0" applyAlignment="1" applyBorder="1" applyFont="1">
      <alignment horizontal="left" readingOrder="0" shrinkToFit="0" vertical="bottom" wrapText="0"/>
    </xf>
    <xf borderId="0" fillId="6" fontId="77" numFmtId="0" xfId="0" applyAlignment="1" applyFont="1">
      <alignment horizontal="center" readingOrder="0" shrinkToFit="0" vertical="center" wrapText="0"/>
    </xf>
    <xf borderId="1" fillId="0" fontId="76" numFmtId="0" xfId="0" applyAlignment="1" applyBorder="1" applyFont="1">
      <alignment horizontal="left" readingOrder="0" shrinkToFit="0" vertical="bottom" wrapText="0"/>
    </xf>
    <xf borderId="1" fillId="0" fontId="78" numFmtId="0" xfId="0" applyAlignment="1" applyBorder="1" applyFont="1">
      <alignment horizontal="center" readingOrder="0" shrinkToFit="0" vertical="center" wrapText="0"/>
    </xf>
    <xf borderId="1" fillId="18" fontId="79" numFmtId="0" xfId="0" applyAlignment="1" applyBorder="1" applyFill="1" applyFont="1">
      <alignment readingOrder="0" shrinkToFit="0" vertical="center" wrapText="0"/>
    </xf>
    <xf borderId="1" fillId="18" fontId="80" numFmtId="0" xfId="0" applyAlignment="1" applyBorder="1" applyFont="1">
      <alignment horizontal="center" readingOrder="0" shrinkToFit="0" vertical="center" wrapText="0"/>
    </xf>
    <xf borderId="1" fillId="18" fontId="79" numFmtId="0" xfId="0" applyAlignment="1" applyBorder="1" applyFont="1">
      <alignment readingOrder="0" shrinkToFit="0" vertical="center" wrapText="0"/>
    </xf>
    <xf borderId="1" fillId="18" fontId="80" numFmtId="0" xfId="0" applyAlignment="1" applyBorder="1" applyFont="1">
      <alignment horizontal="center" readingOrder="0" shrinkToFit="0" vertical="center" wrapText="0"/>
    </xf>
    <xf borderId="1" fillId="19" fontId="81" numFmtId="0" xfId="0" applyAlignment="1" applyBorder="1" applyFill="1" applyFont="1">
      <alignment horizontal="left" readingOrder="0" shrinkToFit="0" vertical="center" wrapText="0"/>
    </xf>
    <xf borderId="1" fillId="19" fontId="28" numFmtId="0" xfId="0" applyAlignment="1" applyBorder="1" applyFont="1">
      <alignment horizontal="center" readingOrder="0" shrinkToFit="0" vertical="center" wrapText="0"/>
    </xf>
    <xf borderId="1" fillId="6" fontId="82" numFmtId="0" xfId="0" applyAlignment="1" applyBorder="1" applyFont="1">
      <alignment readingOrder="0" shrinkToFit="0" vertical="center" wrapText="0"/>
    </xf>
    <xf borderId="1" fillId="6" fontId="82" numFmtId="0" xfId="0" applyAlignment="1" applyBorder="1" applyFont="1">
      <alignment readingOrder="0" shrinkToFit="0" vertical="center" wrapText="0"/>
    </xf>
    <xf borderId="1" fillId="6" fontId="28" numFmtId="0" xfId="0" applyAlignment="1" applyBorder="1" applyFont="1">
      <alignment horizontal="center" readingOrder="0" shrinkToFit="0" vertical="center" wrapText="0"/>
    </xf>
    <xf borderId="0" fillId="6" fontId="83" numFmtId="0" xfId="0" applyAlignment="1" applyFont="1">
      <alignment horizontal="center" readingOrder="0" shrinkToFit="0" vertical="center" wrapText="0"/>
    </xf>
    <xf borderId="0" fillId="0" fontId="84" numFmtId="0" xfId="0" applyAlignment="1" applyFont="1">
      <alignment readingOrder="0" shrinkToFit="0" vertical="center" wrapText="0"/>
    </xf>
    <xf borderId="0" fillId="6" fontId="39" numFmtId="0" xfId="0" applyAlignment="1" applyFont="1">
      <alignment readingOrder="0" shrinkToFit="0" vertical="center" wrapText="0"/>
    </xf>
    <xf borderId="0" fillId="6" fontId="71" numFmtId="0" xfId="0" applyAlignment="1" applyFont="1">
      <alignment horizontal="center" readingOrder="0" shrinkToFit="0" vertical="center" wrapText="0"/>
    </xf>
    <xf borderId="1" fillId="6" fontId="85" numFmtId="0" xfId="0" applyAlignment="1" applyBorder="1" applyFont="1">
      <alignment horizontal="center" readingOrder="0" shrinkToFit="0" vertical="top" wrapText="0"/>
    </xf>
    <xf borderId="1" fillId="20" fontId="86" numFmtId="0" xfId="0" applyAlignment="1" applyBorder="1" applyFill="1" applyFont="1">
      <alignment readingOrder="0" shrinkToFit="0" vertical="center" wrapText="0"/>
    </xf>
    <xf borderId="1" fillId="0" fontId="87" numFmtId="0" xfId="0" applyAlignment="1" applyBorder="1" applyFont="1">
      <alignment readingOrder="0" shrinkToFit="0" vertical="center" wrapText="0"/>
    </xf>
    <xf borderId="1" fillId="6" fontId="88" numFmtId="0" xfId="0" applyAlignment="1" applyBorder="1" applyFont="1">
      <alignment horizontal="center" readingOrder="0" shrinkToFit="0" vertical="center" wrapText="0"/>
    </xf>
    <xf borderId="0" fillId="6" fontId="71" numFmtId="0" xfId="0" applyAlignment="1" applyFont="1">
      <alignment horizontal="center" readingOrder="0" shrinkToFit="0" vertical="center" wrapText="0"/>
    </xf>
    <xf borderId="0" fillId="6" fontId="28" numFmtId="0" xfId="0" applyAlignment="1" applyFont="1">
      <alignment horizontal="center" readingOrder="0" shrinkToFit="0" vertical="center" wrapText="0"/>
    </xf>
    <xf borderId="1" fillId="0" fontId="15" numFmtId="0" xfId="0" applyAlignment="1" applyBorder="1" applyFont="1">
      <alignment horizontal="left"/>
    </xf>
    <xf borderId="1" fillId="0" fontId="15" numFmtId="0" xfId="0" applyAlignment="1" applyBorder="1" applyFont="1">
      <alignment horizontal="center"/>
    </xf>
    <xf borderId="1" fillId="0" fontId="15" numFmtId="164" xfId="0" applyBorder="1" applyFont="1" applyNumberFormat="1"/>
    <xf borderId="1" fillId="16" fontId="15" numFmtId="0" xfId="0" applyBorder="1" applyFont="1"/>
    <xf borderId="0" fillId="0" fontId="15" numFmtId="0" xfId="0" applyAlignment="1" applyFont="1">
      <alignment horizontal="left"/>
    </xf>
    <xf borderId="9" fillId="16" fontId="15" numFmtId="0" xfId="0" applyBorder="1" applyFont="1"/>
    <xf borderId="6" fillId="16" fontId="15" numFmtId="0" xfId="0" applyBorder="1" applyFont="1"/>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9B3642"/>
          <bgColor rgb="FF9B3642"/>
        </patternFill>
      </fill>
      <border/>
    </dxf>
    <dxf>
      <font/>
      <fill>
        <patternFill patternType="solid">
          <fgColor rgb="FFEA9999"/>
          <bgColor rgb="FFEA9999"/>
        </patternFill>
      </fill>
      <border/>
    </dxf>
  </dxfs>
  <tableStyles count="6">
    <tableStyle count="4" pivot="0" name="Заказы-style">
      <tableStyleElement dxfId="1" type="headerRow"/>
      <tableStyleElement dxfId="2" type="firstRowStripe"/>
      <tableStyleElement dxfId="3" type="secondRowStripe"/>
      <tableStyleElement dxfId="4" size="0" type="wholeTable"/>
    </tableStyle>
    <tableStyle count="2" pivot="0" name="Заказы-style 2">
      <tableStyleElement dxfId="2" type="firstRowStripe"/>
      <tableStyleElement dxfId="3" type="secondRowStripe"/>
    </tableStyle>
    <tableStyle count="4" pivot="0" name="Бракперепечатка-style">
      <tableStyleElement dxfId="1" type="headerRow"/>
      <tableStyleElement dxfId="2" type="firstRowStripe"/>
      <tableStyleElement dxfId="3" type="secondRowStripe"/>
      <tableStyleElement dxfId="4" size="0" type="wholeTable"/>
    </tableStyle>
    <tableStyle count="4" pivot="0" name="Сток-style">
      <tableStyleElement dxfId="1" type="headerRow"/>
      <tableStyleElement dxfId="2" type="firstRowStripe"/>
      <tableStyleElement dxfId="3" type="secondRowStripe"/>
      <tableStyleElement dxfId="4" size="0" type="wholeTable"/>
    </tableStyle>
    <tableStyle count="4" pivot="0" name="Отгружено-style">
      <tableStyleElement dxfId="1" type="headerRow"/>
      <tableStyleElement dxfId="2" type="firstRowStripe"/>
      <tableStyleElement dxfId="3" type="secondRowStripe"/>
      <tableStyleElement dxfId="4" size="0" type="wholeTable"/>
    </tableStyle>
    <tableStyle count="4" pivot="0" name="Клиенты-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A1007" displayName="План_заказов" name="План_заказов" id="1">
  <autoFilter ref="$A$1:$AA$1007">
    <filterColumn colId="20">
      <filters blank="1">
        <filter val="Произведен"/>
        <filter val="Размещен, Утвержден"/>
        <filter val="Размещен"/>
        <filter val="Утвержден"/>
        <filter val="В печати"/>
        <filter val="Заказ сырья"/>
      </filters>
    </filterColumn>
  </autoFilter>
  <tableColumns count="27">
    <tableColumn name="Заказчик" id="1"/>
    <tableColumn name="Арт." id="2"/>
    <tableColumn name="Наименование" id="3"/>
    <tableColumn name="№ Партии" id="4"/>
    <tableColumn name="Менеджер" id="5"/>
    <tableColumn name="новая\повтор\повтор с изм." id="6"/>
    <tableColumn name="Размер этикетки" id="7"/>
    <tableColumn name="Вид Печати" id="8"/>
    <tableColumn name="Машина" id="9"/>
    <tableColumn name="Тираж" id="10"/>
    <tableColumn name="Погонные Метры" id="11"/>
    <tableColumn name="Дата размещения" id="12"/>
    <tableColumn name="Дата отгрузки желаемая" id="13"/>
    <tableColumn name="Плановая отгрузка" id="14"/>
    <tableColumn name="Материал" id="15"/>
    <tableColumn name="Дата поставки материала" id="16"/>
    <tableColumn name="ХТ / Ламинация" id="17"/>
    <tableColumn name="Рубка на листы" id="18"/>
    <tableColumn name="Формы" id="19"/>
    <tableColumn name="Штамп" id="20"/>
    <tableColumn name="Статус Заказа" id="21"/>
    <tableColumn name="Дата производства" id="22"/>
    <tableColumn name="Комментарий" id="23"/>
    <tableColumn name="Адрес Доставки" id="24"/>
    <tableColumn name="Бирки на коробки" id="25"/>
    <tableColumn name="Бирки на роли" id="26"/>
    <tableColumn name="Коробки" id="27"/>
  </tableColumns>
  <tableStyleInfo name="Заказы-style" showColumnStripes="0" showFirstColumn="1" showLastColumn="1" showRowStripes="1"/>
</table>
</file>

<file path=xl/tables/table2.xml><?xml version="1.0" encoding="utf-8"?>
<table xmlns="http://schemas.openxmlformats.org/spreadsheetml/2006/main" headerRowCount="0" ref="AD261:BC261" displayName="Table_1" name="Table_1"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Заказы-style 2" showColumnStripes="0" showFirstColumn="1" showLastColumn="1" showRowStripes="1"/>
</table>
</file>

<file path=xl/tables/table3.xml><?xml version="1.0" encoding="utf-8"?>
<table xmlns="http://schemas.openxmlformats.org/spreadsheetml/2006/main" headerRowCount="0" ref="A1:Z1" displayName="Перепечатка" name="Перепечатка" id="3">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Бракперепечатка-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A1:D6" displayName="Сток" name="Сток" id="4">
  <tableColumns count="4">
    <tableColumn name="Заказчик" id="1"/>
    <tableColumn name="Наименование" id="2"/>
    <tableColumn name="Артикул" id="3"/>
    <tableColumn name="Количество" id="4"/>
  </tableColumns>
  <tableStyleInfo name="Сток-style" showColumnStripes="0" showFirstColumn="1" showLastColumn="1" showRowStripes="1"/>
</table>
</file>

<file path=xl/tables/table5.xml><?xml version="1.0" encoding="utf-8"?>
<table xmlns="http://schemas.openxmlformats.org/spreadsheetml/2006/main" ref="A1:Z1015" displayName="Отгруженные_заказы" name="Отгруженные_заказы" id="5">
  <autoFilter ref="$A$1:$Z$1015"/>
  <tableColumns count="26">
    <tableColumn name="Заказчик" id="1"/>
    <tableColumn name="Артикул" id="2"/>
    <tableColumn name="Наименование" id="3"/>
    <tableColumn name="Номер партии" id="4"/>
    <tableColumn name="Менеджер" id="5"/>
    <tableColumn name="новая\повтор\повтор с изм" id="6"/>
    <tableColumn name="Размер этикетки" id="7"/>
    <tableColumn name="Вид Печати" id="8"/>
    <tableColumn name="Машина" id="9"/>
    <tableColumn name="Тираж" id="10"/>
    <tableColumn name="Дата размещения" id="11"/>
    <tableColumn name="Плановая отгрузка" id="12"/>
    <tableColumn name="Материал" id="13"/>
    <tableColumn name="Статус" id="14"/>
    <tableColumn name="Комментарий" id="15"/>
    <tableColumn name="Адрес доставки" id="16"/>
    <tableColumn name="Column 17" id="17"/>
    <tableColumn name="Column 18" id="18"/>
    <tableColumn name="Column 19" id="19"/>
    <tableColumn name="Статус 2" id="20"/>
    <tableColumn name="Column 21" id="21"/>
    <tableColumn name="Column 22" id="22"/>
    <tableColumn name="Column 23" id="23"/>
    <tableColumn name="Column 24" id="24"/>
    <tableColumn name="Column 25" id="25"/>
    <tableColumn name="Column 26" id="26"/>
  </tableColumns>
  <tableStyleInfo name="Отгружено-style" showColumnStripes="0" showFirstColumn="1" showLastColumn="1" showRowStripes="1"/>
</table>
</file>

<file path=xl/tables/table6.xml><?xml version="1.0" encoding="utf-8"?>
<table xmlns="http://schemas.openxmlformats.org/spreadsheetml/2006/main" ref="A2:E334" displayName="Клиенты" name="Клиенты" id="6">
  <autoFilter ref="$A$2:$E$334"/>
  <tableColumns count="5">
    <tableColumn name="Компания" id="1"/>
    <tableColumn name="ИНН" id="2"/>
    <tableColumn name="Менеджер" id="3"/>
    <tableColumn name="Дата обращения" id="4"/>
    <tableColumn name="Статус" id="5"/>
  </tableColumns>
  <tableStyleInfo name="Клиенты-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3E5656"/>
      </a:dk1>
      <a:lt1>
        <a:srgbClr val="F5F5F5"/>
      </a:lt1>
      <a:dk2>
        <a:srgbClr val="3E5656"/>
      </a:dk2>
      <a:lt2>
        <a:srgbClr val="F5F5F5"/>
      </a:lt2>
      <a:accent1>
        <a:srgbClr val="B0725D"/>
      </a:accent1>
      <a:accent2>
        <a:srgbClr val="8F3738"/>
      </a:accent2>
      <a:accent3>
        <a:srgbClr val="E79A3C"/>
      </a:accent3>
      <a:accent4>
        <a:srgbClr val="447874"/>
      </a:accent4>
      <a:accent5>
        <a:srgbClr val="D2D479"/>
      </a:accent5>
      <a:accent6>
        <a:srgbClr val="8B8948"/>
      </a:accent6>
      <a:hlink>
        <a:srgbClr val="8B8948"/>
      </a:hlink>
      <a:folHlink>
        <a:srgbClr val="8B8948"/>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26.13"/>
    <col customWidth="1" min="2" max="2" width="10.75"/>
    <col customWidth="1" min="3" max="3" width="73.0"/>
    <col customWidth="1" min="4" max="4" width="16.88"/>
    <col customWidth="1" min="5" max="5" width="24.25"/>
    <col customWidth="1" min="6" max="6" width="34.0"/>
    <col customWidth="1" min="7" max="7" width="17.88"/>
    <col customWidth="1" min="8" max="8" width="25.88"/>
    <col customWidth="1" min="9" max="9" width="14.0"/>
    <col customWidth="1" min="10" max="10" width="12.88"/>
    <col customWidth="1" min="11" max="11" width="15.25"/>
    <col customWidth="1" min="12" max="12" width="21.5"/>
    <col customWidth="1" min="13" max="13" width="20.13"/>
    <col customWidth="1" hidden="1" min="14" max="14" width="19.5"/>
    <col customWidth="1" min="15" max="15" width="28.63"/>
    <col customWidth="1" hidden="1" min="16" max="16" width="20.63"/>
    <col customWidth="1" min="17" max="17" width="11.0"/>
    <col customWidth="1" min="18" max="18" width="15.0"/>
    <col customWidth="1" min="19" max="19" width="23.63"/>
    <col customWidth="1" min="20" max="20" width="17.63"/>
    <col customWidth="1" min="21" max="21" width="40.63"/>
    <col customWidth="1" min="22" max="22" width="23.13"/>
    <col customWidth="1" min="23" max="23" width="48.5"/>
    <col customWidth="1" min="24" max="24" width="70.13"/>
    <col customWidth="1" min="25" max="25" width="26.63"/>
    <col customWidth="1" min="26" max="26" width="25.63"/>
    <col customWidth="1" min="27" max="27" width="72.88"/>
  </cols>
  <sheetData>
    <row r="1" ht="22.5" customHeight="1">
      <c r="A1" s="1" t="s">
        <v>0</v>
      </c>
      <c r="B1" s="2" t="s">
        <v>1</v>
      </c>
      <c r="C1" s="3" t="s">
        <v>2</v>
      </c>
      <c r="D1" s="4" t="s">
        <v>3</v>
      </c>
      <c r="E1" s="5" t="s">
        <v>4</v>
      </c>
      <c r="F1" s="4" t="s">
        <v>5</v>
      </c>
      <c r="G1" s="4" t="s">
        <v>6</v>
      </c>
      <c r="H1" s="6" t="s">
        <v>7</v>
      </c>
      <c r="I1" s="6" t="s">
        <v>8</v>
      </c>
      <c r="J1" s="4" t="s">
        <v>9</v>
      </c>
      <c r="K1" s="4" t="s">
        <v>10</v>
      </c>
      <c r="L1" s="4" t="s">
        <v>11</v>
      </c>
      <c r="M1" s="4" t="s">
        <v>12</v>
      </c>
      <c r="N1" s="4" t="s">
        <v>13</v>
      </c>
      <c r="O1" s="4" t="s">
        <v>14</v>
      </c>
      <c r="P1" s="7" t="s">
        <v>15</v>
      </c>
      <c r="Q1" s="7" t="s">
        <v>16</v>
      </c>
      <c r="R1" s="7" t="s">
        <v>17</v>
      </c>
      <c r="S1" s="8" t="s">
        <v>18</v>
      </c>
      <c r="T1" s="8" t="s">
        <v>19</v>
      </c>
      <c r="U1" s="8" t="s">
        <v>20</v>
      </c>
      <c r="V1" s="8" t="s">
        <v>21</v>
      </c>
      <c r="W1" s="9" t="s">
        <v>22</v>
      </c>
      <c r="X1" s="10" t="s">
        <v>23</v>
      </c>
      <c r="Y1" s="11" t="s">
        <v>24</v>
      </c>
      <c r="Z1" s="12" t="s">
        <v>25</v>
      </c>
      <c r="AA1" s="12" t="s">
        <v>26</v>
      </c>
      <c r="AB1" s="13"/>
      <c r="AC1" s="13"/>
      <c r="AD1" s="13"/>
      <c r="AE1" s="13"/>
      <c r="AF1" s="13"/>
      <c r="AG1" s="13"/>
      <c r="AH1" s="13"/>
      <c r="AI1" s="13"/>
      <c r="AJ1" s="13"/>
      <c r="AK1" s="13"/>
      <c r="AL1" s="13"/>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row>
    <row r="2" ht="22.5" hidden="1" customHeight="1">
      <c r="A2" s="15" t="s">
        <v>27</v>
      </c>
      <c r="B2" s="16"/>
      <c r="C2" s="16" t="s">
        <v>28</v>
      </c>
      <c r="D2" s="17"/>
      <c r="E2" s="18" t="s">
        <v>29</v>
      </c>
      <c r="F2" s="19" t="s">
        <v>30</v>
      </c>
      <c r="G2" s="20"/>
      <c r="H2" s="21" t="s">
        <v>31</v>
      </c>
      <c r="I2" s="21" t="s">
        <v>32</v>
      </c>
      <c r="J2" s="15">
        <v>10000.0</v>
      </c>
      <c r="K2" s="22" t="s">
        <v>33</v>
      </c>
      <c r="L2" s="23">
        <v>46093.0</v>
      </c>
      <c r="M2" s="23">
        <v>46097.0</v>
      </c>
      <c r="N2" s="24"/>
      <c r="O2" s="25" t="s">
        <v>34</v>
      </c>
      <c r="P2" s="26">
        <v>46093.0</v>
      </c>
      <c r="Q2" s="27" t="s">
        <v>35</v>
      </c>
      <c r="R2" s="28"/>
      <c r="S2" s="29" t="s">
        <v>36</v>
      </c>
      <c r="T2" s="29" t="s">
        <v>36</v>
      </c>
      <c r="U2" s="30" t="s">
        <v>37</v>
      </c>
      <c r="V2" s="31"/>
      <c r="W2" s="32"/>
      <c r="X2" s="33"/>
      <c r="Y2" s="33"/>
      <c r="Z2" s="33"/>
      <c r="AA2" s="34"/>
      <c r="AB2" s="35"/>
      <c r="AC2" s="35"/>
      <c r="AD2" s="35"/>
      <c r="AE2" s="35"/>
      <c r="AF2" s="35"/>
      <c r="AG2" s="35"/>
      <c r="AH2" s="35"/>
      <c r="AI2" s="35"/>
      <c r="AJ2" s="35"/>
      <c r="AK2" s="35"/>
      <c r="AL2" s="35"/>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row>
    <row r="3" ht="22.5" hidden="1" customHeight="1">
      <c r="A3" s="15" t="s">
        <v>27</v>
      </c>
      <c r="B3" s="16"/>
      <c r="C3" s="16" t="s">
        <v>38</v>
      </c>
      <c r="D3" s="17"/>
      <c r="E3" s="18" t="s">
        <v>29</v>
      </c>
      <c r="F3" s="19" t="s">
        <v>30</v>
      </c>
      <c r="G3" s="20"/>
      <c r="H3" s="21" t="s">
        <v>31</v>
      </c>
      <c r="I3" s="21" t="s">
        <v>32</v>
      </c>
      <c r="J3" s="15">
        <v>20000.0</v>
      </c>
      <c r="K3" s="22" t="s">
        <v>39</v>
      </c>
      <c r="L3" s="23">
        <v>46093.0</v>
      </c>
      <c r="M3" s="23">
        <v>46097.0</v>
      </c>
      <c r="N3" s="24"/>
      <c r="O3" s="25" t="s">
        <v>34</v>
      </c>
      <c r="P3" s="26"/>
      <c r="Q3" s="27" t="s">
        <v>35</v>
      </c>
      <c r="R3" s="28"/>
      <c r="S3" s="29" t="s">
        <v>36</v>
      </c>
      <c r="T3" s="29" t="s">
        <v>36</v>
      </c>
      <c r="U3" s="30" t="s">
        <v>37</v>
      </c>
      <c r="V3" s="31"/>
      <c r="W3" s="32"/>
      <c r="X3" s="33"/>
      <c r="Y3" s="33"/>
      <c r="Z3" s="33"/>
      <c r="AA3" s="34"/>
      <c r="AB3" s="35"/>
      <c r="AC3" s="35"/>
      <c r="AD3" s="35"/>
      <c r="AE3" s="35"/>
      <c r="AF3" s="35"/>
      <c r="AG3" s="35"/>
      <c r="AH3" s="35"/>
      <c r="AI3" s="35"/>
      <c r="AJ3" s="35"/>
      <c r="AK3" s="35"/>
      <c r="AL3" s="35"/>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row>
    <row r="4" ht="22.5" hidden="1" customHeight="1">
      <c r="A4" s="15" t="s">
        <v>27</v>
      </c>
      <c r="B4" s="16"/>
      <c r="C4" s="16" t="s">
        <v>40</v>
      </c>
      <c r="D4" s="17"/>
      <c r="E4" s="18" t="s">
        <v>29</v>
      </c>
      <c r="F4" s="19" t="s">
        <v>30</v>
      </c>
      <c r="G4" s="20"/>
      <c r="H4" s="21" t="s">
        <v>31</v>
      </c>
      <c r="I4" s="21" t="s">
        <v>32</v>
      </c>
      <c r="J4" s="15">
        <v>50000.0</v>
      </c>
      <c r="K4" s="22" t="s">
        <v>41</v>
      </c>
      <c r="L4" s="23">
        <v>46093.0</v>
      </c>
      <c r="M4" s="23">
        <v>46097.0</v>
      </c>
      <c r="N4" s="24"/>
      <c r="O4" s="25" t="s">
        <v>34</v>
      </c>
      <c r="P4" s="26"/>
      <c r="Q4" s="27" t="s">
        <v>35</v>
      </c>
      <c r="R4" s="28"/>
      <c r="S4" s="29" t="s">
        <v>36</v>
      </c>
      <c r="T4" s="29" t="s">
        <v>36</v>
      </c>
      <c r="U4" s="30" t="s">
        <v>37</v>
      </c>
      <c r="V4" s="31"/>
      <c r="W4" s="32"/>
      <c r="X4" s="33"/>
      <c r="Y4" s="33"/>
      <c r="Z4" s="33"/>
      <c r="AA4" s="34"/>
      <c r="AB4" s="35"/>
      <c r="AC4" s="35"/>
      <c r="AD4" s="35"/>
      <c r="AE4" s="35"/>
      <c r="AF4" s="35"/>
      <c r="AG4" s="35"/>
      <c r="AH4" s="35"/>
      <c r="AI4" s="35"/>
      <c r="AJ4" s="35"/>
      <c r="AK4" s="35"/>
      <c r="AL4" s="35"/>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row>
    <row r="5" ht="22.5" hidden="1" customHeight="1">
      <c r="A5" s="15" t="s">
        <v>27</v>
      </c>
      <c r="B5" s="16"/>
      <c r="C5" s="16" t="s">
        <v>42</v>
      </c>
      <c r="D5" s="17">
        <v>936.0</v>
      </c>
      <c r="E5" s="18" t="s">
        <v>29</v>
      </c>
      <c r="F5" s="19" t="s">
        <v>30</v>
      </c>
      <c r="G5" s="20"/>
      <c r="H5" s="21" t="s">
        <v>31</v>
      </c>
      <c r="I5" s="21" t="s">
        <v>32</v>
      </c>
      <c r="J5" s="15">
        <v>20000.0</v>
      </c>
      <c r="K5" s="22" t="s">
        <v>39</v>
      </c>
      <c r="L5" s="23">
        <v>46093.0</v>
      </c>
      <c r="M5" s="23">
        <v>46097.0</v>
      </c>
      <c r="N5" s="24"/>
      <c r="O5" s="25" t="s">
        <v>34</v>
      </c>
      <c r="P5" s="26">
        <v>46098.0</v>
      </c>
      <c r="Q5" s="27" t="s">
        <v>35</v>
      </c>
      <c r="R5" s="28"/>
      <c r="S5" s="29" t="s">
        <v>43</v>
      </c>
      <c r="T5" s="29" t="s">
        <v>36</v>
      </c>
      <c r="U5" s="30" t="s">
        <v>37</v>
      </c>
      <c r="V5" s="31"/>
      <c r="W5" s="32"/>
      <c r="X5" s="33"/>
      <c r="Y5" s="33"/>
      <c r="Z5" s="33"/>
      <c r="AA5" s="34"/>
      <c r="AB5" s="35"/>
      <c r="AC5" s="35"/>
      <c r="AD5" s="35"/>
      <c r="AE5" s="35"/>
      <c r="AF5" s="35"/>
      <c r="AG5" s="35"/>
      <c r="AH5" s="35"/>
      <c r="AI5" s="35"/>
      <c r="AJ5" s="35"/>
      <c r="AK5" s="35"/>
      <c r="AL5" s="35"/>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row>
    <row r="6" ht="22.5" hidden="1" customHeight="1">
      <c r="A6" s="15" t="s">
        <v>27</v>
      </c>
      <c r="B6" s="16"/>
      <c r="C6" s="16" t="s">
        <v>44</v>
      </c>
      <c r="D6" s="17">
        <v>978.0</v>
      </c>
      <c r="E6" s="18" t="s">
        <v>29</v>
      </c>
      <c r="F6" s="19" t="s">
        <v>30</v>
      </c>
      <c r="G6" s="20"/>
      <c r="H6" s="21" t="s">
        <v>31</v>
      </c>
      <c r="I6" s="21" t="s">
        <v>32</v>
      </c>
      <c r="J6" s="15">
        <v>20000.0</v>
      </c>
      <c r="K6" s="22" t="s">
        <v>39</v>
      </c>
      <c r="L6" s="23">
        <v>46094.0</v>
      </c>
      <c r="M6" s="23">
        <v>46099.0</v>
      </c>
      <c r="N6" s="24"/>
      <c r="O6" s="25" t="s">
        <v>34</v>
      </c>
      <c r="P6" s="26">
        <v>46098.0</v>
      </c>
      <c r="Q6" s="27" t="s">
        <v>35</v>
      </c>
      <c r="R6" s="28"/>
      <c r="S6" s="29" t="s">
        <v>36</v>
      </c>
      <c r="T6" s="29" t="s">
        <v>36</v>
      </c>
      <c r="U6" s="30" t="s">
        <v>37</v>
      </c>
      <c r="V6" s="31"/>
      <c r="W6" s="32"/>
      <c r="X6" s="37"/>
      <c r="Y6" s="37"/>
      <c r="Z6" s="37"/>
      <c r="AA6" s="38"/>
      <c r="AB6" s="35"/>
      <c r="AC6" s="35"/>
      <c r="AD6" s="35"/>
      <c r="AE6" s="35"/>
      <c r="AF6" s="35"/>
      <c r="AG6" s="35"/>
      <c r="AH6" s="35"/>
      <c r="AI6" s="35"/>
      <c r="AJ6" s="35"/>
      <c r="AK6" s="35"/>
      <c r="AL6" s="35"/>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36"/>
    </row>
    <row r="7" ht="22.5" hidden="1" customHeight="1">
      <c r="A7" s="15" t="s">
        <v>27</v>
      </c>
      <c r="B7" s="16"/>
      <c r="C7" s="16" t="s">
        <v>45</v>
      </c>
      <c r="D7" s="17">
        <v>979.0</v>
      </c>
      <c r="E7" s="18" t="s">
        <v>29</v>
      </c>
      <c r="F7" s="19" t="s">
        <v>30</v>
      </c>
      <c r="G7" s="20"/>
      <c r="H7" s="21" t="s">
        <v>31</v>
      </c>
      <c r="I7" s="21" t="s">
        <v>32</v>
      </c>
      <c r="J7" s="15">
        <v>10000.0</v>
      </c>
      <c r="K7" s="22" t="s">
        <v>33</v>
      </c>
      <c r="L7" s="23">
        <v>46094.0</v>
      </c>
      <c r="M7" s="23">
        <v>46099.0</v>
      </c>
      <c r="N7" s="24"/>
      <c r="O7" s="25" t="s">
        <v>34</v>
      </c>
      <c r="P7" s="26">
        <v>46098.0</v>
      </c>
      <c r="Q7" s="27" t="s">
        <v>35</v>
      </c>
      <c r="R7" s="28"/>
      <c r="S7" s="29" t="s">
        <v>36</v>
      </c>
      <c r="T7" s="29" t="s">
        <v>36</v>
      </c>
      <c r="U7" s="30" t="s">
        <v>37</v>
      </c>
      <c r="V7" s="31"/>
      <c r="W7" s="32"/>
      <c r="X7" s="37"/>
      <c r="Y7" s="37"/>
      <c r="Z7" s="37"/>
      <c r="AA7" s="38"/>
      <c r="AB7" s="35"/>
      <c r="AC7" s="35"/>
      <c r="AD7" s="35"/>
      <c r="AE7" s="35"/>
      <c r="AF7" s="35"/>
      <c r="AG7" s="35"/>
      <c r="AH7" s="35"/>
      <c r="AI7" s="35"/>
      <c r="AJ7" s="35"/>
      <c r="AK7" s="35"/>
      <c r="AL7" s="35"/>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row>
    <row r="8" ht="22.5" hidden="1" customHeight="1">
      <c r="A8" s="15" t="s">
        <v>27</v>
      </c>
      <c r="B8" s="16"/>
      <c r="C8" s="16" t="s">
        <v>46</v>
      </c>
      <c r="D8" s="17">
        <v>980.0</v>
      </c>
      <c r="E8" s="18" t="s">
        <v>29</v>
      </c>
      <c r="F8" s="19" t="s">
        <v>30</v>
      </c>
      <c r="G8" s="20"/>
      <c r="H8" s="21" t="s">
        <v>31</v>
      </c>
      <c r="I8" s="21" t="s">
        <v>32</v>
      </c>
      <c r="J8" s="39">
        <v>10000.0</v>
      </c>
      <c r="K8" s="22" t="s">
        <v>47</v>
      </c>
      <c r="L8" s="23">
        <v>46094.0</v>
      </c>
      <c r="M8" s="23">
        <v>46099.0</v>
      </c>
      <c r="N8" s="24"/>
      <c r="O8" s="25" t="s">
        <v>34</v>
      </c>
      <c r="P8" s="26">
        <v>46098.0</v>
      </c>
      <c r="Q8" s="27" t="s">
        <v>35</v>
      </c>
      <c r="R8" s="28"/>
      <c r="S8" s="29" t="s">
        <v>43</v>
      </c>
      <c r="T8" s="29" t="s">
        <v>36</v>
      </c>
      <c r="U8" s="30" t="s">
        <v>37</v>
      </c>
      <c r="V8" s="31"/>
      <c r="W8" s="32" t="s">
        <v>48</v>
      </c>
      <c r="X8" s="37"/>
      <c r="Y8" s="37"/>
      <c r="Z8" s="37"/>
      <c r="AA8" s="38"/>
      <c r="AB8" s="35"/>
      <c r="AC8" s="35"/>
      <c r="AD8" s="35"/>
      <c r="AE8" s="35"/>
      <c r="AF8" s="35"/>
      <c r="AG8" s="35"/>
      <c r="AH8" s="35"/>
      <c r="AI8" s="35"/>
      <c r="AJ8" s="35"/>
      <c r="AK8" s="35"/>
      <c r="AL8" s="35"/>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row>
    <row r="9" ht="22.5" hidden="1" customHeight="1">
      <c r="A9" s="40" t="s">
        <v>49</v>
      </c>
      <c r="B9" s="41"/>
      <c r="C9" s="41" t="s">
        <v>50</v>
      </c>
      <c r="D9" s="42"/>
      <c r="E9" s="43" t="s">
        <v>51</v>
      </c>
      <c r="F9" s="44" t="s">
        <v>30</v>
      </c>
      <c r="G9" s="45"/>
      <c r="H9" s="46" t="s">
        <v>52</v>
      </c>
      <c r="I9" s="46" t="s">
        <v>53</v>
      </c>
      <c r="J9" s="40">
        <v>230.0</v>
      </c>
      <c r="K9" s="47"/>
      <c r="L9" s="48">
        <v>46094.0</v>
      </c>
      <c r="M9" s="48">
        <v>46104.0</v>
      </c>
      <c r="N9" s="49"/>
      <c r="O9" s="50" t="s">
        <v>54</v>
      </c>
      <c r="P9" s="51"/>
      <c r="Q9" s="52" t="s">
        <v>35</v>
      </c>
      <c r="R9" s="53"/>
      <c r="S9" s="54" t="s">
        <v>55</v>
      </c>
      <c r="T9" s="54" t="s">
        <v>36</v>
      </c>
      <c r="U9" s="55" t="s">
        <v>37</v>
      </c>
      <c r="V9" s="56"/>
      <c r="W9" s="57"/>
      <c r="X9" s="40" t="s">
        <v>56</v>
      </c>
      <c r="Y9" s="58"/>
      <c r="Z9" s="58"/>
      <c r="AA9" s="59"/>
      <c r="AB9" s="60"/>
      <c r="AC9" s="60"/>
      <c r="AD9" s="60"/>
      <c r="AE9" s="60"/>
      <c r="AF9" s="60"/>
      <c r="AG9" s="60"/>
      <c r="AH9" s="60"/>
      <c r="AI9" s="60"/>
      <c r="AJ9" s="60"/>
      <c r="AK9" s="60"/>
      <c r="AL9" s="60"/>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c r="BN9" s="61"/>
    </row>
    <row r="10" ht="22.5" hidden="1" customHeight="1">
      <c r="A10" s="40" t="s">
        <v>57</v>
      </c>
      <c r="B10" s="41"/>
      <c r="C10" s="62" t="s">
        <v>58</v>
      </c>
      <c r="D10" s="63" t="s">
        <v>59</v>
      </c>
      <c r="E10" s="43" t="s">
        <v>60</v>
      </c>
      <c r="F10" s="44" t="s">
        <v>30</v>
      </c>
      <c r="G10" s="45"/>
      <c r="H10" s="46" t="s">
        <v>31</v>
      </c>
      <c r="I10" s="46" t="s">
        <v>32</v>
      </c>
      <c r="J10" s="40" t="s">
        <v>61</v>
      </c>
      <c r="K10" s="64" t="s">
        <v>62</v>
      </c>
      <c r="L10" s="48">
        <v>46097.0</v>
      </c>
      <c r="M10" s="48">
        <v>46101.0</v>
      </c>
      <c r="N10" s="49">
        <v>46104.0</v>
      </c>
      <c r="O10" s="50" t="s">
        <v>63</v>
      </c>
      <c r="P10" s="65">
        <v>46097.0</v>
      </c>
      <c r="Q10" s="52" t="s">
        <v>35</v>
      </c>
      <c r="R10" s="53"/>
      <c r="S10" s="54" t="s">
        <v>35</v>
      </c>
      <c r="T10" s="54" t="s">
        <v>35</v>
      </c>
      <c r="U10" s="55" t="s">
        <v>37</v>
      </c>
      <c r="V10" s="56"/>
      <c r="W10" s="66"/>
      <c r="X10" s="67" t="s">
        <v>64</v>
      </c>
      <c r="Y10" s="68"/>
      <c r="Z10" s="68"/>
      <c r="AA10" s="69"/>
      <c r="AB10" s="60"/>
      <c r="AC10" s="60"/>
      <c r="AD10" s="60"/>
      <c r="AE10" s="60"/>
      <c r="AF10" s="60"/>
      <c r="AG10" s="60"/>
      <c r="AH10" s="60"/>
      <c r="AI10" s="60"/>
      <c r="AJ10" s="60"/>
      <c r="AK10" s="60"/>
      <c r="AL10" s="60"/>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c r="BN10" s="61"/>
    </row>
    <row r="11" ht="22.5" hidden="1" customHeight="1">
      <c r="A11" s="70" t="s">
        <v>65</v>
      </c>
      <c r="B11" s="71"/>
      <c r="C11" s="71" t="s">
        <v>66</v>
      </c>
      <c r="D11" s="72"/>
      <c r="E11" s="73" t="s">
        <v>67</v>
      </c>
      <c r="F11" s="74" t="s">
        <v>68</v>
      </c>
      <c r="G11" s="75"/>
      <c r="H11" s="76" t="s">
        <v>31</v>
      </c>
      <c r="I11" s="76" t="s">
        <v>32</v>
      </c>
      <c r="J11" s="70">
        <v>1500.0</v>
      </c>
      <c r="K11" s="77" t="s">
        <v>69</v>
      </c>
      <c r="L11" s="78">
        <v>46104.0</v>
      </c>
      <c r="M11" s="78">
        <v>46107.0</v>
      </c>
      <c r="N11" s="79"/>
      <c r="O11" s="80" t="s">
        <v>70</v>
      </c>
      <c r="P11" s="81"/>
      <c r="Q11" s="52" t="s">
        <v>35</v>
      </c>
      <c r="R11" s="53"/>
      <c r="S11" s="82" t="s">
        <v>36</v>
      </c>
      <c r="T11" s="82" t="s">
        <v>36</v>
      </c>
      <c r="U11" s="83" t="s">
        <v>37</v>
      </c>
      <c r="V11" s="84"/>
      <c r="W11" s="85"/>
      <c r="X11" s="86"/>
      <c r="Y11" s="86"/>
      <c r="Z11" s="86"/>
      <c r="AA11" s="87"/>
      <c r="AB11" s="88"/>
      <c r="AC11" s="88"/>
      <c r="AD11" s="88"/>
      <c r="AE11" s="88"/>
      <c r="AF11" s="88"/>
      <c r="AG11" s="88"/>
      <c r="AH11" s="88"/>
      <c r="AI11" s="88"/>
      <c r="AJ11" s="88"/>
      <c r="AK11" s="88"/>
      <c r="AL11" s="88"/>
      <c r="AM11" s="89"/>
      <c r="AN11" s="89"/>
      <c r="AO11" s="89"/>
      <c r="AP11" s="89"/>
      <c r="AQ11" s="89"/>
      <c r="AR11" s="89"/>
      <c r="AS11" s="89"/>
      <c r="AT11" s="89"/>
      <c r="AU11" s="89"/>
      <c r="AV11" s="89"/>
      <c r="AW11" s="89"/>
      <c r="AX11" s="89"/>
      <c r="AY11" s="89"/>
      <c r="AZ11" s="89"/>
      <c r="BA11" s="89"/>
      <c r="BB11" s="89"/>
      <c r="BC11" s="89"/>
      <c r="BD11" s="89"/>
      <c r="BE11" s="89"/>
      <c r="BF11" s="89"/>
      <c r="BG11" s="89"/>
      <c r="BH11" s="89"/>
      <c r="BI11" s="89"/>
      <c r="BJ11" s="89"/>
      <c r="BK11" s="89"/>
      <c r="BL11" s="89"/>
      <c r="BM11" s="89"/>
      <c r="BN11" s="89"/>
    </row>
    <row r="12" ht="22.5" hidden="1" customHeight="1">
      <c r="A12" s="15" t="s">
        <v>27</v>
      </c>
      <c r="B12" s="90"/>
      <c r="C12" s="91" t="s">
        <v>71</v>
      </c>
      <c r="D12" s="17">
        <v>971.0</v>
      </c>
      <c r="E12" s="18" t="s">
        <v>29</v>
      </c>
      <c r="F12" s="19" t="s">
        <v>72</v>
      </c>
      <c r="G12" s="92" t="s">
        <v>73</v>
      </c>
      <c r="H12" s="21" t="s">
        <v>31</v>
      </c>
      <c r="I12" s="21" t="s">
        <v>32</v>
      </c>
      <c r="J12" s="39" t="s">
        <v>74</v>
      </c>
      <c r="K12" s="22" t="s">
        <v>75</v>
      </c>
      <c r="L12" s="23">
        <v>46097.0</v>
      </c>
      <c r="M12" s="23">
        <v>46101.0</v>
      </c>
      <c r="N12" s="24"/>
      <c r="O12" s="25" t="s">
        <v>34</v>
      </c>
      <c r="P12" s="93"/>
      <c r="Q12" s="27" t="s">
        <v>35</v>
      </c>
      <c r="R12" s="28"/>
      <c r="S12" s="29" t="s">
        <v>36</v>
      </c>
      <c r="T12" s="29" t="s">
        <v>36</v>
      </c>
      <c r="U12" s="94" t="s">
        <v>37</v>
      </c>
      <c r="V12" s="31"/>
      <c r="W12" s="95"/>
      <c r="X12" s="33"/>
      <c r="Y12" s="96">
        <v>60.0</v>
      </c>
      <c r="Z12" s="96">
        <v>120.0</v>
      </c>
      <c r="AA12" s="34"/>
      <c r="AB12" s="35"/>
      <c r="AC12" s="35"/>
      <c r="AD12" s="35"/>
      <c r="AE12" s="35"/>
      <c r="AF12" s="35"/>
      <c r="AG12" s="35"/>
      <c r="AH12" s="35"/>
      <c r="AI12" s="35"/>
      <c r="AJ12" s="35"/>
      <c r="AK12" s="35"/>
      <c r="AL12" s="35"/>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row>
    <row r="13" ht="22.5" hidden="1" customHeight="1">
      <c r="A13" s="97" t="s">
        <v>27</v>
      </c>
      <c r="B13" s="98"/>
      <c r="C13" s="99" t="s">
        <v>76</v>
      </c>
      <c r="D13" s="17">
        <v>1008.0</v>
      </c>
      <c r="E13" s="18" t="s">
        <v>29</v>
      </c>
      <c r="F13" s="19" t="s">
        <v>30</v>
      </c>
      <c r="G13" s="92" t="s">
        <v>73</v>
      </c>
      <c r="H13" s="21" t="s">
        <v>31</v>
      </c>
      <c r="I13" s="21" t="s">
        <v>32</v>
      </c>
      <c r="J13" s="39" t="s">
        <v>77</v>
      </c>
      <c r="K13" s="100">
        <v>373.0</v>
      </c>
      <c r="L13" s="23">
        <v>46097.0</v>
      </c>
      <c r="M13" s="101"/>
      <c r="N13" s="24"/>
      <c r="O13" s="25" t="s">
        <v>34</v>
      </c>
      <c r="P13" s="93"/>
      <c r="Q13" s="27" t="s">
        <v>35</v>
      </c>
      <c r="R13" s="28"/>
      <c r="S13" s="29" t="s">
        <v>36</v>
      </c>
      <c r="T13" s="29" t="s">
        <v>36</v>
      </c>
      <c r="U13" s="94" t="s">
        <v>37</v>
      </c>
      <c r="V13" s="31"/>
      <c r="W13" s="95"/>
      <c r="X13" s="37"/>
      <c r="Y13" s="37"/>
      <c r="Z13" s="37"/>
      <c r="AA13" s="38"/>
      <c r="AB13" s="35"/>
      <c r="AC13" s="35"/>
      <c r="AD13" s="35"/>
      <c r="AE13" s="35"/>
      <c r="AF13" s="35"/>
      <c r="AG13" s="35"/>
      <c r="AH13" s="35"/>
      <c r="AI13" s="35"/>
      <c r="AJ13" s="35"/>
      <c r="AK13" s="35"/>
      <c r="AL13" s="35"/>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c r="BM13" s="36"/>
      <c r="BN13" s="36"/>
    </row>
    <row r="14" ht="22.5" hidden="1" customHeight="1">
      <c r="A14" s="15" t="s">
        <v>27</v>
      </c>
      <c r="B14" s="102"/>
      <c r="C14" s="91" t="s">
        <v>78</v>
      </c>
      <c r="D14" s="17">
        <v>1010.0</v>
      </c>
      <c r="E14" s="18" t="s">
        <v>29</v>
      </c>
      <c r="F14" s="19" t="s">
        <v>30</v>
      </c>
      <c r="G14" s="92" t="s">
        <v>73</v>
      </c>
      <c r="H14" s="21" t="s">
        <v>31</v>
      </c>
      <c r="I14" s="21" t="s">
        <v>32</v>
      </c>
      <c r="J14" s="39" t="s">
        <v>79</v>
      </c>
      <c r="K14" s="100">
        <v>3740.0</v>
      </c>
      <c r="L14" s="23">
        <v>46097.0</v>
      </c>
      <c r="M14" s="101"/>
      <c r="N14" s="24"/>
      <c r="O14" s="25" t="s">
        <v>34</v>
      </c>
      <c r="P14" s="93"/>
      <c r="Q14" s="27" t="s">
        <v>35</v>
      </c>
      <c r="R14" s="28"/>
      <c r="S14" s="29" t="s">
        <v>36</v>
      </c>
      <c r="T14" s="29" t="s">
        <v>36</v>
      </c>
      <c r="U14" s="94" t="s">
        <v>37</v>
      </c>
      <c r="V14" s="31"/>
      <c r="W14" s="95"/>
      <c r="X14" s="37"/>
      <c r="Y14" s="37"/>
      <c r="Z14" s="37"/>
      <c r="AA14" s="38"/>
      <c r="AB14" s="35"/>
      <c r="AC14" s="35"/>
      <c r="AD14" s="35"/>
      <c r="AE14" s="35"/>
      <c r="AF14" s="35"/>
      <c r="AG14" s="35"/>
      <c r="AH14" s="35"/>
      <c r="AI14" s="35"/>
      <c r="AJ14" s="35"/>
      <c r="AK14" s="35"/>
      <c r="AL14" s="35"/>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row>
    <row r="15" ht="22.5" hidden="1" customHeight="1">
      <c r="A15" s="15" t="s">
        <v>27</v>
      </c>
      <c r="B15" s="91"/>
      <c r="C15" s="91" t="s">
        <v>80</v>
      </c>
      <c r="D15" s="17">
        <v>1011.0</v>
      </c>
      <c r="E15" s="18" t="s">
        <v>29</v>
      </c>
      <c r="F15" s="19" t="s">
        <v>30</v>
      </c>
      <c r="G15" s="92" t="s">
        <v>81</v>
      </c>
      <c r="H15" s="21" t="s">
        <v>31</v>
      </c>
      <c r="I15" s="21" t="s">
        <v>32</v>
      </c>
      <c r="J15" s="39" t="s">
        <v>82</v>
      </c>
      <c r="K15" s="100">
        <v>2244.0</v>
      </c>
      <c r="L15" s="23">
        <v>46097.0</v>
      </c>
      <c r="M15" s="101"/>
      <c r="N15" s="24"/>
      <c r="O15" s="25" t="s">
        <v>34</v>
      </c>
      <c r="P15" s="93"/>
      <c r="Q15" s="27" t="s">
        <v>35</v>
      </c>
      <c r="R15" s="28"/>
      <c r="S15" s="29" t="s">
        <v>36</v>
      </c>
      <c r="T15" s="29" t="s">
        <v>36</v>
      </c>
      <c r="U15" s="94" t="s">
        <v>37</v>
      </c>
      <c r="V15" s="31"/>
      <c r="W15" s="95"/>
      <c r="X15" s="37"/>
      <c r="Y15" s="37"/>
      <c r="Z15" s="37"/>
      <c r="AA15" s="38"/>
      <c r="AB15" s="35"/>
      <c r="AC15" s="35"/>
      <c r="AD15" s="35"/>
      <c r="AE15" s="35"/>
      <c r="AF15" s="35"/>
      <c r="AG15" s="35"/>
      <c r="AH15" s="35"/>
      <c r="AI15" s="35"/>
      <c r="AJ15" s="35"/>
      <c r="AK15" s="35"/>
      <c r="AL15" s="35"/>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row>
    <row r="16" ht="22.5" hidden="1" customHeight="1">
      <c r="A16" s="15" t="s">
        <v>27</v>
      </c>
      <c r="B16" s="91"/>
      <c r="C16" s="91" t="s">
        <v>83</v>
      </c>
      <c r="D16" s="17">
        <v>1007.0</v>
      </c>
      <c r="E16" s="18" t="s">
        <v>29</v>
      </c>
      <c r="F16" s="19" t="s">
        <v>30</v>
      </c>
      <c r="G16" s="92" t="s">
        <v>73</v>
      </c>
      <c r="H16" s="21" t="s">
        <v>31</v>
      </c>
      <c r="I16" s="21" t="s">
        <v>32</v>
      </c>
      <c r="J16" s="39" t="s">
        <v>84</v>
      </c>
      <c r="K16" s="100">
        <v>1870.0</v>
      </c>
      <c r="L16" s="23">
        <v>46097.0</v>
      </c>
      <c r="M16" s="101"/>
      <c r="N16" s="24"/>
      <c r="O16" s="25" t="s">
        <v>34</v>
      </c>
      <c r="P16" s="93"/>
      <c r="Q16" s="27" t="s">
        <v>35</v>
      </c>
      <c r="R16" s="28"/>
      <c r="S16" s="29" t="s">
        <v>36</v>
      </c>
      <c r="T16" s="29" t="s">
        <v>36</v>
      </c>
      <c r="U16" s="94" t="s">
        <v>37</v>
      </c>
      <c r="V16" s="31"/>
      <c r="W16" s="95"/>
      <c r="X16" s="37"/>
      <c r="Y16" s="37"/>
      <c r="Z16" s="37"/>
      <c r="AA16" s="38"/>
      <c r="AB16" s="35"/>
      <c r="AC16" s="35"/>
      <c r="AD16" s="35"/>
      <c r="AE16" s="35"/>
      <c r="AF16" s="35"/>
      <c r="AG16" s="35"/>
      <c r="AH16" s="35"/>
      <c r="AI16" s="35"/>
      <c r="AJ16" s="35"/>
      <c r="AK16" s="35"/>
      <c r="AL16" s="35"/>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row>
    <row r="17" ht="22.5" hidden="1" customHeight="1">
      <c r="A17" s="15" t="s">
        <v>27</v>
      </c>
      <c r="B17" s="91"/>
      <c r="C17" s="91" t="s">
        <v>85</v>
      </c>
      <c r="D17" s="17">
        <v>1009.0</v>
      </c>
      <c r="E17" s="18" t="s">
        <v>29</v>
      </c>
      <c r="F17" s="19" t="s">
        <v>30</v>
      </c>
      <c r="G17" s="92" t="s">
        <v>73</v>
      </c>
      <c r="H17" s="21" t="s">
        <v>31</v>
      </c>
      <c r="I17" s="21" t="s">
        <v>32</v>
      </c>
      <c r="J17" s="39" t="s">
        <v>77</v>
      </c>
      <c r="K17" s="100">
        <v>373.0</v>
      </c>
      <c r="L17" s="23">
        <v>46097.0</v>
      </c>
      <c r="M17" s="101"/>
      <c r="N17" s="24"/>
      <c r="O17" s="25" t="s">
        <v>34</v>
      </c>
      <c r="P17" s="93"/>
      <c r="Q17" s="27" t="s">
        <v>35</v>
      </c>
      <c r="R17" s="28"/>
      <c r="S17" s="29" t="s">
        <v>36</v>
      </c>
      <c r="T17" s="29" t="s">
        <v>36</v>
      </c>
      <c r="U17" s="94" t="s">
        <v>37</v>
      </c>
      <c r="V17" s="31"/>
      <c r="W17" s="95"/>
      <c r="X17" s="37"/>
      <c r="Y17" s="37"/>
      <c r="Z17" s="37"/>
      <c r="AA17" s="38"/>
      <c r="AB17" s="35"/>
      <c r="AC17" s="35"/>
      <c r="AD17" s="35"/>
      <c r="AE17" s="35"/>
      <c r="AF17" s="35"/>
      <c r="AG17" s="35"/>
      <c r="AH17" s="35"/>
      <c r="AI17" s="35"/>
      <c r="AJ17" s="35"/>
      <c r="AK17" s="35"/>
      <c r="AL17" s="35"/>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row>
    <row r="18" ht="22.5" hidden="1" customHeight="1">
      <c r="A18" s="15" t="s">
        <v>27</v>
      </c>
      <c r="B18" s="16"/>
      <c r="C18" s="16" t="s">
        <v>86</v>
      </c>
      <c r="D18" s="17">
        <v>1086.0</v>
      </c>
      <c r="E18" s="18" t="s">
        <v>29</v>
      </c>
      <c r="F18" s="19" t="s">
        <v>30</v>
      </c>
      <c r="G18" s="92" t="s">
        <v>73</v>
      </c>
      <c r="H18" s="21" t="s">
        <v>31</v>
      </c>
      <c r="I18" s="21" t="s">
        <v>32</v>
      </c>
      <c r="J18" s="39">
        <v>10000.0</v>
      </c>
      <c r="K18" s="100">
        <v>373.0</v>
      </c>
      <c r="L18" s="23">
        <v>46098.0</v>
      </c>
      <c r="M18" s="101"/>
      <c r="N18" s="24"/>
      <c r="O18" s="25" t="s">
        <v>34</v>
      </c>
      <c r="P18" s="93"/>
      <c r="Q18" s="27" t="s">
        <v>35</v>
      </c>
      <c r="R18" s="28"/>
      <c r="S18" s="29" t="s">
        <v>36</v>
      </c>
      <c r="T18" s="29" t="s">
        <v>36</v>
      </c>
      <c r="U18" s="94" t="s">
        <v>37</v>
      </c>
      <c r="V18" s="31"/>
      <c r="W18" s="32" t="s">
        <v>87</v>
      </c>
      <c r="X18" s="37"/>
      <c r="Y18" s="37"/>
      <c r="Z18" s="37"/>
      <c r="AA18" s="38"/>
      <c r="AB18" s="35"/>
      <c r="AC18" s="35"/>
      <c r="AD18" s="35"/>
      <c r="AE18" s="35"/>
      <c r="AF18" s="35"/>
      <c r="AG18" s="35"/>
      <c r="AH18" s="35"/>
      <c r="AI18" s="35"/>
      <c r="AJ18" s="35"/>
      <c r="AK18" s="35"/>
      <c r="AL18" s="35"/>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row>
    <row r="19" ht="22.5" hidden="1" customHeight="1">
      <c r="A19" s="15" t="s">
        <v>27</v>
      </c>
      <c r="B19" s="91"/>
      <c r="C19" s="91" t="s">
        <v>88</v>
      </c>
      <c r="D19" s="17">
        <v>1085.0</v>
      </c>
      <c r="E19" s="18" t="s">
        <v>29</v>
      </c>
      <c r="F19" s="19" t="s">
        <v>30</v>
      </c>
      <c r="G19" s="92" t="s">
        <v>89</v>
      </c>
      <c r="H19" s="21" t="s">
        <v>31</v>
      </c>
      <c r="I19" s="21" t="s">
        <v>32</v>
      </c>
      <c r="J19" s="39" t="s">
        <v>79</v>
      </c>
      <c r="K19" s="22" t="s">
        <v>90</v>
      </c>
      <c r="L19" s="23">
        <v>46097.0</v>
      </c>
      <c r="M19" s="23">
        <v>46101.0</v>
      </c>
      <c r="N19" s="24"/>
      <c r="O19" s="25" t="s">
        <v>34</v>
      </c>
      <c r="P19" s="26"/>
      <c r="Q19" s="27" t="s">
        <v>35</v>
      </c>
      <c r="R19" s="28"/>
      <c r="S19" s="29" t="s">
        <v>36</v>
      </c>
      <c r="T19" s="29" t="s">
        <v>36</v>
      </c>
      <c r="U19" s="30" t="s">
        <v>37</v>
      </c>
      <c r="V19" s="31"/>
      <c r="W19" s="32" t="s">
        <v>87</v>
      </c>
      <c r="X19" s="96" t="s">
        <v>91</v>
      </c>
      <c r="Y19" s="37"/>
      <c r="Z19" s="37"/>
      <c r="AA19" s="38"/>
      <c r="AB19" s="35"/>
      <c r="AC19" s="35"/>
      <c r="AD19" s="35"/>
      <c r="AE19" s="35"/>
      <c r="AF19" s="35"/>
      <c r="AG19" s="35"/>
      <c r="AH19" s="35"/>
      <c r="AI19" s="35"/>
      <c r="AJ19" s="35"/>
      <c r="AK19" s="35"/>
      <c r="AL19" s="35"/>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row>
    <row r="20" ht="22.5" hidden="1" customHeight="1">
      <c r="A20" s="15" t="s">
        <v>27</v>
      </c>
      <c r="B20" s="16"/>
      <c r="C20" s="16" t="s">
        <v>92</v>
      </c>
      <c r="D20" s="17">
        <v>1087.0</v>
      </c>
      <c r="E20" s="18" t="s">
        <v>29</v>
      </c>
      <c r="F20" s="19" t="s">
        <v>30</v>
      </c>
      <c r="G20" s="92" t="s">
        <v>73</v>
      </c>
      <c r="H20" s="21" t="s">
        <v>31</v>
      </c>
      <c r="I20" s="21" t="s">
        <v>32</v>
      </c>
      <c r="J20" s="39">
        <v>10000.0</v>
      </c>
      <c r="K20" s="100">
        <v>373.0</v>
      </c>
      <c r="L20" s="23">
        <v>46098.0</v>
      </c>
      <c r="M20" s="101"/>
      <c r="N20" s="24"/>
      <c r="O20" s="25" t="s">
        <v>34</v>
      </c>
      <c r="P20" s="93"/>
      <c r="Q20" s="27" t="s">
        <v>35</v>
      </c>
      <c r="R20" s="28"/>
      <c r="S20" s="29" t="s">
        <v>36</v>
      </c>
      <c r="T20" s="29" t="s">
        <v>36</v>
      </c>
      <c r="U20" s="94" t="s">
        <v>37</v>
      </c>
      <c r="V20" s="31"/>
      <c r="W20" s="32" t="s">
        <v>87</v>
      </c>
      <c r="X20" s="37"/>
      <c r="Y20" s="37"/>
      <c r="Z20" s="37"/>
      <c r="AA20" s="38"/>
      <c r="AB20" s="35"/>
      <c r="AC20" s="35"/>
      <c r="AD20" s="35"/>
      <c r="AE20" s="35"/>
      <c r="AF20" s="35"/>
      <c r="AG20" s="35"/>
      <c r="AH20" s="35"/>
      <c r="AI20" s="35"/>
      <c r="AJ20" s="35"/>
      <c r="AK20" s="35"/>
      <c r="AL20" s="35"/>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row>
    <row r="21" ht="22.5" hidden="1" customHeight="1">
      <c r="A21" s="103" t="s">
        <v>93</v>
      </c>
      <c r="B21" s="104"/>
      <c r="C21" s="105" t="s">
        <v>94</v>
      </c>
      <c r="D21" s="106">
        <v>1224.0</v>
      </c>
      <c r="E21" s="107" t="s">
        <v>95</v>
      </c>
      <c r="F21" s="108" t="s">
        <v>96</v>
      </c>
      <c r="G21" s="109" t="s">
        <v>97</v>
      </c>
      <c r="H21" s="110" t="s">
        <v>31</v>
      </c>
      <c r="I21" s="110" t="s">
        <v>98</v>
      </c>
      <c r="J21" s="111">
        <v>20.0</v>
      </c>
      <c r="K21" s="112">
        <v>271.0</v>
      </c>
      <c r="L21" s="113">
        <v>46107.0</v>
      </c>
      <c r="M21" s="113">
        <v>46108.0</v>
      </c>
      <c r="N21" s="114"/>
      <c r="O21" s="115" t="s">
        <v>99</v>
      </c>
      <c r="P21" s="116"/>
      <c r="Q21" s="107" t="s">
        <v>35</v>
      </c>
      <c r="R21" s="117"/>
      <c r="S21" s="115" t="s">
        <v>36</v>
      </c>
      <c r="T21" s="115" t="s">
        <v>100</v>
      </c>
      <c r="U21" s="118" t="s">
        <v>37</v>
      </c>
      <c r="V21" s="119"/>
      <c r="W21" s="111" t="s">
        <v>101</v>
      </c>
      <c r="X21" s="120"/>
      <c r="Y21" s="120"/>
      <c r="Z21" s="121"/>
      <c r="AA21" s="121"/>
      <c r="AB21" s="122"/>
      <c r="AC21" s="122"/>
      <c r="AD21" s="122"/>
      <c r="AE21" s="122"/>
      <c r="AF21" s="122"/>
      <c r="AG21" s="122"/>
      <c r="AH21" s="122"/>
      <c r="AI21" s="122"/>
      <c r="AJ21" s="122"/>
      <c r="AK21" s="122"/>
      <c r="AL21" s="122"/>
    </row>
    <row r="22" ht="22.5" hidden="1" customHeight="1">
      <c r="A22" s="111" t="s">
        <v>102</v>
      </c>
      <c r="B22" s="123"/>
      <c r="C22" s="124" t="s">
        <v>103</v>
      </c>
      <c r="D22" s="125">
        <v>1458.0</v>
      </c>
      <c r="E22" s="107" t="s">
        <v>51</v>
      </c>
      <c r="F22" s="108" t="s">
        <v>30</v>
      </c>
      <c r="G22" s="109" t="s">
        <v>104</v>
      </c>
      <c r="H22" s="110" t="s">
        <v>52</v>
      </c>
      <c r="I22" s="110" t="s">
        <v>53</v>
      </c>
      <c r="J22" s="111">
        <v>2000.0</v>
      </c>
      <c r="K22" s="112">
        <v>370.0</v>
      </c>
      <c r="L22" s="113">
        <v>46100.0</v>
      </c>
      <c r="M22" s="113"/>
      <c r="N22" s="114"/>
      <c r="O22" s="115" t="s">
        <v>34</v>
      </c>
      <c r="P22" s="116"/>
      <c r="Q22" s="52" t="s">
        <v>35</v>
      </c>
      <c r="R22" s="53"/>
      <c r="S22" s="126" t="s">
        <v>35</v>
      </c>
      <c r="T22" s="126" t="s">
        <v>36</v>
      </c>
      <c r="U22" s="127" t="s">
        <v>37</v>
      </c>
      <c r="V22" s="128"/>
      <c r="W22" s="129" t="s">
        <v>105</v>
      </c>
      <c r="X22" s="130" t="s">
        <v>106</v>
      </c>
      <c r="Y22" s="121"/>
      <c r="Z22" s="121"/>
      <c r="AA22" s="121"/>
      <c r="AB22" s="122"/>
      <c r="AC22" s="122"/>
      <c r="AD22" s="122"/>
      <c r="AE22" s="122"/>
      <c r="AF22" s="122"/>
      <c r="AG22" s="122"/>
      <c r="AH22" s="122"/>
      <c r="AI22" s="122"/>
      <c r="AJ22" s="122"/>
      <c r="AK22" s="122"/>
      <c r="AL22" s="122"/>
    </row>
    <row r="23" ht="22.5" hidden="1" customHeight="1">
      <c r="A23" s="15" t="s">
        <v>27</v>
      </c>
      <c r="B23" s="16"/>
      <c r="C23" s="16" t="s">
        <v>107</v>
      </c>
      <c r="D23" s="17">
        <v>1168.0</v>
      </c>
      <c r="E23" s="18" t="s">
        <v>29</v>
      </c>
      <c r="F23" s="131" t="s">
        <v>30</v>
      </c>
      <c r="G23" s="92" t="s">
        <v>73</v>
      </c>
      <c r="H23" s="21" t="s">
        <v>31</v>
      </c>
      <c r="I23" s="21" t="s">
        <v>32</v>
      </c>
      <c r="J23" s="15">
        <v>10000.0</v>
      </c>
      <c r="K23" s="100">
        <v>829.0</v>
      </c>
      <c r="L23" s="23">
        <v>46100.0</v>
      </c>
      <c r="M23" s="23">
        <v>46107.0</v>
      </c>
      <c r="N23" s="24"/>
      <c r="O23" s="25" t="s">
        <v>70</v>
      </c>
      <c r="P23" s="26">
        <v>46104.0</v>
      </c>
      <c r="Q23" s="27" t="s">
        <v>35</v>
      </c>
      <c r="R23" s="28"/>
      <c r="S23" s="29" t="s">
        <v>35</v>
      </c>
      <c r="T23" s="29" t="s">
        <v>36</v>
      </c>
      <c r="U23" s="94" t="s">
        <v>37</v>
      </c>
      <c r="V23" s="31"/>
      <c r="W23" s="32"/>
      <c r="X23" s="37"/>
      <c r="Y23" s="37"/>
      <c r="Z23" s="37"/>
      <c r="AA23" s="38"/>
      <c r="AB23" s="35"/>
      <c r="AC23" s="35"/>
      <c r="AD23" s="35"/>
      <c r="AE23" s="35"/>
      <c r="AF23" s="35"/>
      <c r="AG23" s="35"/>
      <c r="AH23" s="35"/>
      <c r="AI23" s="35"/>
      <c r="AJ23" s="35"/>
      <c r="AK23" s="35"/>
      <c r="AL23" s="35"/>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row>
    <row r="24" ht="22.5" hidden="1" customHeight="1">
      <c r="A24" s="15" t="s">
        <v>27</v>
      </c>
      <c r="B24" s="132"/>
      <c r="C24" s="16" t="s">
        <v>108</v>
      </c>
      <c r="D24" s="17">
        <v>1161.0</v>
      </c>
      <c r="E24" s="18" t="s">
        <v>29</v>
      </c>
      <c r="F24" s="131" t="s">
        <v>30</v>
      </c>
      <c r="G24" s="92" t="s">
        <v>73</v>
      </c>
      <c r="H24" s="21" t="s">
        <v>31</v>
      </c>
      <c r="I24" s="21" t="s">
        <v>32</v>
      </c>
      <c r="J24" s="15">
        <v>150000.0</v>
      </c>
      <c r="K24" s="100">
        <v>6364.0</v>
      </c>
      <c r="L24" s="23">
        <v>46101.0</v>
      </c>
      <c r="M24" s="23">
        <v>46107.0</v>
      </c>
      <c r="N24" s="24"/>
      <c r="O24" s="25" t="s">
        <v>34</v>
      </c>
      <c r="P24" s="26">
        <v>46102.0</v>
      </c>
      <c r="Q24" s="27" t="s">
        <v>35</v>
      </c>
      <c r="R24" s="28"/>
      <c r="S24" s="29" t="s">
        <v>35</v>
      </c>
      <c r="T24" s="29" t="s">
        <v>36</v>
      </c>
      <c r="U24" s="94" t="s">
        <v>37</v>
      </c>
      <c r="V24" s="31"/>
      <c r="W24" s="32"/>
      <c r="X24" s="37"/>
      <c r="Y24" s="37"/>
      <c r="Z24" s="37"/>
      <c r="AA24" s="38"/>
      <c r="AB24" s="35"/>
      <c r="AC24" s="35"/>
      <c r="AD24" s="35"/>
      <c r="AE24" s="35"/>
      <c r="AF24" s="35"/>
      <c r="AG24" s="35"/>
      <c r="AH24" s="35"/>
      <c r="AI24" s="35"/>
      <c r="AJ24" s="35"/>
      <c r="AK24" s="35"/>
      <c r="AL24" s="35"/>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row>
    <row r="25" ht="22.5" hidden="1" customHeight="1">
      <c r="A25" s="15" t="s">
        <v>27</v>
      </c>
      <c r="B25" s="132"/>
      <c r="C25" s="16" t="s">
        <v>109</v>
      </c>
      <c r="D25" s="17">
        <v>1164.0</v>
      </c>
      <c r="E25" s="18" t="s">
        <v>29</v>
      </c>
      <c r="F25" s="131" t="s">
        <v>30</v>
      </c>
      <c r="G25" s="92" t="s">
        <v>110</v>
      </c>
      <c r="H25" s="21" t="s">
        <v>31</v>
      </c>
      <c r="I25" s="21" t="s">
        <v>32</v>
      </c>
      <c r="J25" s="15">
        <v>150000.0</v>
      </c>
      <c r="K25" s="100">
        <v>4415.0</v>
      </c>
      <c r="L25" s="23">
        <v>46101.0</v>
      </c>
      <c r="M25" s="23">
        <v>46107.0</v>
      </c>
      <c r="N25" s="24"/>
      <c r="O25" s="25" t="s">
        <v>34</v>
      </c>
      <c r="P25" s="26">
        <v>46106.0</v>
      </c>
      <c r="Q25" s="27" t="s">
        <v>35</v>
      </c>
      <c r="R25" s="28"/>
      <c r="S25" s="29" t="s">
        <v>35</v>
      </c>
      <c r="T25" s="29" t="s">
        <v>36</v>
      </c>
      <c r="U25" s="94" t="s">
        <v>37</v>
      </c>
      <c r="V25" s="31"/>
      <c r="W25" s="32"/>
      <c r="X25" s="37"/>
      <c r="Y25" s="37"/>
      <c r="Z25" s="37"/>
      <c r="AA25" s="38"/>
      <c r="AB25" s="35"/>
      <c r="AC25" s="35"/>
      <c r="AD25" s="35"/>
      <c r="AE25" s="35"/>
      <c r="AF25" s="35"/>
      <c r="AG25" s="35"/>
      <c r="AH25" s="35"/>
      <c r="AI25" s="35"/>
      <c r="AJ25" s="35"/>
      <c r="AK25" s="35"/>
      <c r="AL25" s="35"/>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row>
    <row r="26" ht="22.5" hidden="1" customHeight="1">
      <c r="A26" s="15" t="s">
        <v>27</v>
      </c>
      <c r="B26" s="132"/>
      <c r="C26" s="16" t="s">
        <v>111</v>
      </c>
      <c r="D26" s="17">
        <v>1163.0</v>
      </c>
      <c r="E26" s="18" t="s">
        <v>29</v>
      </c>
      <c r="F26" s="131" t="s">
        <v>30</v>
      </c>
      <c r="G26" s="92" t="s">
        <v>110</v>
      </c>
      <c r="H26" s="21" t="s">
        <v>31</v>
      </c>
      <c r="I26" s="21" t="s">
        <v>32</v>
      </c>
      <c r="J26" s="15">
        <v>100000.0</v>
      </c>
      <c r="K26" s="100">
        <v>3070.0</v>
      </c>
      <c r="L26" s="23">
        <v>46101.0</v>
      </c>
      <c r="M26" s="23">
        <v>46107.0</v>
      </c>
      <c r="N26" s="24"/>
      <c r="O26" s="25" t="s">
        <v>34</v>
      </c>
      <c r="P26" s="26">
        <v>46106.0</v>
      </c>
      <c r="Q26" s="27" t="s">
        <v>35</v>
      </c>
      <c r="R26" s="28"/>
      <c r="S26" s="29" t="s">
        <v>35</v>
      </c>
      <c r="T26" s="29" t="s">
        <v>36</v>
      </c>
      <c r="U26" s="94" t="s">
        <v>37</v>
      </c>
      <c r="V26" s="31"/>
      <c r="W26" s="32"/>
      <c r="X26" s="37"/>
      <c r="Y26" s="37"/>
      <c r="Z26" s="37"/>
      <c r="AA26" s="38"/>
      <c r="AB26" s="35"/>
      <c r="AC26" s="35"/>
      <c r="AD26" s="35"/>
      <c r="AE26" s="35"/>
      <c r="AF26" s="35"/>
      <c r="AG26" s="35"/>
      <c r="AH26" s="35"/>
      <c r="AI26" s="35"/>
      <c r="AJ26" s="35"/>
      <c r="AK26" s="35"/>
      <c r="AL26" s="35"/>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row>
    <row r="27" ht="22.5" hidden="1" customHeight="1">
      <c r="A27" s="15" t="s">
        <v>27</v>
      </c>
      <c r="B27" s="132"/>
      <c r="C27" s="16" t="s">
        <v>112</v>
      </c>
      <c r="D27" s="17">
        <v>1162.0</v>
      </c>
      <c r="E27" s="18" t="s">
        <v>29</v>
      </c>
      <c r="F27" s="131" t="s">
        <v>30</v>
      </c>
      <c r="G27" s="92" t="s">
        <v>73</v>
      </c>
      <c r="H27" s="21" t="s">
        <v>31</v>
      </c>
      <c r="I27" s="21" t="s">
        <v>32</v>
      </c>
      <c r="J27" s="15">
        <v>30000.0</v>
      </c>
      <c r="K27" s="100">
        <v>1652.0</v>
      </c>
      <c r="L27" s="23">
        <v>46101.0</v>
      </c>
      <c r="M27" s="23">
        <v>46107.0</v>
      </c>
      <c r="N27" s="24"/>
      <c r="O27" s="25" t="s">
        <v>34</v>
      </c>
      <c r="P27" s="26">
        <v>46102.0</v>
      </c>
      <c r="Q27" s="27" t="s">
        <v>35</v>
      </c>
      <c r="R27" s="28"/>
      <c r="S27" s="29" t="s">
        <v>35</v>
      </c>
      <c r="T27" s="29" t="s">
        <v>36</v>
      </c>
      <c r="U27" s="94" t="s">
        <v>37</v>
      </c>
      <c r="V27" s="31"/>
      <c r="W27" s="32"/>
      <c r="X27" s="37"/>
      <c r="Y27" s="37"/>
      <c r="Z27" s="37"/>
      <c r="AA27" s="38"/>
      <c r="AB27" s="35"/>
      <c r="AC27" s="35"/>
      <c r="AD27" s="35"/>
      <c r="AE27" s="35"/>
      <c r="AF27" s="35"/>
      <c r="AG27" s="35"/>
      <c r="AH27" s="35"/>
      <c r="AI27" s="35"/>
      <c r="AJ27" s="35"/>
      <c r="AK27" s="35"/>
      <c r="AL27" s="35"/>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row>
    <row r="28" ht="22.5" hidden="1" customHeight="1">
      <c r="A28" s="15" t="s">
        <v>113</v>
      </c>
      <c r="B28" s="132"/>
      <c r="C28" s="16" t="s">
        <v>114</v>
      </c>
      <c r="D28" s="17">
        <v>1165.0</v>
      </c>
      <c r="E28" s="18" t="s">
        <v>29</v>
      </c>
      <c r="F28" s="131" t="s">
        <v>72</v>
      </c>
      <c r="G28" s="92" t="s">
        <v>115</v>
      </c>
      <c r="H28" s="21" t="s">
        <v>116</v>
      </c>
      <c r="I28" s="21" t="s">
        <v>53</v>
      </c>
      <c r="J28" s="15">
        <v>43500.0</v>
      </c>
      <c r="K28" s="100">
        <v>1277.0</v>
      </c>
      <c r="L28" s="23">
        <v>46101.0</v>
      </c>
      <c r="M28" s="23">
        <v>46106.0</v>
      </c>
      <c r="N28" s="133"/>
      <c r="O28" s="25" t="s">
        <v>70</v>
      </c>
      <c r="P28" s="93"/>
      <c r="Q28" s="27" t="s">
        <v>35</v>
      </c>
      <c r="R28" s="28"/>
      <c r="S28" s="29" t="s">
        <v>35</v>
      </c>
      <c r="T28" s="29" t="s">
        <v>100</v>
      </c>
      <c r="U28" s="94" t="s">
        <v>37</v>
      </c>
      <c r="V28" s="31"/>
      <c r="W28" s="32"/>
      <c r="X28" s="134" t="s">
        <v>117</v>
      </c>
      <c r="Y28" s="37"/>
      <c r="Z28" s="37"/>
      <c r="AA28" s="38"/>
      <c r="AB28" s="35"/>
      <c r="AC28" s="35"/>
      <c r="AD28" s="35"/>
      <c r="AE28" s="35"/>
      <c r="AF28" s="35"/>
      <c r="AG28" s="35"/>
      <c r="AH28" s="35"/>
      <c r="AI28" s="35"/>
      <c r="AJ28" s="35"/>
      <c r="AK28" s="35"/>
      <c r="AL28" s="35"/>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row>
    <row r="29" ht="22.5" hidden="1" customHeight="1">
      <c r="A29" s="15" t="s">
        <v>27</v>
      </c>
      <c r="B29" s="132"/>
      <c r="C29" s="16" t="s">
        <v>118</v>
      </c>
      <c r="D29" s="17">
        <v>1186.0</v>
      </c>
      <c r="E29" s="18" t="s">
        <v>29</v>
      </c>
      <c r="F29" s="131" t="s">
        <v>30</v>
      </c>
      <c r="G29" s="92" t="s">
        <v>119</v>
      </c>
      <c r="H29" s="21" t="s">
        <v>31</v>
      </c>
      <c r="I29" s="21" t="s">
        <v>32</v>
      </c>
      <c r="J29" s="15">
        <v>10000.0</v>
      </c>
      <c r="K29" s="100">
        <v>1126.0</v>
      </c>
      <c r="L29" s="23">
        <v>46104.0</v>
      </c>
      <c r="M29" s="23">
        <v>46110.0</v>
      </c>
      <c r="N29" s="133"/>
      <c r="O29" s="25" t="s">
        <v>34</v>
      </c>
      <c r="P29" s="93"/>
      <c r="Q29" s="27" t="s">
        <v>35</v>
      </c>
      <c r="R29" s="28"/>
      <c r="S29" s="29" t="s">
        <v>35</v>
      </c>
      <c r="T29" s="29" t="s">
        <v>36</v>
      </c>
      <c r="U29" s="94" t="s">
        <v>37</v>
      </c>
      <c r="V29" s="31"/>
      <c r="W29" s="32"/>
      <c r="X29" s="37"/>
      <c r="Y29" s="37"/>
      <c r="Z29" s="37"/>
      <c r="AA29" s="38"/>
      <c r="AB29" s="35"/>
      <c r="AC29" s="35"/>
      <c r="AD29" s="35"/>
      <c r="AE29" s="35"/>
      <c r="AF29" s="35"/>
      <c r="AG29" s="35"/>
      <c r="AH29" s="35"/>
      <c r="AI29" s="35"/>
      <c r="AJ29" s="35"/>
      <c r="AK29" s="35"/>
      <c r="AL29" s="35"/>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row>
    <row r="30" ht="22.5" hidden="1" customHeight="1">
      <c r="A30" s="111" t="s">
        <v>120</v>
      </c>
      <c r="B30" s="104"/>
      <c r="C30" s="124" t="s">
        <v>121</v>
      </c>
      <c r="D30" s="125">
        <v>1084.0</v>
      </c>
      <c r="E30" s="107" t="s">
        <v>95</v>
      </c>
      <c r="F30" s="108" t="s">
        <v>68</v>
      </c>
      <c r="G30" s="109" t="s">
        <v>122</v>
      </c>
      <c r="H30" s="110" t="s">
        <v>31</v>
      </c>
      <c r="I30" s="110" t="s">
        <v>123</v>
      </c>
      <c r="J30" s="111">
        <v>25000.0</v>
      </c>
      <c r="K30" s="135"/>
      <c r="L30" s="113">
        <v>46101.0</v>
      </c>
      <c r="M30" s="113">
        <v>46106.0</v>
      </c>
      <c r="N30" s="114"/>
      <c r="O30" s="115" t="s">
        <v>99</v>
      </c>
      <c r="P30" s="116"/>
      <c r="Q30" s="52" t="s">
        <v>35</v>
      </c>
      <c r="R30" s="53"/>
      <c r="S30" s="126" t="s">
        <v>35</v>
      </c>
      <c r="T30" s="126" t="s">
        <v>36</v>
      </c>
      <c r="U30" s="127" t="s">
        <v>37</v>
      </c>
      <c r="V30" s="128"/>
      <c r="W30" s="136"/>
      <c r="X30" s="121"/>
      <c r="Y30" s="121"/>
      <c r="Z30" s="121"/>
      <c r="AA30" s="121"/>
      <c r="AB30" s="122"/>
      <c r="AC30" s="122"/>
      <c r="AD30" s="122"/>
      <c r="AE30" s="122"/>
      <c r="AF30" s="122"/>
      <c r="AG30" s="122"/>
      <c r="AH30" s="122"/>
      <c r="AI30" s="122"/>
      <c r="AJ30" s="122"/>
      <c r="AK30" s="122"/>
      <c r="AL30" s="122"/>
    </row>
    <row r="31" ht="22.5" hidden="1" customHeight="1">
      <c r="A31" s="103" t="s">
        <v>93</v>
      </c>
      <c r="B31" s="104"/>
      <c r="C31" s="105" t="s">
        <v>124</v>
      </c>
      <c r="D31" s="106">
        <v>1225.0</v>
      </c>
      <c r="E31" s="107" t="s">
        <v>95</v>
      </c>
      <c r="F31" s="108" t="s">
        <v>96</v>
      </c>
      <c r="G31" s="109" t="s">
        <v>97</v>
      </c>
      <c r="H31" s="110" t="s">
        <v>31</v>
      </c>
      <c r="I31" s="110" t="s">
        <v>98</v>
      </c>
      <c r="J31" s="111">
        <v>20.0</v>
      </c>
      <c r="K31" s="112">
        <v>271.0</v>
      </c>
      <c r="L31" s="113">
        <v>46107.0</v>
      </c>
      <c r="M31" s="113">
        <v>46108.0</v>
      </c>
      <c r="N31" s="114"/>
      <c r="O31" s="115" t="s">
        <v>99</v>
      </c>
      <c r="P31" s="116"/>
      <c r="Q31" s="107" t="s">
        <v>35</v>
      </c>
      <c r="R31" s="117"/>
      <c r="S31" s="115" t="s">
        <v>36</v>
      </c>
      <c r="T31" s="115" t="s">
        <v>100</v>
      </c>
      <c r="U31" s="118" t="s">
        <v>37</v>
      </c>
      <c r="V31" s="119"/>
      <c r="W31" s="111" t="s">
        <v>125</v>
      </c>
      <c r="X31" s="120"/>
      <c r="Y31" s="120"/>
      <c r="Z31" s="121"/>
      <c r="AA31" s="121"/>
      <c r="AB31" s="122"/>
      <c r="AC31" s="122"/>
      <c r="AD31" s="122"/>
      <c r="AE31" s="122"/>
      <c r="AF31" s="122"/>
      <c r="AG31" s="122"/>
      <c r="AH31" s="122"/>
      <c r="AI31" s="122"/>
      <c r="AJ31" s="122"/>
      <c r="AK31" s="122"/>
      <c r="AL31" s="122"/>
    </row>
    <row r="32" ht="22.5" hidden="1" customHeight="1">
      <c r="A32" s="103" t="s">
        <v>126</v>
      </c>
      <c r="B32" s="104"/>
      <c r="C32" s="105" t="s">
        <v>127</v>
      </c>
      <c r="D32" s="106">
        <v>1475.0</v>
      </c>
      <c r="E32" s="107" t="s">
        <v>95</v>
      </c>
      <c r="F32" s="108" t="s">
        <v>96</v>
      </c>
      <c r="G32" s="109" t="s">
        <v>128</v>
      </c>
      <c r="H32" s="110" t="s">
        <v>31</v>
      </c>
      <c r="I32" s="110" t="s">
        <v>98</v>
      </c>
      <c r="J32" s="111">
        <v>20.0</v>
      </c>
      <c r="K32" s="112">
        <v>366.0</v>
      </c>
      <c r="L32" s="113">
        <v>46106.0</v>
      </c>
      <c r="M32" s="113">
        <v>46121.0</v>
      </c>
      <c r="N32" s="114"/>
      <c r="O32" s="115" t="s">
        <v>99</v>
      </c>
      <c r="P32" s="116"/>
      <c r="Q32" s="107" t="s">
        <v>35</v>
      </c>
      <c r="R32" s="117"/>
      <c r="S32" s="115" t="s">
        <v>36</v>
      </c>
      <c r="T32" s="115" t="s">
        <v>100</v>
      </c>
      <c r="U32" s="118" t="s">
        <v>37</v>
      </c>
      <c r="V32" s="119"/>
      <c r="W32" s="111" t="s">
        <v>129</v>
      </c>
      <c r="X32" s="120"/>
      <c r="Y32" s="120"/>
      <c r="Z32" s="121"/>
      <c r="AA32" s="121"/>
      <c r="AB32" s="122"/>
      <c r="AC32" s="122"/>
      <c r="AD32" s="122"/>
      <c r="AE32" s="122"/>
      <c r="AF32" s="122"/>
      <c r="AG32" s="122"/>
      <c r="AH32" s="122"/>
      <c r="AI32" s="122"/>
      <c r="AJ32" s="122"/>
      <c r="AK32" s="122"/>
      <c r="AL32" s="122"/>
    </row>
    <row r="33" ht="22.5" hidden="1" customHeight="1">
      <c r="A33" s="137" t="s">
        <v>27</v>
      </c>
      <c r="B33" s="138"/>
      <c r="C33" s="139" t="s">
        <v>130</v>
      </c>
      <c r="D33" s="140">
        <v>1656.0</v>
      </c>
      <c r="E33" s="141" t="s">
        <v>29</v>
      </c>
      <c r="F33" s="142" t="s">
        <v>30</v>
      </c>
      <c r="G33" s="143" t="s">
        <v>131</v>
      </c>
      <c r="H33" s="144" t="s">
        <v>31</v>
      </c>
      <c r="I33" s="144" t="s">
        <v>132</v>
      </c>
      <c r="J33" s="145">
        <v>10000.0</v>
      </c>
      <c r="K33" s="146">
        <v>736.0</v>
      </c>
      <c r="L33" s="147">
        <v>46121.0</v>
      </c>
      <c r="M33" s="147">
        <v>46127.0</v>
      </c>
      <c r="N33" s="148"/>
      <c r="O33" s="149" t="s">
        <v>34</v>
      </c>
      <c r="P33" s="150"/>
      <c r="Q33" s="151"/>
      <c r="R33" s="152" t="s">
        <v>133</v>
      </c>
      <c r="S33" s="153" t="s">
        <v>36</v>
      </c>
      <c r="T33" s="153" t="s">
        <v>36</v>
      </c>
      <c r="U33" s="154" t="s">
        <v>37</v>
      </c>
      <c r="V33" s="155"/>
      <c r="W33" s="156" t="s">
        <v>134</v>
      </c>
      <c r="X33" s="157"/>
      <c r="Y33" s="157"/>
      <c r="Z33" s="158">
        <f t="shared" ref="Z33:Z36" si="1">J33/2500</f>
        <v>4</v>
      </c>
      <c r="AA33" s="158"/>
      <c r="AB33" s="159"/>
      <c r="AC33" s="159"/>
      <c r="AD33" s="159"/>
      <c r="AE33" s="159"/>
      <c r="AF33" s="159"/>
      <c r="AG33" s="159"/>
      <c r="AH33" s="159"/>
      <c r="AI33" s="159"/>
      <c r="AJ33" s="159"/>
      <c r="AK33" s="159"/>
      <c r="AL33" s="159"/>
      <c r="AM33" s="160"/>
      <c r="AN33" s="160"/>
      <c r="AO33" s="160"/>
      <c r="AP33" s="160"/>
      <c r="AQ33" s="160"/>
      <c r="AR33" s="160"/>
      <c r="AS33" s="160"/>
      <c r="AT33" s="160"/>
      <c r="AU33" s="160"/>
      <c r="AV33" s="160"/>
      <c r="AW33" s="160"/>
      <c r="AX33" s="160"/>
      <c r="AY33" s="160"/>
      <c r="AZ33" s="160"/>
      <c r="BA33" s="160"/>
      <c r="BB33" s="160"/>
      <c r="BC33" s="160"/>
      <c r="BD33" s="160"/>
      <c r="BE33" s="160"/>
      <c r="BF33" s="160"/>
      <c r="BG33" s="160"/>
      <c r="BH33" s="160"/>
      <c r="BI33" s="160"/>
      <c r="BJ33" s="160"/>
      <c r="BK33" s="160"/>
      <c r="BL33" s="160"/>
      <c r="BM33" s="160"/>
      <c r="BN33" s="160"/>
    </row>
    <row r="34" ht="22.5" hidden="1" customHeight="1">
      <c r="A34" s="137" t="s">
        <v>27</v>
      </c>
      <c r="B34" s="138"/>
      <c r="C34" s="139" t="s">
        <v>135</v>
      </c>
      <c r="D34" s="140">
        <v>1666.0</v>
      </c>
      <c r="E34" s="141" t="s">
        <v>29</v>
      </c>
      <c r="F34" s="142" t="s">
        <v>30</v>
      </c>
      <c r="G34" s="143" t="s">
        <v>136</v>
      </c>
      <c r="H34" s="144" t="s">
        <v>31</v>
      </c>
      <c r="I34" s="144" t="s">
        <v>132</v>
      </c>
      <c r="J34" s="145">
        <v>10000.0</v>
      </c>
      <c r="K34" s="146">
        <v>789.0</v>
      </c>
      <c r="L34" s="147">
        <v>46122.0</v>
      </c>
      <c r="M34" s="147">
        <v>46125.0</v>
      </c>
      <c r="N34" s="148"/>
      <c r="O34" s="149" t="s">
        <v>34</v>
      </c>
      <c r="P34" s="150"/>
      <c r="Q34" s="151"/>
      <c r="R34" s="152" t="s">
        <v>133</v>
      </c>
      <c r="S34" s="153" t="s">
        <v>36</v>
      </c>
      <c r="T34" s="153" t="s">
        <v>36</v>
      </c>
      <c r="U34" s="154" t="s">
        <v>37</v>
      </c>
      <c r="V34" s="155"/>
      <c r="W34" s="156" t="s">
        <v>134</v>
      </c>
      <c r="X34" s="157"/>
      <c r="Y34" s="157"/>
      <c r="Z34" s="158">
        <f t="shared" si="1"/>
        <v>4</v>
      </c>
      <c r="AA34" s="158"/>
      <c r="AB34" s="159"/>
      <c r="AC34" s="159"/>
      <c r="AD34" s="159"/>
      <c r="AE34" s="159"/>
      <c r="AF34" s="159"/>
      <c r="AG34" s="159"/>
      <c r="AH34" s="159"/>
      <c r="AI34" s="159"/>
      <c r="AJ34" s="159"/>
      <c r="AK34" s="159"/>
      <c r="AL34" s="159"/>
      <c r="AM34" s="160"/>
      <c r="AN34" s="160"/>
      <c r="AO34" s="160"/>
      <c r="AP34" s="160"/>
      <c r="AQ34" s="160"/>
      <c r="AR34" s="160"/>
      <c r="AS34" s="160"/>
      <c r="AT34" s="160"/>
      <c r="AU34" s="160"/>
      <c r="AV34" s="160"/>
      <c r="AW34" s="160"/>
      <c r="AX34" s="160"/>
      <c r="AY34" s="160"/>
      <c r="AZ34" s="160"/>
      <c r="BA34" s="160"/>
      <c r="BB34" s="160"/>
      <c r="BC34" s="160"/>
      <c r="BD34" s="160"/>
      <c r="BE34" s="160"/>
      <c r="BF34" s="160"/>
      <c r="BG34" s="160"/>
      <c r="BH34" s="160"/>
      <c r="BI34" s="160"/>
      <c r="BJ34" s="160"/>
      <c r="BK34" s="160"/>
      <c r="BL34" s="160"/>
      <c r="BM34" s="160"/>
      <c r="BN34" s="160"/>
    </row>
    <row r="35" ht="22.5" hidden="1" customHeight="1">
      <c r="A35" s="137" t="s">
        <v>27</v>
      </c>
      <c r="B35" s="138"/>
      <c r="C35" s="161" t="s">
        <v>137</v>
      </c>
      <c r="D35" s="140">
        <v>1669.0</v>
      </c>
      <c r="E35" s="141" t="s">
        <v>29</v>
      </c>
      <c r="F35" s="142" t="s">
        <v>30</v>
      </c>
      <c r="G35" s="143" t="s">
        <v>138</v>
      </c>
      <c r="H35" s="144" t="s">
        <v>31</v>
      </c>
      <c r="I35" s="144" t="s">
        <v>132</v>
      </c>
      <c r="J35" s="145">
        <v>10000.0</v>
      </c>
      <c r="K35" s="146">
        <v>689.0</v>
      </c>
      <c r="L35" s="147">
        <v>46127.0</v>
      </c>
      <c r="M35" s="147">
        <v>46133.0</v>
      </c>
      <c r="N35" s="148"/>
      <c r="O35" s="149" t="s">
        <v>70</v>
      </c>
      <c r="P35" s="150"/>
      <c r="Q35" s="152" t="s">
        <v>35</v>
      </c>
      <c r="R35" s="152" t="s">
        <v>133</v>
      </c>
      <c r="S35" s="153" t="s">
        <v>36</v>
      </c>
      <c r="T35" s="153" t="s">
        <v>36</v>
      </c>
      <c r="U35" s="154" t="s">
        <v>37</v>
      </c>
      <c r="V35" s="155"/>
      <c r="W35" s="156" t="s">
        <v>134</v>
      </c>
      <c r="X35" s="157"/>
      <c r="Y35" s="157"/>
      <c r="Z35" s="158">
        <f t="shared" si="1"/>
        <v>4</v>
      </c>
      <c r="AA35" s="158"/>
      <c r="AB35" s="159"/>
      <c r="AC35" s="159"/>
      <c r="AD35" s="159"/>
      <c r="AE35" s="159"/>
      <c r="AF35" s="159"/>
      <c r="AG35" s="159"/>
      <c r="AH35" s="159"/>
      <c r="AI35" s="159"/>
      <c r="AJ35" s="159"/>
      <c r="AK35" s="159"/>
      <c r="AL35" s="159"/>
      <c r="AM35" s="160"/>
      <c r="AN35" s="160"/>
      <c r="AO35" s="160"/>
      <c r="AP35" s="160"/>
      <c r="AQ35" s="160"/>
      <c r="AR35" s="160"/>
      <c r="AS35" s="160"/>
      <c r="AT35" s="160"/>
      <c r="AU35" s="160"/>
      <c r="AV35" s="160"/>
      <c r="AW35" s="160"/>
      <c r="AX35" s="160"/>
      <c r="AY35" s="160"/>
      <c r="AZ35" s="160"/>
      <c r="BA35" s="160"/>
      <c r="BB35" s="160"/>
      <c r="BC35" s="160"/>
      <c r="BD35" s="160"/>
      <c r="BE35" s="160"/>
      <c r="BF35" s="160"/>
      <c r="BG35" s="160"/>
      <c r="BH35" s="160"/>
      <c r="BI35" s="160"/>
      <c r="BJ35" s="160"/>
      <c r="BK35" s="160"/>
      <c r="BL35" s="160"/>
      <c r="BM35" s="160"/>
      <c r="BN35" s="160"/>
    </row>
    <row r="36" ht="22.5" hidden="1" customHeight="1">
      <c r="A36" s="137" t="s">
        <v>27</v>
      </c>
      <c r="B36" s="138"/>
      <c r="C36" s="139" t="s">
        <v>139</v>
      </c>
      <c r="D36" s="140">
        <v>1670.0</v>
      </c>
      <c r="E36" s="141" t="s">
        <v>29</v>
      </c>
      <c r="F36" s="142" t="s">
        <v>30</v>
      </c>
      <c r="G36" s="143" t="s">
        <v>138</v>
      </c>
      <c r="H36" s="144" t="s">
        <v>31</v>
      </c>
      <c r="I36" s="144" t="s">
        <v>132</v>
      </c>
      <c r="J36" s="145">
        <v>200000.0</v>
      </c>
      <c r="K36" s="146">
        <v>8204.0</v>
      </c>
      <c r="L36" s="147">
        <v>46121.0</v>
      </c>
      <c r="M36" s="147">
        <v>46127.0</v>
      </c>
      <c r="N36" s="148"/>
      <c r="O36" s="149" t="s">
        <v>34</v>
      </c>
      <c r="P36" s="150"/>
      <c r="Q36" s="151"/>
      <c r="R36" s="152" t="s">
        <v>133</v>
      </c>
      <c r="S36" s="153" t="s">
        <v>36</v>
      </c>
      <c r="T36" s="153" t="s">
        <v>36</v>
      </c>
      <c r="U36" s="154" t="s">
        <v>37</v>
      </c>
      <c r="V36" s="155"/>
      <c r="W36" s="156" t="s">
        <v>134</v>
      </c>
      <c r="X36" s="162"/>
      <c r="Y36" s="162">
        <v>40.0</v>
      </c>
      <c r="Z36" s="158">
        <f t="shared" si="1"/>
        <v>80</v>
      </c>
      <c r="AA36" s="162" t="s">
        <v>140</v>
      </c>
      <c r="AB36" s="159"/>
      <c r="AC36" s="159"/>
      <c r="AD36" s="159"/>
      <c r="AE36" s="159"/>
      <c r="AF36" s="159"/>
      <c r="AG36" s="159"/>
      <c r="AH36" s="159"/>
      <c r="AI36" s="159"/>
      <c r="AJ36" s="159"/>
      <c r="AK36" s="159"/>
      <c r="AL36" s="159"/>
      <c r="AM36" s="160"/>
      <c r="AN36" s="160"/>
      <c r="AO36" s="160"/>
      <c r="AP36" s="160"/>
      <c r="AQ36" s="160"/>
      <c r="AR36" s="160"/>
      <c r="AS36" s="160"/>
      <c r="AT36" s="160"/>
      <c r="AU36" s="160"/>
      <c r="AV36" s="160"/>
      <c r="AW36" s="160"/>
      <c r="AX36" s="160"/>
      <c r="AY36" s="160"/>
      <c r="AZ36" s="160"/>
      <c r="BA36" s="160"/>
      <c r="BB36" s="160"/>
      <c r="BC36" s="160"/>
      <c r="BD36" s="160"/>
      <c r="BE36" s="160"/>
      <c r="BF36" s="160"/>
      <c r="BG36" s="160"/>
      <c r="BH36" s="160"/>
      <c r="BI36" s="160"/>
      <c r="BJ36" s="160"/>
      <c r="BK36" s="160"/>
      <c r="BL36" s="160"/>
      <c r="BM36" s="160"/>
      <c r="BN36" s="160"/>
    </row>
    <row r="37" ht="22.5" hidden="1" customHeight="1">
      <c r="A37" s="15" t="s">
        <v>141</v>
      </c>
      <c r="B37" s="132"/>
      <c r="C37" s="16" t="s">
        <v>142</v>
      </c>
      <c r="D37" s="17">
        <v>1382.0</v>
      </c>
      <c r="E37" s="18" t="s">
        <v>29</v>
      </c>
      <c r="F37" s="131" t="s">
        <v>96</v>
      </c>
      <c r="G37" s="92" t="s">
        <v>143</v>
      </c>
      <c r="H37" s="21" t="s">
        <v>31</v>
      </c>
      <c r="I37" s="21" t="s">
        <v>32</v>
      </c>
      <c r="J37" s="15">
        <v>10000.0</v>
      </c>
      <c r="K37" s="100">
        <v>1304.0</v>
      </c>
      <c r="L37" s="23">
        <v>46105.0</v>
      </c>
      <c r="M37" s="23">
        <v>46112.0</v>
      </c>
      <c r="N37" s="133"/>
      <c r="O37" s="25" t="s">
        <v>54</v>
      </c>
      <c r="P37" s="93"/>
      <c r="Q37" s="27" t="s">
        <v>144</v>
      </c>
      <c r="R37" s="28"/>
      <c r="S37" s="29" t="s">
        <v>36</v>
      </c>
      <c r="T37" s="29" t="s">
        <v>36</v>
      </c>
      <c r="U37" s="94" t="s">
        <v>37</v>
      </c>
      <c r="V37" s="31"/>
      <c r="W37" s="32" t="s">
        <v>145</v>
      </c>
      <c r="X37" s="37"/>
      <c r="Y37" s="37"/>
      <c r="Z37" s="37"/>
      <c r="AA37" s="38"/>
      <c r="AB37" s="35"/>
      <c r="AC37" s="35"/>
      <c r="AD37" s="35"/>
      <c r="AE37" s="35"/>
      <c r="AF37" s="35"/>
      <c r="AG37" s="35"/>
      <c r="AH37" s="35"/>
      <c r="AI37" s="35"/>
      <c r="AJ37" s="35"/>
      <c r="AK37" s="35"/>
      <c r="AL37" s="35"/>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row>
    <row r="38" ht="22.5" hidden="1" customHeight="1">
      <c r="A38" s="15" t="s">
        <v>113</v>
      </c>
      <c r="B38" s="132"/>
      <c r="C38" s="16" t="s">
        <v>146</v>
      </c>
      <c r="D38" s="17">
        <v>1331.0</v>
      </c>
      <c r="E38" s="18" t="s">
        <v>29</v>
      </c>
      <c r="F38" s="131" t="s">
        <v>30</v>
      </c>
      <c r="G38" s="92" t="s">
        <v>147</v>
      </c>
      <c r="H38" s="21" t="s">
        <v>116</v>
      </c>
      <c r="I38" s="21" t="s">
        <v>53</v>
      </c>
      <c r="J38" s="15">
        <v>14500.0</v>
      </c>
      <c r="K38" s="100">
        <v>1309.0</v>
      </c>
      <c r="L38" s="23">
        <v>46106.0</v>
      </c>
      <c r="M38" s="23">
        <v>46112.0</v>
      </c>
      <c r="N38" s="133"/>
      <c r="O38" s="25" t="s">
        <v>99</v>
      </c>
      <c r="P38" s="93"/>
      <c r="Q38" s="27" t="s">
        <v>35</v>
      </c>
      <c r="R38" s="28"/>
      <c r="S38" s="29" t="s">
        <v>55</v>
      </c>
      <c r="T38" s="29" t="s">
        <v>100</v>
      </c>
      <c r="U38" s="94" t="s">
        <v>37</v>
      </c>
      <c r="V38" s="31"/>
      <c r="W38" s="32"/>
      <c r="X38" s="134" t="s">
        <v>117</v>
      </c>
      <c r="Y38" s="37"/>
      <c r="Z38" s="37"/>
      <c r="AA38" s="38"/>
      <c r="AB38" s="35"/>
      <c r="AC38" s="35"/>
      <c r="AD38" s="35"/>
      <c r="AE38" s="35"/>
      <c r="AF38" s="35"/>
      <c r="AG38" s="35"/>
      <c r="AH38" s="35"/>
      <c r="AI38" s="35"/>
      <c r="AJ38" s="35"/>
      <c r="AK38" s="35"/>
      <c r="AL38" s="35"/>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row>
    <row r="39" ht="22.5" hidden="1" customHeight="1">
      <c r="A39" s="15" t="s">
        <v>27</v>
      </c>
      <c r="B39" s="132"/>
      <c r="C39" s="163" t="s">
        <v>148</v>
      </c>
      <c r="D39" s="17">
        <v>1238.0</v>
      </c>
      <c r="E39" s="18" t="s">
        <v>29</v>
      </c>
      <c r="F39" s="131" t="s">
        <v>30</v>
      </c>
      <c r="G39" s="92" t="s">
        <v>119</v>
      </c>
      <c r="H39" s="21" t="s">
        <v>31</v>
      </c>
      <c r="I39" s="21" t="s">
        <v>32</v>
      </c>
      <c r="J39" s="15">
        <v>10000.0</v>
      </c>
      <c r="K39" s="100">
        <v>1146.0</v>
      </c>
      <c r="L39" s="23">
        <v>46106.0</v>
      </c>
      <c r="M39" s="23">
        <v>46112.0</v>
      </c>
      <c r="N39" s="133"/>
      <c r="O39" s="25" t="s">
        <v>34</v>
      </c>
      <c r="P39" s="93"/>
      <c r="Q39" s="27" t="s">
        <v>35</v>
      </c>
      <c r="R39" s="28"/>
      <c r="S39" s="29" t="s">
        <v>36</v>
      </c>
      <c r="T39" s="29" t="s">
        <v>36</v>
      </c>
      <c r="U39" s="94" t="s">
        <v>37</v>
      </c>
      <c r="V39" s="31"/>
      <c r="W39" s="32" t="s">
        <v>149</v>
      </c>
      <c r="X39" s="37"/>
      <c r="Y39" s="37"/>
      <c r="Z39" s="37"/>
      <c r="AA39" s="38"/>
      <c r="AB39" s="35"/>
      <c r="AC39" s="35"/>
      <c r="AD39" s="35"/>
      <c r="AE39" s="35"/>
      <c r="AF39" s="35"/>
      <c r="AG39" s="35"/>
      <c r="AH39" s="35"/>
      <c r="AI39" s="35"/>
      <c r="AJ39" s="35"/>
      <c r="AK39" s="35"/>
      <c r="AL39" s="35"/>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row>
    <row r="40" ht="22.5" hidden="1" customHeight="1">
      <c r="A40" s="15" t="s">
        <v>27</v>
      </c>
      <c r="B40" s="132"/>
      <c r="C40" s="163" t="s">
        <v>150</v>
      </c>
      <c r="D40" s="17">
        <v>1290.0</v>
      </c>
      <c r="E40" s="18" t="s">
        <v>29</v>
      </c>
      <c r="F40" s="131" t="s">
        <v>30</v>
      </c>
      <c r="G40" s="92" t="s">
        <v>73</v>
      </c>
      <c r="H40" s="21" t="s">
        <v>31</v>
      </c>
      <c r="I40" s="21" t="s">
        <v>32</v>
      </c>
      <c r="J40" s="15">
        <v>10000.0</v>
      </c>
      <c r="K40" s="100">
        <v>814.0</v>
      </c>
      <c r="L40" s="23">
        <v>46106.0</v>
      </c>
      <c r="M40" s="23">
        <v>46112.0</v>
      </c>
      <c r="N40" s="133"/>
      <c r="O40" s="25" t="s">
        <v>34</v>
      </c>
      <c r="P40" s="93"/>
      <c r="Q40" s="27" t="s">
        <v>35</v>
      </c>
      <c r="R40" s="28"/>
      <c r="S40" s="29" t="s">
        <v>36</v>
      </c>
      <c r="T40" s="29" t="s">
        <v>36</v>
      </c>
      <c r="U40" s="94" t="s">
        <v>37</v>
      </c>
      <c r="V40" s="31"/>
      <c r="W40" s="32" t="s">
        <v>151</v>
      </c>
      <c r="X40" s="37"/>
      <c r="Y40" s="37"/>
      <c r="Z40" s="37"/>
      <c r="AA40" s="38"/>
      <c r="AB40" s="35"/>
      <c r="AC40" s="35"/>
      <c r="AD40" s="35"/>
      <c r="AE40" s="35"/>
      <c r="AF40" s="35"/>
      <c r="AG40" s="35"/>
      <c r="AH40" s="35"/>
      <c r="AI40" s="35"/>
      <c r="AJ40" s="35"/>
      <c r="AK40" s="35"/>
      <c r="AL40" s="35"/>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row>
    <row r="41" ht="22.5" hidden="1" customHeight="1">
      <c r="A41" s="15" t="s">
        <v>27</v>
      </c>
      <c r="B41" s="132"/>
      <c r="C41" s="163" t="s">
        <v>152</v>
      </c>
      <c r="D41" s="17">
        <v>1289.0</v>
      </c>
      <c r="E41" s="18" t="s">
        <v>29</v>
      </c>
      <c r="F41" s="131" t="s">
        <v>30</v>
      </c>
      <c r="G41" s="92" t="s">
        <v>73</v>
      </c>
      <c r="H41" s="21" t="s">
        <v>31</v>
      </c>
      <c r="I41" s="21" t="s">
        <v>32</v>
      </c>
      <c r="J41" s="15">
        <v>10000.0</v>
      </c>
      <c r="K41" s="100">
        <v>814.0</v>
      </c>
      <c r="L41" s="23">
        <v>46106.0</v>
      </c>
      <c r="M41" s="23">
        <v>46112.0</v>
      </c>
      <c r="N41" s="133"/>
      <c r="O41" s="25" t="s">
        <v>34</v>
      </c>
      <c r="P41" s="93"/>
      <c r="Q41" s="27" t="s">
        <v>35</v>
      </c>
      <c r="R41" s="28"/>
      <c r="S41" s="29" t="s">
        <v>36</v>
      </c>
      <c r="T41" s="29" t="s">
        <v>36</v>
      </c>
      <c r="U41" s="94" t="s">
        <v>37</v>
      </c>
      <c r="V41" s="31"/>
      <c r="W41" s="32" t="s">
        <v>151</v>
      </c>
      <c r="X41" s="37"/>
      <c r="Y41" s="37"/>
      <c r="Z41" s="37"/>
      <c r="AA41" s="38"/>
      <c r="AB41" s="35"/>
      <c r="AC41" s="35"/>
      <c r="AD41" s="35"/>
      <c r="AE41" s="35"/>
      <c r="AF41" s="35"/>
      <c r="AG41" s="35"/>
      <c r="AH41" s="35"/>
      <c r="AI41" s="35"/>
      <c r="AJ41" s="35"/>
      <c r="AK41" s="35"/>
      <c r="AL41" s="35"/>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c r="BM41" s="36"/>
      <c r="BN41" s="36"/>
    </row>
    <row r="42" ht="22.5" hidden="1" customHeight="1">
      <c r="A42" s="15" t="s">
        <v>27</v>
      </c>
      <c r="B42" s="132"/>
      <c r="C42" s="16" t="s">
        <v>42</v>
      </c>
      <c r="D42" s="17">
        <v>1185.0</v>
      </c>
      <c r="E42" s="18" t="s">
        <v>29</v>
      </c>
      <c r="F42" s="131" t="s">
        <v>72</v>
      </c>
      <c r="G42" s="92" t="s">
        <v>73</v>
      </c>
      <c r="H42" s="21" t="s">
        <v>31</v>
      </c>
      <c r="I42" s="21" t="s">
        <v>32</v>
      </c>
      <c r="J42" s="15">
        <v>20000.0</v>
      </c>
      <c r="K42" s="100">
        <v>1168.0</v>
      </c>
      <c r="L42" s="23">
        <v>46106.0</v>
      </c>
      <c r="M42" s="23">
        <v>46112.0</v>
      </c>
      <c r="N42" s="133"/>
      <c r="O42" s="25" t="s">
        <v>34</v>
      </c>
      <c r="P42" s="93"/>
      <c r="Q42" s="27" t="s">
        <v>35</v>
      </c>
      <c r="R42" s="28"/>
      <c r="S42" s="29" t="s">
        <v>36</v>
      </c>
      <c r="T42" s="29" t="s">
        <v>36</v>
      </c>
      <c r="U42" s="94" t="s">
        <v>37</v>
      </c>
      <c r="V42" s="31"/>
      <c r="W42" s="32"/>
      <c r="X42" s="37"/>
      <c r="Y42" s="37"/>
      <c r="Z42" s="37"/>
      <c r="AA42" s="38"/>
      <c r="AB42" s="35"/>
      <c r="AC42" s="35"/>
      <c r="AD42" s="35"/>
      <c r="AE42" s="35"/>
      <c r="AF42" s="35"/>
      <c r="AG42" s="35"/>
      <c r="AH42" s="35"/>
      <c r="AI42" s="35"/>
      <c r="AJ42" s="35"/>
      <c r="AK42" s="35"/>
      <c r="AL42" s="35"/>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row>
    <row r="43" ht="22.5" hidden="1" customHeight="1">
      <c r="A43" s="137" t="s">
        <v>153</v>
      </c>
      <c r="B43" s="138"/>
      <c r="C43" s="139" t="s">
        <v>154</v>
      </c>
      <c r="D43" s="140">
        <v>1671.0</v>
      </c>
      <c r="E43" s="141" t="s">
        <v>29</v>
      </c>
      <c r="F43" s="142" t="s">
        <v>30</v>
      </c>
      <c r="G43" s="143" t="s">
        <v>138</v>
      </c>
      <c r="H43" s="144" t="s">
        <v>31</v>
      </c>
      <c r="I43" s="144" t="s">
        <v>132</v>
      </c>
      <c r="J43" s="145">
        <v>100000.0</v>
      </c>
      <c r="K43" s="146">
        <v>4234.0</v>
      </c>
      <c r="L43" s="147">
        <v>46121.0</v>
      </c>
      <c r="M43" s="147">
        <v>46127.0</v>
      </c>
      <c r="N43" s="148"/>
      <c r="O43" s="149" t="s">
        <v>34</v>
      </c>
      <c r="P43" s="150"/>
      <c r="Q43" s="151"/>
      <c r="R43" s="152" t="s">
        <v>133</v>
      </c>
      <c r="S43" s="153" t="s">
        <v>36</v>
      </c>
      <c r="T43" s="153" t="s">
        <v>36</v>
      </c>
      <c r="U43" s="154" t="s">
        <v>37</v>
      </c>
      <c r="V43" s="155"/>
      <c r="W43" s="156" t="s">
        <v>134</v>
      </c>
      <c r="X43" s="162"/>
      <c r="Y43" s="162">
        <v>20.0</v>
      </c>
      <c r="Z43" s="158">
        <f>J43/2500</f>
        <v>40</v>
      </c>
      <c r="AA43" s="162" t="s">
        <v>140</v>
      </c>
      <c r="AB43" s="159"/>
      <c r="AC43" s="159"/>
      <c r="AD43" s="159"/>
      <c r="AE43" s="159"/>
      <c r="AF43" s="159"/>
      <c r="AG43" s="159"/>
      <c r="AH43" s="159"/>
      <c r="AI43" s="159"/>
      <c r="AJ43" s="159"/>
      <c r="AK43" s="159"/>
      <c r="AL43" s="159"/>
      <c r="AM43" s="160"/>
      <c r="AN43" s="160"/>
      <c r="AO43" s="160"/>
      <c r="AP43" s="160"/>
      <c r="AQ43" s="160"/>
      <c r="AR43" s="160"/>
      <c r="AS43" s="160"/>
      <c r="AT43" s="160"/>
      <c r="AU43" s="160"/>
      <c r="AV43" s="160"/>
      <c r="AW43" s="160"/>
      <c r="AX43" s="160"/>
      <c r="AY43" s="160"/>
      <c r="AZ43" s="160"/>
      <c r="BA43" s="160"/>
      <c r="BB43" s="160"/>
      <c r="BC43" s="160"/>
      <c r="BD43" s="160"/>
      <c r="BE43" s="160"/>
      <c r="BF43" s="160"/>
      <c r="BG43" s="160"/>
      <c r="BH43" s="160"/>
      <c r="BI43" s="160"/>
      <c r="BJ43" s="160"/>
      <c r="BK43" s="160"/>
      <c r="BL43" s="160"/>
      <c r="BM43" s="160"/>
      <c r="BN43" s="160"/>
    </row>
    <row r="44" ht="22.5" hidden="1" customHeight="1">
      <c r="A44" s="103" t="s">
        <v>155</v>
      </c>
      <c r="B44" s="104"/>
      <c r="C44" s="105" t="s">
        <v>156</v>
      </c>
      <c r="D44" s="106">
        <v>1695.0</v>
      </c>
      <c r="E44" s="107" t="s">
        <v>157</v>
      </c>
      <c r="F44" s="108" t="s">
        <v>68</v>
      </c>
      <c r="G44" s="109" t="s">
        <v>158</v>
      </c>
      <c r="H44" s="110" t="s">
        <v>31</v>
      </c>
      <c r="I44" s="110" t="s">
        <v>98</v>
      </c>
      <c r="J44" s="111">
        <v>5000.0</v>
      </c>
      <c r="K44" s="112">
        <v>519.0</v>
      </c>
      <c r="L44" s="113">
        <v>46126.0</v>
      </c>
      <c r="M44" s="113">
        <v>46132.0</v>
      </c>
      <c r="N44" s="114"/>
      <c r="O44" s="115" t="s">
        <v>70</v>
      </c>
      <c r="P44" s="116"/>
      <c r="Q44" s="107" t="s">
        <v>35</v>
      </c>
      <c r="R44" s="107" t="s">
        <v>133</v>
      </c>
      <c r="S44" s="126" t="s">
        <v>36</v>
      </c>
      <c r="T44" s="115" t="s">
        <v>36</v>
      </c>
      <c r="U44" s="118" t="s">
        <v>37</v>
      </c>
      <c r="V44" s="119"/>
      <c r="W44" s="111" t="s">
        <v>159</v>
      </c>
      <c r="X44" s="164" t="s">
        <v>160</v>
      </c>
      <c r="Y44" s="120"/>
      <c r="Z44" s="121"/>
      <c r="AA44" s="121"/>
      <c r="AB44" s="122"/>
      <c r="AC44" s="122"/>
      <c r="AD44" s="122"/>
      <c r="AE44" s="122"/>
      <c r="AF44" s="122"/>
      <c r="AG44" s="122"/>
      <c r="AH44" s="122"/>
      <c r="AI44" s="122"/>
      <c r="AJ44" s="122"/>
      <c r="AK44" s="122"/>
      <c r="AL44" s="122"/>
    </row>
    <row r="45" ht="22.5" hidden="1" customHeight="1">
      <c r="A45" s="103" t="s">
        <v>155</v>
      </c>
      <c r="B45" s="104"/>
      <c r="C45" s="105" t="s">
        <v>161</v>
      </c>
      <c r="D45" s="106">
        <v>1696.0</v>
      </c>
      <c r="E45" s="107" t="s">
        <v>157</v>
      </c>
      <c r="F45" s="108" t="s">
        <v>68</v>
      </c>
      <c r="G45" s="109" t="s">
        <v>158</v>
      </c>
      <c r="H45" s="110" t="s">
        <v>31</v>
      </c>
      <c r="I45" s="110" t="s">
        <v>98</v>
      </c>
      <c r="J45" s="111">
        <v>5000.0</v>
      </c>
      <c r="K45" s="112">
        <v>519.0</v>
      </c>
      <c r="L45" s="113">
        <v>46126.0</v>
      </c>
      <c r="M45" s="113">
        <v>46132.0</v>
      </c>
      <c r="N45" s="114"/>
      <c r="O45" s="115" t="s">
        <v>70</v>
      </c>
      <c r="P45" s="116"/>
      <c r="Q45" s="107" t="s">
        <v>35</v>
      </c>
      <c r="R45" s="107" t="s">
        <v>133</v>
      </c>
      <c r="S45" s="126" t="s">
        <v>36</v>
      </c>
      <c r="T45" s="115" t="s">
        <v>36</v>
      </c>
      <c r="U45" s="118" t="s">
        <v>37</v>
      </c>
      <c r="V45" s="119"/>
      <c r="W45" s="111" t="s">
        <v>159</v>
      </c>
      <c r="X45" s="164" t="s">
        <v>160</v>
      </c>
      <c r="Y45" s="120"/>
      <c r="Z45" s="121"/>
      <c r="AA45" s="121"/>
      <c r="AB45" s="122"/>
      <c r="AC45" s="122"/>
      <c r="AD45" s="122"/>
      <c r="AE45" s="122"/>
      <c r="AF45" s="122"/>
      <c r="AG45" s="122"/>
      <c r="AH45" s="122"/>
      <c r="AI45" s="122"/>
      <c r="AJ45" s="122"/>
      <c r="AK45" s="122"/>
      <c r="AL45" s="122"/>
    </row>
    <row r="46" ht="22.5" hidden="1" customHeight="1">
      <c r="A46" s="111" t="s">
        <v>162</v>
      </c>
      <c r="B46" s="104"/>
      <c r="C46" s="124" t="s">
        <v>163</v>
      </c>
      <c r="D46" s="125">
        <v>1248.0</v>
      </c>
      <c r="E46" s="107" t="s">
        <v>164</v>
      </c>
      <c r="F46" s="108" t="s">
        <v>30</v>
      </c>
      <c r="G46" s="109" t="s">
        <v>165</v>
      </c>
      <c r="H46" s="110" t="s">
        <v>31</v>
      </c>
      <c r="I46" s="110" t="s">
        <v>123</v>
      </c>
      <c r="J46" s="111" t="s">
        <v>84</v>
      </c>
      <c r="K46" s="112">
        <v>1115.0</v>
      </c>
      <c r="L46" s="113">
        <v>46107.0</v>
      </c>
      <c r="M46" s="113">
        <v>46114.0</v>
      </c>
      <c r="N46" s="114"/>
      <c r="O46" s="115" t="s">
        <v>99</v>
      </c>
      <c r="P46" s="116"/>
      <c r="Q46" s="107" t="s">
        <v>35</v>
      </c>
      <c r="R46" s="117"/>
      <c r="S46" s="126" t="s">
        <v>36</v>
      </c>
      <c r="T46" s="126" t="s">
        <v>36</v>
      </c>
      <c r="U46" s="127" t="s">
        <v>37</v>
      </c>
      <c r="V46" s="128"/>
      <c r="W46" s="136"/>
      <c r="X46" s="165" t="s">
        <v>166</v>
      </c>
      <c r="Y46" s="121"/>
      <c r="Z46" s="121"/>
      <c r="AA46" s="121"/>
      <c r="AB46" s="122"/>
      <c r="AC46" s="122"/>
      <c r="AD46" s="122"/>
      <c r="AE46" s="122"/>
      <c r="AF46" s="122"/>
      <c r="AG46" s="122"/>
      <c r="AH46" s="122"/>
      <c r="AI46" s="122"/>
      <c r="AJ46" s="122"/>
      <c r="AK46" s="122"/>
      <c r="AL46" s="122"/>
    </row>
    <row r="47" ht="22.5" hidden="1" customHeight="1">
      <c r="A47" s="111" t="s">
        <v>162</v>
      </c>
      <c r="B47" s="104"/>
      <c r="C47" s="124" t="s">
        <v>167</v>
      </c>
      <c r="D47" s="125">
        <v>1249.0</v>
      </c>
      <c r="E47" s="107" t="s">
        <v>164</v>
      </c>
      <c r="F47" s="108" t="s">
        <v>30</v>
      </c>
      <c r="G47" s="109" t="s">
        <v>168</v>
      </c>
      <c r="H47" s="110" t="s">
        <v>31</v>
      </c>
      <c r="I47" s="110" t="s">
        <v>123</v>
      </c>
      <c r="J47" s="111" t="s">
        <v>84</v>
      </c>
      <c r="K47" s="112">
        <v>1115.0</v>
      </c>
      <c r="L47" s="113">
        <v>46107.0</v>
      </c>
      <c r="M47" s="113">
        <v>46114.0</v>
      </c>
      <c r="N47" s="114"/>
      <c r="O47" s="115" t="s">
        <v>99</v>
      </c>
      <c r="P47" s="116"/>
      <c r="Q47" s="107" t="s">
        <v>35</v>
      </c>
      <c r="R47" s="117"/>
      <c r="S47" s="126" t="s">
        <v>36</v>
      </c>
      <c r="T47" s="126" t="s">
        <v>36</v>
      </c>
      <c r="U47" s="127" t="s">
        <v>37</v>
      </c>
      <c r="V47" s="128"/>
      <c r="W47" s="136"/>
      <c r="X47" s="165" t="s">
        <v>169</v>
      </c>
      <c r="Y47" s="121"/>
      <c r="Z47" s="121"/>
      <c r="AA47" s="121"/>
      <c r="AB47" s="122"/>
      <c r="AC47" s="122"/>
      <c r="AD47" s="122"/>
      <c r="AE47" s="122"/>
      <c r="AF47" s="122"/>
      <c r="AG47" s="122"/>
      <c r="AH47" s="122"/>
      <c r="AI47" s="122"/>
      <c r="AJ47" s="122"/>
      <c r="AK47" s="122"/>
      <c r="AL47" s="122"/>
    </row>
    <row r="48" ht="22.5" hidden="1" customHeight="1">
      <c r="A48" s="111" t="s">
        <v>162</v>
      </c>
      <c r="B48" s="104"/>
      <c r="C48" s="124" t="s">
        <v>170</v>
      </c>
      <c r="D48" s="125">
        <v>1250.0</v>
      </c>
      <c r="E48" s="107" t="s">
        <v>164</v>
      </c>
      <c r="F48" s="108" t="s">
        <v>30</v>
      </c>
      <c r="G48" s="109" t="s">
        <v>171</v>
      </c>
      <c r="H48" s="110" t="s">
        <v>31</v>
      </c>
      <c r="I48" s="110" t="s">
        <v>123</v>
      </c>
      <c r="J48" s="111" t="s">
        <v>172</v>
      </c>
      <c r="K48" s="112">
        <v>665.0</v>
      </c>
      <c r="L48" s="113">
        <v>46107.0</v>
      </c>
      <c r="M48" s="113">
        <v>46114.0</v>
      </c>
      <c r="N48" s="114"/>
      <c r="O48" s="115" t="s">
        <v>99</v>
      </c>
      <c r="P48" s="116"/>
      <c r="Q48" s="107" t="s">
        <v>35</v>
      </c>
      <c r="R48" s="117"/>
      <c r="S48" s="126" t="s">
        <v>36</v>
      </c>
      <c r="T48" s="126" t="s">
        <v>36</v>
      </c>
      <c r="U48" s="127" t="s">
        <v>37</v>
      </c>
      <c r="V48" s="128"/>
      <c r="W48" s="136"/>
      <c r="X48" s="165" t="s">
        <v>166</v>
      </c>
      <c r="Y48" s="121"/>
      <c r="Z48" s="121"/>
      <c r="AA48" s="121"/>
      <c r="AB48" s="122"/>
      <c r="AC48" s="122"/>
      <c r="AD48" s="122"/>
      <c r="AE48" s="122"/>
      <c r="AF48" s="122"/>
      <c r="AG48" s="122"/>
      <c r="AH48" s="122"/>
      <c r="AI48" s="122"/>
      <c r="AJ48" s="122"/>
      <c r="AK48" s="122"/>
      <c r="AL48" s="122"/>
    </row>
    <row r="49" ht="22.5" hidden="1" customHeight="1">
      <c r="A49" s="111" t="s">
        <v>162</v>
      </c>
      <c r="B49" s="104"/>
      <c r="C49" s="124" t="s">
        <v>173</v>
      </c>
      <c r="D49" s="125">
        <v>1251.0</v>
      </c>
      <c r="E49" s="107" t="s">
        <v>164</v>
      </c>
      <c r="F49" s="108" t="s">
        <v>30</v>
      </c>
      <c r="G49" s="109" t="s">
        <v>174</v>
      </c>
      <c r="H49" s="110" t="s">
        <v>31</v>
      </c>
      <c r="I49" s="110" t="s">
        <v>123</v>
      </c>
      <c r="J49" s="111" t="s">
        <v>175</v>
      </c>
      <c r="K49" s="112">
        <v>4078.0</v>
      </c>
      <c r="L49" s="113">
        <v>46107.0</v>
      </c>
      <c r="M49" s="113">
        <v>46114.0</v>
      </c>
      <c r="N49" s="114"/>
      <c r="O49" s="115" t="s">
        <v>99</v>
      </c>
      <c r="P49" s="116"/>
      <c r="Q49" s="107" t="s">
        <v>35</v>
      </c>
      <c r="R49" s="117"/>
      <c r="S49" s="126" t="s">
        <v>36</v>
      </c>
      <c r="T49" s="126" t="s">
        <v>36</v>
      </c>
      <c r="U49" s="127" t="s">
        <v>37</v>
      </c>
      <c r="V49" s="128"/>
      <c r="W49" s="136"/>
      <c r="X49" s="165" t="s">
        <v>169</v>
      </c>
      <c r="Y49" s="121"/>
      <c r="Z49" s="121"/>
      <c r="AA49" s="121"/>
      <c r="AB49" s="122"/>
      <c r="AC49" s="122"/>
      <c r="AD49" s="122"/>
      <c r="AE49" s="122"/>
      <c r="AF49" s="122"/>
      <c r="AG49" s="122"/>
      <c r="AH49" s="122"/>
      <c r="AI49" s="122"/>
      <c r="AJ49" s="122"/>
      <c r="AK49" s="122"/>
      <c r="AL49" s="122"/>
    </row>
    <row r="50" ht="22.5" hidden="1" customHeight="1">
      <c r="A50" s="111" t="s">
        <v>162</v>
      </c>
      <c r="B50" s="104"/>
      <c r="C50" s="124" t="s">
        <v>176</v>
      </c>
      <c r="D50" s="125">
        <v>1252.0</v>
      </c>
      <c r="E50" s="107" t="s">
        <v>164</v>
      </c>
      <c r="F50" s="108" t="s">
        <v>30</v>
      </c>
      <c r="G50" s="109" t="s">
        <v>177</v>
      </c>
      <c r="H50" s="110" t="s">
        <v>31</v>
      </c>
      <c r="I50" s="110" t="s">
        <v>123</v>
      </c>
      <c r="J50" s="111" t="s">
        <v>175</v>
      </c>
      <c r="K50" s="112">
        <v>3928.0</v>
      </c>
      <c r="L50" s="113">
        <v>46107.0</v>
      </c>
      <c r="M50" s="113">
        <v>46114.0</v>
      </c>
      <c r="N50" s="114"/>
      <c r="O50" s="115" t="s">
        <v>99</v>
      </c>
      <c r="P50" s="116"/>
      <c r="Q50" s="107" t="s">
        <v>35</v>
      </c>
      <c r="R50" s="117"/>
      <c r="S50" s="126" t="s">
        <v>36</v>
      </c>
      <c r="T50" s="126" t="s">
        <v>36</v>
      </c>
      <c r="U50" s="127" t="s">
        <v>37</v>
      </c>
      <c r="V50" s="128"/>
      <c r="W50" s="136"/>
      <c r="X50" s="165" t="s">
        <v>178</v>
      </c>
      <c r="Y50" s="121"/>
      <c r="Z50" s="121"/>
      <c r="AA50" s="121"/>
      <c r="AB50" s="122"/>
      <c r="AC50" s="122"/>
      <c r="AD50" s="122"/>
      <c r="AE50" s="122"/>
      <c r="AF50" s="122"/>
      <c r="AG50" s="122"/>
      <c r="AH50" s="122"/>
      <c r="AI50" s="122"/>
      <c r="AJ50" s="122"/>
      <c r="AK50" s="122"/>
      <c r="AL50" s="122"/>
    </row>
    <row r="51" ht="22.5" hidden="1" customHeight="1">
      <c r="A51" s="15" t="s">
        <v>27</v>
      </c>
      <c r="B51" s="132"/>
      <c r="C51" s="16" t="s">
        <v>179</v>
      </c>
      <c r="D51" s="17">
        <v>1365.0</v>
      </c>
      <c r="E51" s="18" t="s">
        <v>29</v>
      </c>
      <c r="F51" s="131" t="s">
        <v>30</v>
      </c>
      <c r="G51" s="92" t="s">
        <v>180</v>
      </c>
      <c r="H51" s="21" t="s">
        <v>31</v>
      </c>
      <c r="I51" s="21" t="s">
        <v>32</v>
      </c>
      <c r="J51" s="15">
        <v>10000.0</v>
      </c>
      <c r="K51" s="100">
        <v>889.0</v>
      </c>
      <c r="L51" s="23">
        <v>46108.0</v>
      </c>
      <c r="M51" s="23">
        <v>46114.0</v>
      </c>
      <c r="N51" s="133"/>
      <c r="O51" s="25" t="s">
        <v>34</v>
      </c>
      <c r="P51" s="93"/>
      <c r="Q51" s="27" t="s">
        <v>35</v>
      </c>
      <c r="R51" s="28"/>
      <c r="S51" s="29" t="s">
        <v>36</v>
      </c>
      <c r="T51" s="29" t="s">
        <v>36</v>
      </c>
      <c r="U51" s="94" t="s">
        <v>37</v>
      </c>
      <c r="V51" s="31"/>
      <c r="W51" s="32"/>
      <c r="X51" s="37"/>
      <c r="Y51" s="37"/>
      <c r="Z51" s="37"/>
      <c r="AA51" s="38"/>
      <c r="AB51" s="35"/>
      <c r="AC51" s="35"/>
      <c r="AD51" s="35"/>
      <c r="AE51" s="35"/>
      <c r="AF51" s="35"/>
      <c r="AG51" s="35"/>
      <c r="AH51" s="35"/>
      <c r="AI51" s="35"/>
      <c r="AJ51" s="35"/>
      <c r="AK51" s="35"/>
      <c r="AL51" s="35"/>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c r="BM51" s="36"/>
      <c r="BN51" s="36"/>
    </row>
    <row r="52" ht="22.5" hidden="1" customHeight="1">
      <c r="A52" s="15" t="s">
        <v>27</v>
      </c>
      <c r="B52" s="132"/>
      <c r="C52" s="16" t="s">
        <v>181</v>
      </c>
      <c r="D52" s="17">
        <v>1221.0</v>
      </c>
      <c r="E52" s="18" t="s">
        <v>29</v>
      </c>
      <c r="F52" s="131" t="s">
        <v>30</v>
      </c>
      <c r="G52" s="92" t="s">
        <v>180</v>
      </c>
      <c r="H52" s="21" t="s">
        <v>31</v>
      </c>
      <c r="I52" s="21" t="s">
        <v>32</v>
      </c>
      <c r="J52" s="15">
        <v>10000.0</v>
      </c>
      <c r="K52" s="100">
        <v>794.0</v>
      </c>
      <c r="L52" s="23">
        <v>46108.0</v>
      </c>
      <c r="M52" s="23">
        <v>46114.0</v>
      </c>
      <c r="N52" s="133"/>
      <c r="O52" s="25" t="s">
        <v>34</v>
      </c>
      <c r="P52" s="93"/>
      <c r="Q52" s="27" t="s">
        <v>35</v>
      </c>
      <c r="R52" s="28"/>
      <c r="S52" s="29" t="s">
        <v>36</v>
      </c>
      <c r="T52" s="29" t="s">
        <v>36</v>
      </c>
      <c r="U52" s="94" t="s">
        <v>37</v>
      </c>
      <c r="V52" s="31"/>
      <c r="W52" s="32" t="s">
        <v>134</v>
      </c>
      <c r="X52" s="37"/>
      <c r="Y52" s="37"/>
      <c r="Z52" s="37"/>
      <c r="AA52" s="38"/>
      <c r="AB52" s="35"/>
      <c r="AC52" s="35"/>
      <c r="AD52" s="35"/>
      <c r="AE52" s="35"/>
      <c r="AF52" s="35"/>
      <c r="AG52" s="35"/>
      <c r="AH52" s="35"/>
      <c r="AI52" s="35"/>
      <c r="AJ52" s="35"/>
      <c r="AK52" s="35"/>
      <c r="AL52" s="35"/>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c r="BM52" s="36"/>
      <c r="BN52" s="36"/>
    </row>
    <row r="53" ht="22.5" hidden="1" customHeight="1">
      <c r="A53" s="103" t="s">
        <v>120</v>
      </c>
      <c r="B53" s="104"/>
      <c r="C53" s="105" t="s">
        <v>182</v>
      </c>
      <c r="D53" s="106">
        <v>1247.0</v>
      </c>
      <c r="E53" s="107" t="s">
        <v>95</v>
      </c>
      <c r="F53" s="108" t="s">
        <v>68</v>
      </c>
      <c r="G53" s="109" t="s">
        <v>183</v>
      </c>
      <c r="H53" s="110" t="s">
        <v>31</v>
      </c>
      <c r="I53" s="110" t="s">
        <v>98</v>
      </c>
      <c r="J53" s="111">
        <v>20000.0</v>
      </c>
      <c r="K53" s="112">
        <v>2039.0</v>
      </c>
      <c r="L53" s="113">
        <v>46108.0</v>
      </c>
      <c r="M53" s="113">
        <v>46113.0</v>
      </c>
      <c r="N53" s="114"/>
      <c r="O53" s="115" t="s">
        <v>99</v>
      </c>
      <c r="P53" s="116"/>
      <c r="Q53" s="107" t="s">
        <v>35</v>
      </c>
      <c r="R53" s="117"/>
      <c r="S53" s="115" t="s">
        <v>36</v>
      </c>
      <c r="T53" s="115" t="s">
        <v>36</v>
      </c>
      <c r="U53" s="118" t="s">
        <v>37</v>
      </c>
      <c r="V53" s="119"/>
      <c r="W53" s="136"/>
      <c r="X53" s="121"/>
      <c r="Y53" s="121"/>
      <c r="Z53" s="121"/>
      <c r="AA53" s="121"/>
      <c r="AB53" s="122"/>
      <c r="AC53" s="122"/>
      <c r="AD53" s="122"/>
      <c r="AE53" s="122"/>
      <c r="AF53" s="122"/>
      <c r="AG53" s="122"/>
      <c r="AH53" s="122"/>
      <c r="AI53" s="122"/>
      <c r="AJ53" s="122"/>
      <c r="AK53" s="122"/>
      <c r="AL53" s="122"/>
    </row>
    <row r="54" ht="22.5" hidden="1" customHeight="1">
      <c r="A54" s="103" t="s">
        <v>184</v>
      </c>
      <c r="B54" s="104"/>
      <c r="C54" s="166" t="s">
        <v>185</v>
      </c>
      <c r="D54" s="106">
        <v>1264.0</v>
      </c>
      <c r="E54" s="107" t="s">
        <v>164</v>
      </c>
      <c r="F54" s="108" t="s">
        <v>30</v>
      </c>
      <c r="G54" s="109" t="s">
        <v>186</v>
      </c>
      <c r="H54" s="110" t="s">
        <v>31</v>
      </c>
      <c r="I54" s="110" t="s">
        <v>132</v>
      </c>
      <c r="J54" s="111" t="s">
        <v>187</v>
      </c>
      <c r="K54" s="112">
        <v>1127.0</v>
      </c>
      <c r="L54" s="113">
        <v>46108.0</v>
      </c>
      <c r="M54" s="113">
        <v>46118.0</v>
      </c>
      <c r="N54" s="114"/>
      <c r="O54" s="115" t="s">
        <v>99</v>
      </c>
      <c r="P54" s="116"/>
      <c r="Q54" s="167" t="s">
        <v>35</v>
      </c>
      <c r="R54" s="168"/>
      <c r="S54" s="126" t="s">
        <v>36</v>
      </c>
      <c r="T54" s="126" t="s">
        <v>36</v>
      </c>
      <c r="U54" s="127" t="s">
        <v>37</v>
      </c>
      <c r="V54" s="128"/>
      <c r="W54" s="129" t="s">
        <v>188</v>
      </c>
      <c r="X54" s="169" t="s">
        <v>189</v>
      </c>
      <c r="Y54" s="130" t="s">
        <v>190</v>
      </c>
      <c r="Z54" s="130" t="s">
        <v>191</v>
      </c>
      <c r="AA54" s="170"/>
      <c r="AB54" s="122"/>
      <c r="AC54" s="122"/>
      <c r="AD54" s="122"/>
      <c r="AE54" s="122"/>
      <c r="AF54" s="122"/>
      <c r="AG54" s="122"/>
      <c r="AH54" s="122"/>
      <c r="AI54" s="122"/>
      <c r="AJ54" s="122"/>
      <c r="AK54" s="122"/>
      <c r="AL54" s="122"/>
    </row>
    <row r="55" ht="22.5" hidden="1" customHeight="1">
      <c r="A55" s="103" t="s">
        <v>184</v>
      </c>
      <c r="B55" s="104"/>
      <c r="C55" s="166" t="s">
        <v>192</v>
      </c>
      <c r="D55" s="106">
        <v>1265.0</v>
      </c>
      <c r="E55" s="107" t="s">
        <v>164</v>
      </c>
      <c r="F55" s="108" t="s">
        <v>72</v>
      </c>
      <c r="G55" s="109" t="s">
        <v>186</v>
      </c>
      <c r="H55" s="110" t="s">
        <v>31</v>
      </c>
      <c r="I55" s="110" t="s">
        <v>132</v>
      </c>
      <c r="J55" s="111" t="s">
        <v>77</v>
      </c>
      <c r="K55" s="112">
        <v>873.0</v>
      </c>
      <c r="L55" s="113">
        <v>46108.0</v>
      </c>
      <c r="M55" s="113">
        <v>46118.0</v>
      </c>
      <c r="N55" s="114"/>
      <c r="O55" s="115" t="s">
        <v>99</v>
      </c>
      <c r="P55" s="116"/>
      <c r="Q55" s="167" t="s">
        <v>35</v>
      </c>
      <c r="R55" s="168"/>
      <c r="S55" s="126" t="s">
        <v>36</v>
      </c>
      <c r="T55" s="126" t="s">
        <v>36</v>
      </c>
      <c r="U55" s="127" t="s">
        <v>37</v>
      </c>
      <c r="V55" s="128"/>
      <c r="W55" s="129" t="s">
        <v>193</v>
      </c>
      <c r="X55" s="169" t="s">
        <v>189</v>
      </c>
      <c r="Y55" s="130" t="s">
        <v>190</v>
      </c>
      <c r="Z55" s="130" t="s">
        <v>191</v>
      </c>
      <c r="AA55" s="170"/>
      <c r="AB55" s="122"/>
      <c r="AC55" s="122"/>
      <c r="AD55" s="122"/>
      <c r="AE55" s="122"/>
      <c r="AF55" s="122"/>
      <c r="AG55" s="122"/>
      <c r="AH55" s="122"/>
      <c r="AI55" s="122"/>
      <c r="AJ55" s="122"/>
      <c r="AK55" s="122"/>
      <c r="AL55" s="122"/>
    </row>
    <row r="56" ht="22.5" hidden="1" customHeight="1">
      <c r="A56" s="103" t="s">
        <v>184</v>
      </c>
      <c r="B56" s="104"/>
      <c r="C56" s="166" t="s">
        <v>194</v>
      </c>
      <c r="D56" s="106">
        <v>1266.0</v>
      </c>
      <c r="E56" s="107" t="s">
        <v>164</v>
      </c>
      <c r="F56" s="108" t="s">
        <v>30</v>
      </c>
      <c r="G56" s="109" t="s">
        <v>186</v>
      </c>
      <c r="H56" s="110" t="s">
        <v>31</v>
      </c>
      <c r="I56" s="110" t="s">
        <v>132</v>
      </c>
      <c r="J56" s="111" t="s">
        <v>187</v>
      </c>
      <c r="K56" s="112">
        <v>1127.0</v>
      </c>
      <c r="L56" s="113">
        <v>46108.0</v>
      </c>
      <c r="M56" s="113">
        <v>46118.0</v>
      </c>
      <c r="N56" s="114"/>
      <c r="O56" s="115" t="s">
        <v>99</v>
      </c>
      <c r="P56" s="116"/>
      <c r="Q56" s="167" t="s">
        <v>35</v>
      </c>
      <c r="R56" s="168"/>
      <c r="S56" s="126" t="s">
        <v>36</v>
      </c>
      <c r="T56" s="126" t="s">
        <v>36</v>
      </c>
      <c r="U56" s="127" t="s">
        <v>37</v>
      </c>
      <c r="V56" s="128"/>
      <c r="W56" s="129" t="s">
        <v>188</v>
      </c>
      <c r="X56" s="169" t="s">
        <v>189</v>
      </c>
      <c r="Y56" s="130" t="s">
        <v>190</v>
      </c>
      <c r="Z56" s="130" t="s">
        <v>191</v>
      </c>
      <c r="AA56" s="170"/>
      <c r="AB56" s="122"/>
      <c r="AC56" s="122"/>
      <c r="AD56" s="122"/>
      <c r="AE56" s="122"/>
      <c r="AF56" s="122"/>
      <c r="AG56" s="122"/>
      <c r="AH56" s="122"/>
      <c r="AI56" s="122"/>
      <c r="AJ56" s="122"/>
      <c r="AK56" s="122"/>
      <c r="AL56" s="122"/>
    </row>
    <row r="57" ht="22.5" hidden="1" customHeight="1">
      <c r="A57" s="103" t="s">
        <v>184</v>
      </c>
      <c r="B57" s="104"/>
      <c r="C57" s="166" t="s">
        <v>195</v>
      </c>
      <c r="D57" s="106">
        <v>1267.0</v>
      </c>
      <c r="E57" s="107" t="s">
        <v>164</v>
      </c>
      <c r="F57" s="108" t="s">
        <v>72</v>
      </c>
      <c r="G57" s="109" t="s">
        <v>186</v>
      </c>
      <c r="H57" s="110" t="s">
        <v>31</v>
      </c>
      <c r="I57" s="110" t="s">
        <v>132</v>
      </c>
      <c r="J57" s="111" t="s">
        <v>77</v>
      </c>
      <c r="K57" s="112">
        <v>873.0</v>
      </c>
      <c r="L57" s="113">
        <v>46108.0</v>
      </c>
      <c r="M57" s="113">
        <v>46118.0</v>
      </c>
      <c r="N57" s="114"/>
      <c r="O57" s="115" t="s">
        <v>99</v>
      </c>
      <c r="P57" s="116"/>
      <c r="Q57" s="167" t="s">
        <v>35</v>
      </c>
      <c r="R57" s="168"/>
      <c r="S57" s="126" t="s">
        <v>36</v>
      </c>
      <c r="T57" s="126" t="s">
        <v>36</v>
      </c>
      <c r="U57" s="127" t="s">
        <v>37</v>
      </c>
      <c r="V57" s="128"/>
      <c r="W57" s="129" t="s">
        <v>193</v>
      </c>
      <c r="X57" s="169" t="s">
        <v>189</v>
      </c>
      <c r="Y57" s="130" t="s">
        <v>190</v>
      </c>
      <c r="Z57" s="130" t="s">
        <v>191</v>
      </c>
      <c r="AA57" s="170"/>
      <c r="AB57" s="122"/>
      <c r="AC57" s="122"/>
      <c r="AD57" s="122"/>
      <c r="AE57" s="122"/>
      <c r="AF57" s="122"/>
      <c r="AG57" s="122"/>
      <c r="AH57" s="122"/>
      <c r="AI57" s="122"/>
      <c r="AJ57" s="122"/>
      <c r="AK57" s="122"/>
      <c r="AL57" s="122"/>
    </row>
    <row r="58" ht="22.5" hidden="1" customHeight="1">
      <c r="A58" s="103" t="s">
        <v>184</v>
      </c>
      <c r="B58" s="104"/>
      <c r="C58" s="166" t="s">
        <v>196</v>
      </c>
      <c r="D58" s="106">
        <v>1268.0</v>
      </c>
      <c r="E58" s="107" t="s">
        <v>164</v>
      </c>
      <c r="F58" s="108" t="s">
        <v>30</v>
      </c>
      <c r="G58" s="109" t="s">
        <v>186</v>
      </c>
      <c r="H58" s="110" t="s">
        <v>31</v>
      </c>
      <c r="I58" s="110" t="s">
        <v>132</v>
      </c>
      <c r="J58" s="111" t="s">
        <v>197</v>
      </c>
      <c r="K58" s="112">
        <v>694.0</v>
      </c>
      <c r="L58" s="113">
        <v>46108.0</v>
      </c>
      <c r="M58" s="113">
        <v>46118.0</v>
      </c>
      <c r="N58" s="114"/>
      <c r="O58" s="115" t="s">
        <v>99</v>
      </c>
      <c r="P58" s="116"/>
      <c r="Q58" s="167" t="s">
        <v>35</v>
      </c>
      <c r="R58" s="168"/>
      <c r="S58" s="126" t="s">
        <v>36</v>
      </c>
      <c r="T58" s="126" t="s">
        <v>36</v>
      </c>
      <c r="U58" s="127" t="s">
        <v>37</v>
      </c>
      <c r="V58" s="128"/>
      <c r="W58" s="129" t="s">
        <v>188</v>
      </c>
      <c r="X58" s="169" t="s">
        <v>189</v>
      </c>
      <c r="Y58" s="130" t="s">
        <v>190</v>
      </c>
      <c r="Z58" s="130" t="s">
        <v>191</v>
      </c>
      <c r="AA58" s="170"/>
      <c r="AB58" s="122"/>
      <c r="AC58" s="122"/>
      <c r="AD58" s="122"/>
      <c r="AE58" s="122"/>
      <c r="AF58" s="122"/>
      <c r="AG58" s="122"/>
      <c r="AH58" s="122"/>
      <c r="AI58" s="122"/>
      <c r="AJ58" s="122"/>
      <c r="AK58" s="122"/>
      <c r="AL58" s="122"/>
    </row>
    <row r="59" ht="22.5" hidden="1" customHeight="1">
      <c r="A59" s="103" t="s">
        <v>184</v>
      </c>
      <c r="B59" s="104"/>
      <c r="C59" s="166" t="s">
        <v>198</v>
      </c>
      <c r="D59" s="106">
        <v>1269.0</v>
      </c>
      <c r="E59" s="107" t="s">
        <v>164</v>
      </c>
      <c r="F59" s="108" t="s">
        <v>30</v>
      </c>
      <c r="G59" s="109" t="s">
        <v>186</v>
      </c>
      <c r="H59" s="110" t="s">
        <v>31</v>
      </c>
      <c r="I59" s="110" t="s">
        <v>132</v>
      </c>
      <c r="J59" s="111" t="s">
        <v>197</v>
      </c>
      <c r="K59" s="112">
        <v>694.0</v>
      </c>
      <c r="L59" s="113">
        <v>46108.0</v>
      </c>
      <c r="M59" s="113">
        <v>46118.0</v>
      </c>
      <c r="N59" s="114"/>
      <c r="O59" s="115" t="s">
        <v>99</v>
      </c>
      <c r="P59" s="116"/>
      <c r="Q59" s="167" t="s">
        <v>35</v>
      </c>
      <c r="R59" s="168"/>
      <c r="S59" s="126" t="s">
        <v>36</v>
      </c>
      <c r="T59" s="126" t="s">
        <v>36</v>
      </c>
      <c r="U59" s="127" t="s">
        <v>37</v>
      </c>
      <c r="V59" s="128"/>
      <c r="W59" s="129" t="s">
        <v>188</v>
      </c>
      <c r="X59" s="169" t="s">
        <v>189</v>
      </c>
      <c r="Y59" s="130" t="s">
        <v>190</v>
      </c>
      <c r="Z59" s="130" t="s">
        <v>191</v>
      </c>
      <c r="AA59" s="170"/>
      <c r="AB59" s="122"/>
      <c r="AC59" s="122"/>
      <c r="AD59" s="122"/>
      <c r="AE59" s="122"/>
      <c r="AF59" s="122"/>
      <c r="AG59" s="122"/>
      <c r="AH59" s="122"/>
      <c r="AI59" s="122"/>
      <c r="AJ59" s="122"/>
      <c r="AK59" s="122"/>
      <c r="AL59" s="122"/>
    </row>
    <row r="60" ht="22.5" hidden="1" customHeight="1">
      <c r="A60" s="103" t="s">
        <v>184</v>
      </c>
      <c r="B60" s="104"/>
      <c r="C60" s="166" t="s">
        <v>199</v>
      </c>
      <c r="D60" s="106">
        <v>1166.0</v>
      </c>
      <c r="E60" s="107" t="s">
        <v>164</v>
      </c>
      <c r="F60" s="108" t="s">
        <v>72</v>
      </c>
      <c r="G60" s="109" t="s">
        <v>186</v>
      </c>
      <c r="H60" s="110" t="s">
        <v>31</v>
      </c>
      <c r="I60" s="110" t="s">
        <v>132</v>
      </c>
      <c r="J60" s="111" t="s">
        <v>197</v>
      </c>
      <c r="K60" s="135"/>
      <c r="L60" s="113">
        <v>46108.0</v>
      </c>
      <c r="M60" s="113">
        <v>46118.0</v>
      </c>
      <c r="N60" s="114"/>
      <c r="O60" s="115" t="s">
        <v>99</v>
      </c>
      <c r="P60" s="116"/>
      <c r="Q60" s="167" t="s">
        <v>35</v>
      </c>
      <c r="R60" s="168"/>
      <c r="S60" s="126" t="s">
        <v>36</v>
      </c>
      <c r="T60" s="126" t="s">
        <v>36</v>
      </c>
      <c r="U60" s="127" t="s">
        <v>37</v>
      </c>
      <c r="V60" s="128"/>
      <c r="W60" s="129" t="s">
        <v>188</v>
      </c>
      <c r="X60" s="169" t="s">
        <v>189</v>
      </c>
      <c r="Y60" s="130" t="s">
        <v>190</v>
      </c>
      <c r="Z60" s="130" t="s">
        <v>191</v>
      </c>
      <c r="AA60" s="170"/>
      <c r="AB60" s="122"/>
      <c r="AC60" s="122"/>
      <c r="AD60" s="122"/>
      <c r="AE60" s="122"/>
      <c r="AF60" s="122"/>
      <c r="AG60" s="122"/>
      <c r="AH60" s="122"/>
      <c r="AI60" s="122"/>
      <c r="AJ60" s="122"/>
      <c r="AK60" s="122"/>
      <c r="AL60" s="122"/>
    </row>
    <row r="61" ht="22.5" hidden="1" customHeight="1">
      <c r="A61" s="103" t="s">
        <v>184</v>
      </c>
      <c r="B61" s="104"/>
      <c r="C61" s="171" t="s">
        <v>200</v>
      </c>
      <c r="D61" s="106">
        <v>1255.0</v>
      </c>
      <c r="E61" s="107" t="s">
        <v>164</v>
      </c>
      <c r="F61" s="108" t="s">
        <v>30</v>
      </c>
      <c r="G61" s="109" t="s">
        <v>201</v>
      </c>
      <c r="H61" s="110" t="s">
        <v>31</v>
      </c>
      <c r="I61" s="110" t="s">
        <v>132</v>
      </c>
      <c r="J61" s="111" t="s">
        <v>172</v>
      </c>
      <c r="K61" s="112">
        <v>588.0</v>
      </c>
      <c r="L61" s="113">
        <v>46108.0</v>
      </c>
      <c r="M61" s="113">
        <v>46118.0</v>
      </c>
      <c r="N61" s="114"/>
      <c r="O61" s="115" t="s">
        <v>99</v>
      </c>
      <c r="P61" s="116"/>
      <c r="Q61" s="167" t="s">
        <v>35</v>
      </c>
      <c r="R61" s="168"/>
      <c r="S61" s="126" t="s">
        <v>36</v>
      </c>
      <c r="T61" s="126" t="s">
        <v>36</v>
      </c>
      <c r="U61" s="127" t="s">
        <v>37</v>
      </c>
      <c r="V61" s="128"/>
      <c r="W61" s="129" t="s">
        <v>188</v>
      </c>
      <c r="X61" s="169" t="s">
        <v>189</v>
      </c>
      <c r="Y61" s="130" t="s">
        <v>190</v>
      </c>
      <c r="Z61" s="130" t="s">
        <v>191</v>
      </c>
      <c r="AA61" s="170"/>
      <c r="AB61" s="122"/>
      <c r="AC61" s="122"/>
      <c r="AD61" s="122"/>
      <c r="AE61" s="122"/>
      <c r="AF61" s="122"/>
      <c r="AG61" s="122"/>
      <c r="AH61" s="122"/>
      <c r="AI61" s="122"/>
      <c r="AJ61" s="122"/>
      <c r="AK61" s="122"/>
      <c r="AL61" s="122"/>
    </row>
    <row r="62" ht="22.5" hidden="1" customHeight="1">
      <c r="A62" s="103" t="s">
        <v>184</v>
      </c>
      <c r="B62" s="104"/>
      <c r="C62" s="166" t="s">
        <v>202</v>
      </c>
      <c r="D62" s="106">
        <v>1293.0</v>
      </c>
      <c r="E62" s="107" t="s">
        <v>164</v>
      </c>
      <c r="F62" s="108" t="s">
        <v>30</v>
      </c>
      <c r="G62" s="109" t="s">
        <v>203</v>
      </c>
      <c r="H62" s="110" t="s">
        <v>31</v>
      </c>
      <c r="I62" s="110" t="s">
        <v>98</v>
      </c>
      <c r="J62" s="111" t="s">
        <v>77</v>
      </c>
      <c r="K62" s="112">
        <v>1659.0</v>
      </c>
      <c r="L62" s="113">
        <v>46108.0</v>
      </c>
      <c r="M62" s="113">
        <v>46118.0</v>
      </c>
      <c r="N62" s="114"/>
      <c r="O62" s="115" t="s">
        <v>204</v>
      </c>
      <c r="P62" s="116"/>
      <c r="Q62" s="167" t="s">
        <v>35</v>
      </c>
      <c r="R62" s="168"/>
      <c r="S62" s="126" t="s">
        <v>36</v>
      </c>
      <c r="T62" s="126" t="s">
        <v>36</v>
      </c>
      <c r="U62" s="127" t="s">
        <v>37</v>
      </c>
      <c r="V62" s="128"/>
      <c r="W62" s="129" t="s">
        <v>188</v>
      </c>
      <c r="X62" s="169" t="s">
        <v>189</v>
      </c>
      <c r="Y62" s="130" t="s">
        <v>190</v>
      </c>
      <c r="Z62" s="130" t="s">
        <v>191</v>
      </c>
      <c r="AA62" s="170"/>
      <c r="AB62" s="122"/>
      <c r="AC62" s="122"/>
      <c r="AD62" s="122"/>
      <c r="AE62" s="122"/>
      <c r="AF62" s="122"/>
      <c r="AG62" s="122"/>
      <c r="AH62" s="122"/>
      <c r="AI62" s="122"/>
      <c r="AJ62" s="122"/>
      <c r="AK62" s="122"/>
      <c r="AL62" s="122"/>
    </row>
    <row r="63" ht="22.5" hidden="1" customHeight="1">
      <c r="A63" s="103" t="s">
        <v>184</v>
      </c>
      <c r="B63" s="104"/>
      <c r="C63" s="166" t="s">
        <v>205</v>
      </c>
      <c r="D63" s="106">
        <v>1291.0</v>
      </c>
      <c r="E63" s="107" t="s">
        <v>164</v>
      </c>
      <c r="F63" s="108" t="s">
        <v>30</v>
      </c>
      <c r="G63" s="109" t="s">
        <v>206</v>
      </c>
      <c r="H63" s="110" t="s">
        <v>31</v>
      </c>
      <c r="I63" s="110" t="s">
        <v>98</v>
      </c>
      <c r="J63" s="111" t="s">
        <v>207</v>
      </c>
      <c r="K63" s="112">
        <v>1521.0</v>
      </c>
      <c r="L63" s="113">
        <v>46108.0</v>
      </c>
      <c r="M63" s="113">
        <v>46118.0</v>
      </c>
      <c r="N63" s="114"/>
      <c r="O63" s="115" t="s">
        <v>204</v>
      </c>
      <c r="P63" s="116"/>
      <c r="Q63" s="167" t="s">
        <v>35</v>
      </c>
      <c r="R63" s="168"/>
      <c r="S63" s="126" t="s">
        <v>36</v>
      </c>
      <c r="T63" s="126" t="s">
        <v>36</v>
      </c>
      <c r="U63" s="127" t="s">
        <v>37</v>
      </c>
      <c r="V63" s="128"/>
      <c r="W63" s="129" t="s">
        <v>188</v>
      </c>
      <c r="X63" s="169" t="s">
        <v>189</v>
      </c>
      <c r="Y63" s="130" t="s">
        <v>190</v>
      </c>
      <c r="Z63" s="130" t="s">
        <v>191</v>
      </c>
      <c r="AA63" s="170"/>
      <c r="AB63" s="122"/>
      <c r="AC63" s="122"/>
      <c r="AD63" s="122"/>
      <c r="AE63" s="122"/>
      <c r="AF63" s="122"/>
      <c r="AG63" s="122"/>
      <c r="AH63" s="122"/>
      <c r="AI63" s="122"/>
      <c r="AJ63" s="122"/>
      <c r="AK63" s="122"/>
      <c r="AL63" s="122"/>
    </row>
    <row r="64" ht="22.5" hidden="1" customHeight="1">
      <c r="A64" s="103" t="s">
        <v>184</v>
      </c>
      <c r="B64" s="104"/>
      <c r="C64" s="172" t="s">
        <v>208</v>
      </c>
      <c r="D64" s="106">
        <v>1292.0</v>
      </c>
      <c r="E64" s="107" t="s">
        <v>164</v>
      </c>
      <c r="F64" s="108" t="s">
        <v>30</v>
      </c>
      <c r="G64" s="109" t="s">
        <v>209</v>
      </c>
      <c r="H64" s="110" t="s">
        <v>31</v>
      </c>
      <c r="I64" s="110" t="s">
        <v>98</v>
      </c>
      <c r="J64" s="111" t="s">
        <v>187</v>
      </c>
      <c r="K64" s="112">
        <v>1840.0</v>
      </c>
      <c r="L64" s="113">
        <v>46108.0</v>
      </c>
      <c r="M64" s="113">
        <v>46118.0</v>
      </c>
      <c r="N64" s="114"/>
      <c r="O64" s="115" t="s">
        <v>204</v>
      </c>
      <c r="P64" s="116"/>
      <c r="Q64" s="167" t="s">
        <v>35</v>
      </c>
      <c r="R64" s="168"/>
      <c r="S64" s="126" t="s">
        <v>36</v>
      </c>
      <c r="T64" s="126" t="s">
        <v>36</v>
      </c>
      <c r="U64" s="127" t="s">
        <v>37</v>
      </c>
      <c r="V64" s="128"/>
      <c r="W64" s="129" t="s">
        <v>188</v>
      </c>
      <c r="X64" s="169" t="s">
        <v>189</v>
      </c>
      <c r="Y64" s="130" t="s">
        <v>190</v>
      </c>
      <c r="Z64" s="130" t="s">
        <v>191</v>
      </c>
      <c r="AA64" s="170"/>
      <c r="AB64" s="122"/>
      <c r="AC64" s="122"/>
      <c r="AD64" s="122"/>
      <c r="AE64" s="122"/>
      <c r="AF64" s="122"/>
      <c r="AG64" s="122"/>
      <c r="AH64" s="122"/>
      <c r="AI64" s="122"/>
      <c r="AJ64" s="122"/>
      <c r="AK64" s="122"/>
      <c r="AL64" s="122"/>
    </row>
    <row r="65" ht="22.5" hidden="1" customHeight="1">
      <c r="A65" s="103" t="s">
        <v>184</v>
      </c>
      <c r="B65" s="104"/>
      <c r="C65" s="124" t="s">
        <v>210</v>
      </c>
      <c r="D65" s="106">
        <v>1401.0</v>
      </c>
      <c r="E65" s="107" t="s">
        <v>164</v>
      </c>
      <c r="F65" s="108" t="s">
        <v>96</v>
      </c>
      <c r="G65" s="109" t="s">
        <v>211</v>
      </c>
      <c r="H65" s="110" t="s">
        <v>31</v>
      </c>
      <c r="I65" s="110" t="s">
        <v>132</v>
      </c>
      <c r="J65" s="111" t="s">
        <v>187</v>
      </c>
      <c r="K65" s="112">
        <v>412.0</v>
      </c>
      <c r="L65" s="113">
        <v>46108.0</v>
      </c>
      <c r="M65" s="113">
        <v>46118.0</v>
      </c>
      <c r="N65" s="114"/>
      <c r="O65" s="115" t="s">
        <v>212</v>
      </c>
      <c r="P65" s="116"/>
      <c r="Q65" s="167" t="s">
        <v>35</v>
      </c>
      <c r="R65" s="168"/>
      <c r="S65" s="126" t="s">
        <v>36</v>
      </c>
      <c r="T65" s="126" t="s">
        <v>36</v>
      </c>
      <c r="U65" s="127" t="s">
        <v>37</v>
      </c>
      <c r="V65" s="128"/>
      <c r="W65" s="129" t="s">
        <v>193</v>
      </c>
      <c r="X65" s="169" t="s">
        <v>189</v>
      </c>
      <c r="Y65" s="130" t="s">
        <v>190</v>
      </c>
      <c r="Z65" s="130" t="s">
        <v>191</v>
      </c>
      <c r="AA65" s="170"/>
      <c r="AB65" s="122"/>
      <c r="AC65" s="122"/>
      <c r="AD65" s="122"/>
      <c r="AE65" s="122"/>
      <c r="AF65" s="122"/>
      <c r="AG65" s="122"/>
      <c r="AH65" s="122"/>
      <c r="AI65" s="122"/>
      <c r="AJ65" s="122"/>
      <c r="AK65" s="122"/>
      <c r="AL65" s="122"/>
    </row>
    <row r="66" ht="22.5" hidden="1" customHeight="1">
      <c r="A66" s="173" t="s">
        <v>213</v>
      </c>
      <c r="B66" s="132"/>
      <c r="C66" s="16">
        <v>0.0</v>
      </c>
      <c r="D66" s="174">
        <v>1294.0</v>
      </c>
      <c r="E66" s="18" t="s">
        <v>29</v>
      </c>
      <c r="F66" s="131" t="s">
        <v>72</v>
      </c>
      <c r="G66" s="92" t="s">
        <v>214</v>
      </c>
      <c r="H66" s="21" t="s">
        <v>31</v>
      </c>
      <c r="I66" s="21" t="s">
        <v>98</v>
      </c>
      <c r="J66" s="15">
        <v>40000.0</v>
      </c>
      <c r="K66" s="100">
        <v>2553.0</v>
      </c>
      <c r="L66" s="23">
        <v>46111.0</v>
      </c>
      <c r="M66" s="23">
        <v>46115.0</v>
      </c>
      <c r="N66" s="133"/>
      <c r="O66" s="25" t="s">
        <v>54</v>
      </c>
      <c r="P66" s="93"/>
      <c r="Q66" s="27" t="s">
        <v>35</v>
      </c>
      <c r="R66" s="27" t="s">
        <v>215</v>
      </c>
      <c r="S66" s="29" t="s">
        <v>36</v>
      </c>
      <c r="T66" s="29" t="s">
        <v>36</v>
      </c>
      <c r="U66" s="94" t="s">
        <v>37</v>
      </c>
      <c r="V66" s="31"/>
      <c r="W66" s="32" t="s">
        <v>216</v>
      </c>
      <c r="X66" s="175"/>
      <c r="Y66" s="37"/>
      <c r="Z66" s="37"/>
      <c r="AA66" s="38"/>
      <c r="AB66" s="35"/>
      <c r="AC66" s="35"/>
      <c r="AD66" s="35"/>
      <c r="AE66" s="35"/>
      <c r="AF66" s="35"/>
      <c r="AG66" s="35"/>
      <c r="AH66" s="35"/>
      <c r="AI66" s="35"/>
      <c r="AJ66" s="35"/>
      <c r="AK66" s="35"/>
      <c r="AL66" s="35"/>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row>
    <row r="67" ht="22.5" hidden="1" customHeight="1">
      <c r="A67" s="15" t="s">
        <v>217</v>
      </c>
      <c r="B67" s="132"/>
      <c r="C67" s="16" t="s">
        <v>218</v>
      </c>
      <c r="D67" s="17">
        <v>1366.0</v>
      </c>
      <c r="E67" s="18" t="s">
        <v>29</v>
      </c>
      <c r="F67" s="131" t="s">
        <v>72</v>
      </c>
      <c r="G67" s="92" t="s">
        <v>219</v>
      </c>
      <c r="H67" s="21" t="s">
        <v>31</v>
      </c>
      <c r="I67" s="21" t="s">
        <v>220</v>
      </c>
      <c r="J67" s="15">
        <v>40000.0</v>
      </c>
      <c r="K67" s="100">
        <v>3104.0</v>
      </c>
      <c r="L67" s="23">
        <v>46111.0</v>
      </c>
      <c r="M67" s="23">
        <v>46115.0</v>
      </c>
      <c r="N67" s="133"/>
      <c r="O67" s="25" t="s">
        <v>54</v>
      </c>
      <c r="P67" s="93"/>
      <c r="Q67" s="27" t="s">
        <v>35</v>
      </c>
      <c r="R67" s="27" t="s">
        <v>133</v>
      </c>
      <c r="S67" s="29" t="s">
        <v>36</v>
      </c>
      <c r="T67" s="29" t="s">
        <v>36</v>
      </c>
      <c r="U67" s="94" t="s">
        <v>37</v>
      </c>
      <c r="V67" s="31"/>
      <c r="W67" s="32"/>
      <c r="X67" s="176" t="s">
        <v>221</v>
      </c>
      <c r="Y67" s="37"/>
      <c r="Z67" s="37"/>
      <c r="AA67" s="38"/>
      <c r="AB67" s="35"/>
      <c r="AC67" s="35"/>
      <c r="AD67" s="35"/>
      <c r="AE67" s="35"/>
      <c r="AF67" s="35"/>
      <c r="AG67" s="35"/>
      <c r="AH67" s="35"/>
      <c r="AI67" s="35"/>
      <c r="AJ67" s="35"/>
      <c r="AK67" s="35"/>
      <c r="AL67" s="35"/>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row>
    <row r="68" ht="22.5" hidden="1" customHeight="1">
      <c r="A68" s="15" t="s">
        <v>217</v>
      </c>
      <c r="B68" s="132"/>
      <c r="C68" s="16" t="s">
        <v>222</v>
      </c>
      <c r="D68" s="177"/>
      <c r="E68" s="18" t="s">
        <v>29</v>
      </c>
      <c r="F68" s="131" t="s">
        <v>72</v>
      </c>
      <c r="G68" s="92" t="s">
        <v>223</v>
      </c>
      <c r="H68" s="21" t="s">
        <v>31</v>
      </c>
      <c r="I68" s="21" t="s">
        <v>220</v>
      </c>
      <c r="J68" s="15">
        <v>40000.0</v>
      </c>
      <c r="K68" s="178"/>
      <c r="L68" s="23">
        <v>46111.0</v>
      </c>
      <c r="M68" s="23">
        <v>46115.0</v>
      </c>
      <c r="N68" s="133"/>
      <c r="O68" s="25" t="s">
        <v>54</v>
      </c>
      <c r="P68" s="93"/>
      <c r="Q68" s="27" t="s">
        <v>35</v>
      </c>
      <c r="R68" s="27" t="s">
        <v>133</v>
      </c>
      <c r="S68" s="29" t="s">
        <v>36</v>
      </c>
      <c r="T68" s="29" t="s">
        <v>36</v>
      </c>
      <c r="U68" s="94" t="s">
        <v>37</v>
      </c>
      <c r="V68" s="31"/>
      <c r="W68" s="32"/>
      <c r="X68" s="176" t="s">
        <v>221</v>
      </c>
      <c r="Y68" s="37"/>
      <c r="Z68" s="37"/>
      <c r="AA68" s="38"/>
      <c r="AB68" s="35"/>
      <c r="AC68" s="35"/>
      <c r="AD68" s="35"/>
      <c r="AE68" s="35"/>
      <c r="AF68" s="35"/>
      <c r="AG68" s="35"/>
      <c r="AH68" s="35"/>
      <c r="AI68" s="35"/>
      <c r="AJ68" s="35"/>
      <c r="AK68" s="35"/>
      <c r="AL68" s="35"/>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c r="BK68" s="36"/>
      <c r="BL68" s="36"/>
      <c r="BM68" s="36"/>
      <c r="BN68" s="36"/>
    </row>
    <row r="69" ht="22.5" hidden="1" customHeight="1">
      <c r="A69" s="111" t="s">
        <v>120</v>
      </c>
      <c r="B69" s="104"/>
      <c r="C69" s="105" t="s">
        <v>224</v>
      </c>
      <c r="D69" s="125">
        <v>1313.0</v>
      </c>
      <c r="E69" s="107" t="s">
        <v>95</v>
      </c>
      <c r="F69" s="108" t="s">
        <v>68</v>
      </c>
      <c r="G69" s="109" t="s">
        <v>225</v>
      </c>
      <c r="H69" s="110" t="s">
        <v>31</v>
      </c>
      <c r="I69" s="179"/>
      <c r="J69" s="111">
        <v>20000.0</v>
      </c>
      <c r="K69" s="112">
        <v>2039.0</v>
      </c>
      <c r="L69" s="113">
        <v>46112.0</v>
      </c>
      <c r="M69" s="113">
        <v>46115.0</v>
      </c>
      <c r="N69" s="114"/>
      <c r="O69" s="115" t="s">
        <v>99</v>
      </c>
      <c r="P69" s="116"/>
      <c r="Q69" s="107" t="s">
        <v>35</v>
      </c>
      <c r="R69" s="117"/>
      <c r="S69" s="115" t="s">
        <v>35</v>
      </c>
      <c r="T69" s="115" t="s">
        <v>36</v>
      </c>
      <c r="U69" s="118" t="s">
        <v>37</v>
      </c>
      <c r="V69" s="119"/>
      <c r="W69" s="111" t="s">
        <v>226</v>
      </c>
      <c r="X69" s="130" t="s">
        <v>227</v>
      </c>
      <c r="Y69" s="121"/>
      <c r="Z69" s="121"/>
      <c r="AA69" s="121"/>
      <c r="AB69" s="122"/>
      <c r="AC69" s="122"/>
      <c r="AD69" s="122"/>
      <c r="AE69" s="122"/>
      <c r="AF69" s="122"/>
      <c r="AG69" s="122"/>
      <c r="AH69" s="122"/>
      <c r="AI69" s="122"/>
      <c r="AJ69" s="122"/>
      <c r="AK69" s="122"/>
      <c r="AL69" s="122"/>
    </row>
    <row r="70" ht="22.5" hidden="1" customHeight="1">
      <c r="A70" s="103" t="s">
        <v>65</v>
      </c>
      <c r="B70" s="104"/>
      <c r="C70" s="124" t="s">
        <v>228</v>
      </c>
      <c r="D70" s="106">
        <v>1500.0</v>
      </c>
      <c r="E70" s="107" t="s">
        <v>229</v>
      </c>
      <c r="F70" s="108" t="s">
        <v>30</v>
      </c>
      <c r="G70" s="109" t="s">
        <v>230</v>
      </c>
      <c r="H70" s="110" t="s">
        <v>31</v>
      </c>
      <c r="I70" s="110" t="s">
        <v>98</v>
      </c>
      <c r="J70" s="111">
        <v>200000.0</v>
      </c>
      <c r="K70" s="112">
        <v>11883.0</v>
      </c>
      <c r="L70" s="180"/>
      <c r="M70" s="113">
        <v>46118.0</v>
      </c>
      <c r="N70" s="119">
        <v>46121.0</v>
      </c>
      <c r="O70" s="115" t="s">
        <v>70</v>
      </c>
      <c r="P70" s="116"/>
      <c r="Q70" s="167" t="s">
        <v>35</v>
      </c>
      <c r="R70" s="167" t="s">
        <v>133</v>
      </c>
      <c r="S70" s="126" t="s">
        <v>36</v>
      </c>
      <c r="T70" s="126" t="s">
        <v>36</v>
      </c>
      <c r="U70" s="127" t="s">
        <v>37</v>
      </c>
      <c r="V70" s="128"/>
      <c r="W70" s="136"/>
      <c r="X70" s="120"/>
      <c r="Y70" s="121"/>
      <c r="Z70" s="121"/>
      <c r="AA70" s="121"/>
      <c r="AB70" s="122"/>
      <c r="AC70" s="122"/>
      <c r="AD70" s="122"/>
      <c r="AE70" s="122"/>
      <c r="AF70" s="122"/>
      <c r="AG70" s="122"/>
      <c r="AH70" s="122"/>
      <c r="AI70" s="122"/>
      <c r="AJ70" s="122"/>
      <c r="AK70" s="122"/>
      <c r="AL70" s="122"/>
    </row>
    <row r="71" ht="22.5" hidden="1" customHeight="1">
      <c r="A71" s="181" t="s">
        <v>27</v>
      </c>
      <c r="B71" s="132"/>
      <c r="C71" s="16" t="s">
        <v>231</v>
      </c>
      <c r="D71" s="174">
        <v>1447.0</v>
      </c>
      <c r="E71" s="18" t="s">
        <v>29</v>
      </c>
      <c r="F71" s="131" t="s">
        <v>30</v>
      </c>
      <c r="G71" s="92" t="s">
        <v>73</v>
      </c>
      <c r="H71" s="21" t="s">
        <v>31</v>
      </c>
      <c r="I71" s="21" t="s">
        <v>132</v>
      </c>
      <c r="J71" s="15">
        <v>10000.0</v>
      </c>
      <c r="K71" s="100">
        <v>814.0</v>
      </c>
      <c r="L71" s="23">
        <v>46112.0</v>
      </c>
      <c r="M71" s="23">
        <v>46118.0</v>
      </c>
      <c r="N71" s="133"/>
      <c r="O71" s="25" t="s">
        <v>34</v>
      </c>
      <c r="P71" s="93"/>
      <c r="Q71" s="27" t="s">
        <v>35</v>
      </c>
      <c r="R71" s="27" t="s">
        <v>133</v>
      </c>
      <c r="S71" s="29" t="s">
        <v>36</v>
      </c>
      <c r="T71" s="29" t="s">
        <v>36</v>
      </c>
      <c r="U71" s="94" t="s">
        <v>37</v>
      </c>
      <c r="V71" s="31"/>
      <c r="W71" s="32"/>
      <c r="X71" s="37"/>
      <c r="Y71" s="37"/>
      <c r="Z71" s="37"/>
      <c r="AA71" s="38"/>
      <c r="AB71" s="35"/>
      <c r="AC71" s="35"/>
      <c r="AD71" s="35"/>
      <c r="AE71" s="35"/>
      <c r="AF71" s="35"/>
      <c r="AG71" s="35"/>
      <c r="AH71" s="35"/>
      <c r="AI71" s="35"/>
      <c r="AJ71" s="35"/>
      <c r="AK71" s="35"/>
      <c r="AL71" s="35"/>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c r="BK71" s="36"/>
      <c r="BL71" s="36"/>
      <c r="BM71" s="36"/>
      <c r="BN71" s="36"/>
    </row>
    <row r="72" ht="22.5" hidden="1" customHeight="1">
      <c r="A72" s="181" t="s">
        <v>27</v>
      </c>
      <c r="B72" s="132"/>
      <c r="C72" s="16" t="s">
        <v>232</v>
      </c>
      <c r="D72" s="174">
        <v>1448.0</v>
      </c>
      <c r="E72" s="18" t="s">
        <v>29</v>
      </c>
      <c r="F72" s="131" t="s">
        <v>30</v>
      </c>
      <c r="G72" s="92" t="s">
        <v>73</v>
      </c>
      <c r="H72" s="21" t="s">
        <v>31</v>
      </c>
      <c r="I72" s="21" t="s">
        <v>132</v>
      </c>
      <c r="J72" s="15">
        <v>10000.0</v>
      </c>
      <c r="K72" s="100">
        <v>814.0</v>
      </c>
      <c r="L72" s="23">
        <v>46112.0</v>
      </c>
      <c r="M72" s="23">
        <v>46118.0</v>
      </c>
      <c r="N72" s="133"/>
      <c r="O72" s="25" t="s">
        <v>34</v>
      </c>
      <c r="P72" s="93"/>
      <c r="Q72" s="27" t="s">
        <v>35</v>
      </c>
      <c r="R72" s="27" t="s">
        <v>133</v>
      </c>
      <c r="S72" s="29" t="s">
        <v>36</v>
      </c>
      <c r="T72" s="29" t="s">
        <v>36</v>
      </c>
      <c r="U72" s="94" t="s">
        <v>37</v>
      </c>
      <c r="V72" s="31"/>
      <c r="W72" s="32"/>
      <c r="X72" s="37"/>
      <c r="Y72" s="37"/>
      <c r="Z72" s="37"/>
      <c r="AA72" s="38"/>
      <c r="AB72" s="35"/>
      <c r="AC72" s="35"/>
      <c r="AD72" s="35"/>
      <c r="AE72" s="35"/>
      <c r="AF72" s="35"/>
      <c r="AG72" s="35"/>
      <c r="AH72" s="35"/>
      <c r="AI72" s="35"/>
      <c r="AJ72" s="35"/>
      <c r="AK72" s="35"/>
      <c r="AL72" s="35"/>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c r="BM72" s="36"/>
      <c r="BN72" s="36"/>
    </row>
    <row r="73" ht="22.5" hidden="1" customHeight="1">
      <c r="A73" s="181" t="s">
        <v>27</v>
      </c>
      <c r="B73" s="132"/>
      <c r="C73" s="16" t="s">
        <v>233</v>
      </c>
      <c r="D73" s="174">
        <v>1502.0</v>
      </c>
      <c r="E73" s="18" t="s">
        <v>29</v>
      </c>
      <c r="F73" s="131" t="s">
        <v>30</v>
      </c>
      <c r="G73" s="92" t="s">
        <v>234</v>
      </c>
      <c r="H73" s="21" t="s">
        <v>31</v>
      </c>
      <c r="I73" s="21" t="s">
        <v>132</v>
      </c>
      <c r="J73" s="15">
        <v>40000.0</v>
      </c>
      <c r="K73" s="100">
        <v>3721.0</v>
      </c>
      <c r="L73" s="23">
        <v>46112.0</v>
      </c>
      <c r="M73" s="23">
        <v>46118.0</v>
      </c>
      <c r="N73" s="133"/>
      <c r="O73" s="25" t="s">
        <v>34</v>
      </c>
      <c r="P73" s="93"/>
      <c r="Q73" s="27" t="s">
        <v>35</v>
      </c>
      <c r="R73" s="27" t="s">
        <v>133</v>
      </c>
      <c r="S73" s="29" t="s">
        <v>35</v>
      </c>
      <c r="T73" s="29" t="s">
        <v>36</v>
      </c>
      <c r="U73" s="94" t="s">
        <v>37</v>
      </c>
      <c r="V73" s="31"/>
      <c r="W73" s="32"/>
      <c r="X73" s="37"/>
      <c r="Y73" s="37"/>
      <c r="Z73" s="37"/>
      <c r="AA73" s="38"/>
      <c r="AB73" s="35"/>
      <c r="AC73" s="35"/>
      <c r="AD73" s="35"/>
      <c r="AE73" s="35"/>
      <c r="AF73" s="35"/>
      <c r="AG73" s="35"/>
      <c r="AH73" s="35"/>
      <c r="AI73" s="35"/>
      <c r="AJ73" s="35"/>
      <c r="AK73" s="35"/>
      <c r="AL73" s="35"/>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36"/>
      <c r="BK73" s="36"/>
      <c r="BL73" s="36"/>
      <c r="BM73" s="36"/>
      <c r="BN73" s="36"/>
    </row>
    <row r="74" ht="22.5" hidden="1" customHeight="1">
      <c r="A74" s="181" t="s">
        <v>27</v>
      </c>
      <c r="B74" s="132"/>
      <c r="C74" s="16" t="s">
        <v>235</v>
      </c>
      <c r="D74" s="174">
        <v>1456.0</v>
      </c>
      <c r="E74" s="18" t="s">
        <v>29</v>
      </c>
      <c r="F74" s="131" t="s">
        <v>30</v>
      </c>
      <c r="G74" s="92" t="s">
        <v>234</v>
      </c>
      <c r="H74" s="21" t="s">
        <v>31</v>
      </c>
      <c r="I74" s="21" t="s">
        <v>132</v>
      </c>
      <c r="J74" s="15">
        <v>20000.0</v>
      </c>
      <c r="K74" s="100">
        <v>2163.0</v>
      </c>
      <c r="L74" s="23">
        <v>46112.0</v>
      </c>
      <c r="M74" s="23">
        <v>46118.0</v>
      </c>
      <c r="N74" s="133"/>
      <c r="O74" s="25" t="s">
        <v>34</v>
      </c>
      <c r="P74" s="93"/>
      <c r="Q74" s="27" t="s">
        <v>35</v>
      </c>
      <c r="R74" s="27" t="s">
        <v>133</v>
      </c>
      <c r="S74" s="29" t="s">
        <v>36</v>
      </c>
      <c r="T74" s="29" t="s">
        <v>36</v>
      </c>
      <c r="U74" s="94" t="s">
        <v>37</v>
      </c>
      <c r="V74" s="31"/>
      <c r="W74" s="32"/>
      <c r="X74" s="37"/>
      <c r="Y74" s="37"/>
      <c r="Z74" s="37"/>
      <c r="AA74" s="38"/>
      <c r="AB74" s="35"/>
      <c r="AC74" s="35"/>
      <c r="AD74" s="35"/>
      <c r="AE74" s="35"/>
      <c r="AF74" s="35"/>
      <c r="AG74" s="35"/>
      <c r="AH74" s="35"/>
      <c r="AI74" s="35"/>
      <c r="AJ74" s="35"/>
      <c r="AK74" s="35"/>
      <c r="AL74" s="35"/>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c r="BM74" s="36"/>
      <c r="BN74" s="36"/>
    </row>
    <row r="75" ht="22.5" hidden="1" customHeight="1">
      <c r="A75" s="181" t="s">
        <v>27</v>
      </c>
      <c r="B75" s="132"/>
      <c r="C75" s="16" t="s">
        <v>236</v>
      </c>
      <c r="D75" s="174">
        <v>1457.0</v>
      </c>
      <c r="E75" s="18" t="s">
        <v>29</v>
      </c>
      <c r="F75" s="131" t="s">
        <v>30</v>
      </c>
      <c r="G75" s="92" t="s">
        <v>234</v>
      </c>
      <c r="H75" s="21" t="s">
        <v>31</v>
      </c>
      <c r="I75" s="21" t="s">
        <v>132</v>
      </c>
      <c r="J75" s="15">
        <v>10000.0</v>
      </c>
      <c r="K75" s="100">
        <v>1281.0</v>
      </c>
      <c r="L75" s="23">
        <v>46112.0</v>
      </c>
      <c r="M75" s="23">
        <v>46118.0</v>
      </c>
      <c r="N75" s="133"/>
      <c r="O75" s="25" t="s">
        <v>34</v>
      </c>
      <c r="P75" s="93"/>
      <c r="Q75" s="27" t="s">
        <v>35</v>
      </c>
      <c r="R75" s="27" t="s">
        <v>133</v>
      </c>
      <c r="S75" s="29" t="s">
        <v>36</v>
      </c>
      <c r="T75" s="29" t="s">
        <v>36</v>
      </c>
      <c r="U75" s="94" t="s">
        <v>37</v>
      </c>
      <c r="V75" s="31"/>
      <c r="W75" s="32"/>
      <c r="X75" s="37"/>
      <c r="Y75" s="37"/>
      <c r="Z75" s="37"/>
      <c r="AA75" s="38"/>
      <c r="AB75" s="35"/>
      <c r="AC75" s="35"/>
      <c r="AD75" s="35"/>
      <c r="AE75" s="35"/>
      <c r="AF75" s="35"/>
      <c r="AG75" s="35"/>
      <c r="AH75" s="35"/>
      <c r="AI75" s="35"/>
      <c r="AJ75" s="35"/>
      <c r="AK75" s="35"/>
      <c r="AL75" s="35"/>
      <c r="AM75" s="36"/>
      <c r="AN75" s="36"/>
      <c r="AO75" s="36"/>
      <c r="AP75" s="36"/>
      <c r="AQ75" s="36"/>
      <c r="AR75" s="36"/>
      <c r="AS75" s="36"/>
      <c r="AT75" s="36"/>
      <c r="AU75" s="36"/>
      <c r="AV75" s="36"/>
      <c r="AW75" s="36"/>
      <c r="AX75" s="36"/>
      <c r="AY75" s="36"/>
      <c r="AZ75" s="36"/>
      <c r="BA75" s="36"/>
      <c r="BB75" s="36"/>
      <c r="BC75" s="36"/>
      <c r="BD75" s="36"/>
      <c r="BE75" s="36"/>
      <c r="BF75" s="36"/>
      <c r="BG75" s="36"/>
      <c r="BH75" s="36"/>
      <c r="BI75" s="36"/>
      <c r="BJ75" s="36"/>
      <c r="BK75" s="36"/>
      <c r="BL75" s="36"/>
      <c r="BM75" s="36"/>
      <c r="BN75" s="36"/>
    </row>
    <row r="76" ht="22.5" hidden="1" customHeight="1">
      <c r="A76" s="181" t="s">
        <v>27</v>
      </c>
      <c r="B76" s="132"/>
      <c r="C76" s="16" t="s">
        <v>237</v>
      </c>
      <c r="D76" s="174">
        <v>1504.0</v>
      </c>
      <c r="E76" s="18" t="s">
        <v>29</v>
      </c>
      <c r="F76" s="131" t="s">
        <v>30</v>
      </c>
      <c r="G76" s="92" t="s">
        <v>234</v>
      </c>
      <c r="H76" s="21" t="s">
        <v>31</v>
      </c>
      <c r="I76" s="21" t="s">
        <v>132</v>
      </c>
      <c r="J76" s="15">
        <v>10000.0</v>
      </c>
      <c r="K76" s="100">
        <v>1156.0</v>
      </c>
      <c r="L76" s="23">
        <v>46112.0</v>
      </c>
      <c r="M76" s="23">
        <v>46118.0</v>
      </c>
      <c r="N76" s="133"/>
      <c r="O76" s="25" t="s">
        <v>34</v>
      </c>
      <c r="P76" s="93"/>
      <c r="Q76" s="27" t="s">
        <v>35</v>
      </c>
      <c r="R76" s="27" t="s">
        <v>133</v>
      </c>
      <c r="S76" s="29" t="s">
        <v>35</v>
      </c>
      <c r="T76" s="29" t="s">
        <v>36</v>
      </c>
      <c r="U76" s="94" t="s">
        <v>37</v>
      </c>
      <c r="V76" s="31"/>
      <c r="W76" s="32"/>
      <c r="X76" s="37"/>
      <c r="Y76" s="37"/>
      <c r="Z76" s="37"/>
      <c r="AA76" s="38"/>
      <c r="AB76" s="35"/>
      <c r="AC76" s="35"/>
      <c r="AD76" s="35"/>
      <c r="AE76" s="35"/>
      <c r="AF76" s="35"/>
      <c r="AG76" s="35"/>
      <c r="AH76" s="35"/>
      <c r="AI76" s="35"/>
      <c r="AJ76" s="35"/>
      <c r="AK76" s="35"/>
      <c r="AL76" s="35"/>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c r="BL76" s="36"/>
      <c r="BM76" s="36"/>
      <c r="BN76" s="36"/>
    </row>
    <row r="77" ht="22.5" hidden="1" customHeight="1">
      <c r="A77" s="181" t="s">
        <v>27</v>
      </c>
      <c r="B77" s="132"/>
      <c r="C77" s="16" t="s">
        <v>238</v>
      </c>
      <c r="D77" s="174">
        <v>1503.0</v>
      </c>
      <c r="E77" s="18" t="s">
        <v>29</v>
      </c>
      <c r="F77" s="131" t="s">
        <v>30</v>
      </c>
      <c r="G77" s="92" t="s">
        <v>234</v>
      </c>
      <c r="H77" s="21" t="s">
        <v>31</v>
      </c>
      <c r="I77" s="21" t="s">
        <v>132</v>
      </c>
      <c r="J77" s="15">
        <v>10000.0</v>
      </c>
      <c r="K77" s="100">
        <v>1156.0</v>
      </c>
      <c r="L77" s="23">
        <v>46112.0</v>
      </c>
      <c r="M77" s="23">
        <v>46118.0</v>
      </c>
      <c r="N77" s="133"/>
      <c r="O77" s="25" t="s">
        <v>34</v>
      </c>
      <c r="P77" s="93"/>
      <c r="Q77" s="27" t="s">
        <v>35</v>
      </c>
      <c r="R77" s="27" t="s">
        <v>133</v>
      </c>
      <c r="S77" s="29" t="s">
        <v>35</v>
      </c>
      <c r="T77" s="29" t="s">
        <v>36</v>
      </c>
      <c r="U77" s="94" t="s">
        <v>37</v>
      </c>
      <c r="V77" s="31"/>
      <c r="W77" s="32"/>
      <c r="X77" s="37"/>
      <c r="Y77" s="37"/>
      <c r="Z77" s="37"/>
      <c r="AA77" s="38"/>
      <c r="AB77" s="35"/>
      <c r="AC77" s="35"/>
      <c r="AD77" s="35"/>
      <c r="AE77" s="35"/>
      <c r="AF77" s="35"/>
      <c r="AG77" s="35"/>
      <c r="AH77" s="35"/>
      <c r="AI77" s="35"/>
      <c r="AJ77" s="35"/>
      <c r="AK77" s="35"/>
      <c r="AL77" s="35"/>
      <c r="AM77" s="36"/>
      <c r="AN77" s="36"/>
      <c r="AO77" s="36"/>
      <c r="AP77" s="36"/>
      <c r="AQ77" s="36"/>
      <c r="AR77" s="36"/>
      <c r="AS77" s="36"/>
      <c r="AT77" s="36"/>
      <c r="AU77" s="36"/>
      <c r="AV77" s="36"/>
      <c r="AW77" s="36"/>
      <c r="AX77" s="36"/>
      <c r="AY77" s="36"/>
      <c r="AZ77" s="36"/>
      <c r="BA77" s="36"/>
      <c r="BB77" s="36"/>
      <c r="BC77" s="36"/>
      <c r="BD77" s="36"/>
      <c r="BE77" s="36"/>
      <c r="BF77" s="36"/>
      <c r="BG77" s="36"/>
      <c r="BH77" s="36"/>
      <c r="BI77" s="36"/>
      <c r="BJ77" s="36"/>
      <c r="BK77" s="36"/>
      <c r="BL77" s="36"/>
      <c r="BM77" s="36"/>
      <c r="BN77" s="36"/>
    </row>
    <row r="78" ht="22.5" hidden="1" customHeight="1">
      <c r="A78" s="181" t="s">
        <v>27</v>
      </c>
      <c r="B78" s="132"/>
      <c r="C78" s="16" t="s">
        <v>239</v>
      </c>
      <c r="D78" s="174">
        <v>1455.0</v>
      </c>
      <c r="E78" s="18" t="s">
        <v>29</v>
      </c>
      <c r="F78" s="131" t="s">
        <v>30</v>
      </c>
      <c r="G78" s="92" t="s">
        <v>240</v>
      </c>
      <c r="H78" s="21" t="s">
        <v>31</v>
      </c>
      <c r="I78" s="21" t="s">
        <v>132</v>
      </c>
      <c r="J78" s="15">
        <v>10000.0</v>
      </c>
      <c r="K78" s="100">
        <v>750.0</v>
      </c>
      <c r="L78" s="23">
        <v>46112.0</v>
      </c>
      <c r="M78" s="23">
        <v>46118.0</v>
      </c>
      <c r="N78" s="133"/>
      <c r="O78" s="25" t="s">
        <v>34</v>
      </c>
      <c r="P78" s="93"/>
      <c r="Q78" s="27" t="s">
        <v>35</v>
      </c>
      <c r="R78" s="27" t="s">
        <v>133</v>
      </c>
      <c r="S78" s="29" t="s">
        <v>36</v>
      </c>
      <c r="T78" s="29" t="s">
        <v>36</v>
      </c>
      <c r="U78" s="94" t="s">
        <v>37</v>
      </c>
      <c r="V78" s="31"/>
      <c r="W78" s="32"/>
      <c r="X78" s="37"/>
      <c r="Y78" s="37"/>
      <c r="Z78" s="37"/>
      <c r="AA78" s="38"/>
      <c r="AB78" s="35"/>
      <c r="AC78" s="35"/>
      <c r="AD78" s="35"/>
      <c r="AE78" s="35"/>
      <c r="AF78" s="35"/>
      <c r="AG78" s="35"/>
      <c r="AH78" s="35"/>
      <c r="AI78" s="35"/>
      <c r="AJ78" s="35"/>
      <c r="AK78" s="35"/>
      <c r="AL78" s="35"/>
      <c r="AM78" s="36"/>
      <c r="AN78" s="36"/>
      <c r="AO78" s="36"/>
      <c r="AP78" s="36"/>
      <c r="AQ78" s="36"/>
      <c r="AR78" s="36"/>
      <c r="AS78" s="36"/>
      <c r="AT78" s="36"/>
      <c r="AU78" s="36"/>
      <c r="AV78" s="36"/>
      <c r="AW78" s="36"/>
      <c r="AX78" s="36"/>
      <c r="AY78" s="36"/>
      <c r="AZ78" s="36"/>
      <c r="BA78" s="36"/>
      <c r="BB78" s="36"/>
      <c r="BC78" s="36"/>
      <c r="BD78" s="36"/>
      <c r="BE78" s="36"/>
      <c r="BF78" s="36"/>
      <c r="BG78" s="36"/>
      <c r="BH78" s="36"/>
      <c r="BI78" s="36"/>
      <c r="BJ78" s="36"/>
      <c r="BK78" s="36"/>
      <c r="BL78" s="36"/>
      <c r="BM78" s="36"/>
      <c r="BN78" s="36"/>
    </row>
    <row r="79" ht="22.5" hidden="1" customHeight="1">
      <c r="A79" s="111" t="s">
        <v>241</v>
      </c>
      <c r="B79" s="104"/>
      <c r="C79" s="105" t="s">
        <v>242</v>
      </c>
      <c r="D79" s="182"/>
      <c r="E79" s="107" t="s">
        <v>157</v>
      </c>
      <c r="F79" s="108" t="s">
        <v>96</v>
      </c>
      <c r="G79" s="109" t="s">
        <v>243</v>
      </c>
      <c r="H79" s="110" t="s">
        <v>116</v>
      </c>
      <c r="I79" s="110" t="s">
        <v>53</v>
      </c>
      <c r="J79" s="111">
        <v>2.0</v>
      </c>
      <c r="K79" s="135"/>
      <c r="L79" s="113">
        <v>46113.0</v>
      </c>
      <c r="M79" s="113">
        <v>46115.0</v>
      </c>
      <c r="N79" s="114"/>
      <c r="O79" s="115" t="s">
        <v>34</v>
      </c>
      <c r="P79" s="116"/>
      <c r="Q79" s="167" t="s">
        <v>35</v>
      </c>
      <c r="R79" s="107" t="s">
        <v>133</v>
      </c>
      <c r="S79" s="126" t="s">
        <v>55</v>
      </c>
      <c r="T79" s="126" t="s">
        <v>100</v>
      </c>
      <c r="U79" s="118" t="s">
        <v>37</v>
      </c>
      <c r="V79" s="119"/>
      <c r="W79" s="111" t="s">
        <v>244</v>
      </c>
      <c r="X79" s="130" t="s">
        <v>245</v>
      </c>
      <c r="Y79" s="121"/>
      <c r="Z79" s="121"/>
      <c r="AA79" s="121"/>
      <c r="AB79" s="122"/>
      <c r="AC79" s="122"/>
      <c r="AD79" s="122"/>
      <c r="AE79" s="122"/>
      <c r="AF79" s="122"/>
      <c r="AG79" s="122"/>
      <c r="AH79" s="122"/>
      <c r="AI79" s="122"/>
      <c r="AJ79" s="122"/>
      <c r="AK79" s="122"/>
      <c r="AL79" s="122"/>
    </row>
    <row r="80" ht="22.5" hidden="1" customHeight="1">
      <c r="A80" s="111" t="s">
        <v>241</v>
      </c>
      <c r="B80" s="104"/>
      <c r="C80" s="105" t="s">
        <v>246</v>
      </c>
      <c r="D80" s="182"/>
      <c r="E80" s="107" t="s">
        <v>157</v>
      </c>
      <c r="F80" s="108" t="s">
        <v>96</v>
      </c>
      <c r="G80" s="109" t="s">
        <v>247</v>
      </c>
      <c r="H80" s="110" t="s">
        <v>116</v>
      </c>
      <c r="I80" s="110" t="s">
        <v>53</v>
      </c>
      <c r="J80" s="111">
        <v>3.0</v>
      </c>
      <c r="K80" s="135"/>
      <c r="L80" s="113">
        <v>46113.0</v>
      </c>
      <c r="M80" s="113">
        <v>46115.0</v>
      </c>
      <c r="N80" s="114"/>
      <c r="O80" s="115" t="s">
        <v>34</v>
      </c>
      <c r="P80" s="116"/>
      <c r="Q80" s="167" t="s">
        <v>35</v>
      </c>
      <c r="R80" s="107" t="s">
        <v>133</v>
      </c>
      <c r="S80" s="126" t="s">
        <v>55</v>
      </c>
      <c r="T80" s="126" t="s">
        <v>100</v>
      </c>
      <c r="U80" s="118" t="s">
        <v>37</v>
      </c>
      <c r="V80" s="119"/>
      <c r="W80" s="111" t="s">
        <v>244</v>
      </c>
      <c r="X80" s="130" t="s">
        <v>245</v>
      </c>
      <c r="Y80" s="121"/>
      <c r="Z80" s="121"/>
      <c r="AA80" s="121"/>
      <c r="AB80" s="122"/>
      <c r="AC80" s="122"/>
      <c r="AD80" s="122"/>
      <c r="AE80" s="122"/>
      <c r="AF80" s="122"/>
      <c r="AG80" s="122"/>
      <c r="AH80" s="122"/>
      <c r="AI80" s="122"/>
      <c r="AJ80" s="122"/>
      <c r="AK80" s="122"/>
      <c r="AL80" s="122"/>
    </row>
    <row r="81" ht="22.5" hidden="1" customHeight="1">
      <c r="A81" s="103" t="s">
        <v>155</v>
      </c>
      <c r="B81" s="104"/>
      <c r="C81" s="105" t="s">
        <v>248</v>
      </c>
      <c r="D81" s="106" t="s">
        <v>249</v>
      </c>
      <c r="E81" s="107" t="s">
        <v>157</v>
      </c>
      <c r="F81" s="108" t="s">
        <v>68</v>
      </c>
      <c r="G81" s="109" t="s">
        <v>250</v>
      </c>
      <c r="H81" s="110" t="s">
        <v>31</v>
      </c>
      <c r="I81" s="110" t="s">
        <v>98</v>
      </c>
      <c r="J81" s="111" t="s">
        <v>251</v>
      </c>
      <c r="K81" s="112">
        <v>2366.0</v>
      </c>
      <c r="L81" s="113">
        <v>46114.0</v>
      </c>
      <c r="M81" s="113">
        <v>46119.0</v>
      </c>
      <c r="N81" s="114"/>
      <c r="O81" s="115" t="s">
        <v>70</v>
      </c>
      <c r="P81" s="116"/>
      <c r="Q81" s="107" t="s">
        <v>144</v>
      </c>
      <c r="R81" s="107" t="s">
        <v>133</v>
      </c>
      <c r="S81" s="115" t="s">
        <v>35</v>
      </c>
      <c r="T81" s="115" t="s">
        <v>36</v>
      </c>
      <c r="U81" s="118" t="s">
        <v>37</v>
      </c>
      <c r="V81" s="119"/>
      <c r="W81" s="111" t="s">
        <v>159</v>
      </c>
      <c r="X81" s="164" t="s">
        <v>160</v>
      </c>
      <c r="Y81" s="120"/>
      <c r="Z81" s="121"/>
      <c r="AA81" s="121"/>
      <c r="AB81" s="122"/>
      <c r="AC81" s="122"/>
      <c r="AD81" s="122"/>
      <c r="AE81" s="122"/>
      <c r="AF81" s="122"/>
      <c r="AG81" s="122"/>
      <c r="AH81" s="122"/>
      <c r="AI81" s="122"/>
      <c r="AJ81" s="122"/>
      <c r="AK81" s="122"/>
      <c r="AL81" s="122"/>
    </row>
    <row r="82" ht="22.5" hidden="1" customHeight="1">
      <c r="A82" s="111" t="s">
        <v>252</v>
      </c>
      <c r="B82" s="104"/>
      <c r="C82" s="105" t="s">
        <v>253</v>
      </c>
      <c r="D82" s="106" t="s">
        <v>254</v>
      </c>
      <c r="E82" s="107" t="s">
        <v>157</v>
      </c>
      <c r="F82" s="108" t="s">
        <v>30</v>
      </c>
      <c r="G82" s="109" t="s">
        <v>255</v>
      </c>
      <c r="H82" s="110" t="s">
        <v>52</v>
      </c>
      <c r="I82" s="110" t="s">
        <v>53</v>
      </c>
      <c r="J82" s="111">
        <v>13000.0</v>
      </c>
      <c r="K82" s="112">
        <v>294.0</v>
      </c>
      <c r="L82" s="113">
        <v>46114.0</v>
      </c>
      <c r="M82" s="113">
        <v>46118.0</v>
      </c>
      <c r="N82" s="114"/>
      <c r="O82" s="115" t="s">
        <v>99</v>
      </c>
      <c r="P82" s="116"/>
      <c r="Q82" s="107" t="s">
        <v>35</v>
      </c>
      <c r="R82" s="107" t="s">
        <v>133</v>
      </c>
      <c r="S82" s="115" t="s">
        <v>55</v>
      </c>
      <c r="T82" s="115" t="s">
        <v>36</v>
      </c>
      <c r="U82" s="118" t="s">
        <v>37</v>
      </c>
      <c r="V82" s="119"/>
      <c r="W82" s="111" t="s">
        <v>256</v>
      </c>
      <c r="X82" s="130" t="s">
        <v>257</v>
      </c>
      <c r="Y82" s="121"/>
      <c r="Z82" s="121"/>
      <c r="AA82" s="121"/>
      <c r="AB82" s="122"/>
      <c r="AC82" s="122"/>
      <c r="AD82" s="122"/>
      <c r="AE82" s="122"/>
      <c r="AF82" s="122"/>
      <c r="AG82" s="122"/>
      <c r="AH82" s="122"/>
      <c r="AI82" s="122"/>
      <c r="AJ82" s="122"/>
      <c r="AK82" s="122"/>
      <c r="AL82" s="122"/>
    </row>
    <row r="83" ht="22.5" hidden="1" customHeight="1">
      <c r="A83" s="103" t="s">
        <v>258</v>
      </c>
      <c r="B83" s="104"/>
      <c r="C83" s="124" t="s">
        <v>259</v>
      </c>
      <c r="D83" s="106">
        <v>1449.0</v>
      </c>
      <c r="E83" s="107" t="s">
        <v>164</v>
      </c>
      <c r="F83" s="108" t="s">
        <v>30</v>
      </c>
      <c r="G83" s="109" t="s">
        <v>260</v>
      </c>
      <c r="H83" s="110" t="s">
        <v>31</v>
      </c>
      <c r="I83" s="110" t="s">
        <v>261</v>
      </c>
      <c r="J83" s="111">
        <v>100000.0</v>
      </c>
      <c r="K83" s="112">
        <v>2561.0</v>
      </c>
      <c r="L83" s="113">
        <v>46115.0</v>
      </c>
      <c r="M83" s="113">
        <v>46121.0</v>
      </c>
      <c r="N83" s="114"/>
      <c r="O83" s="115" t="s">
        <v>99</v>
      </c>
      <c r="P83" s="116"/>
      <c r="Q83" s="167" t="s">
        <v>35</v>
      </c>
      <c r="R83" s="167" t="s">
        <v>133</v>
      </c>
      <c r="S83" s="126" t="s">
        <v>36</v>
      </c>
      <c r="T83" s="126" t="s">
        <v>36</v>
      </c>
      <c r="U83" s="127" t="s">
        <v>37</v>
      </c>
      <c r="V83" s="128"/>
      <c r="W83" s="129" t="s">
        <v>262</v>
      </c>
      <c r="X83" s="183" t="s">
        <v>263</v>
      </c>
      <c r="Y83" s="130" t="s">
        <v>190</v>
      </c>
      <c r="Z83" s="130" t="s">
        <v>191</v>
      </c>
      <c r="AA83" s="170"/>
      <c r="AB83" s="184"/>
      <c r="AC83" s="184"/>
      <c r="AD83" s="184"/>
      <c r="AE83" s="184"/>
      <c r="AF83" s="184"/>
      <c r="AG83" s="184"/>
      <c r="AH83" s="184"/>
      <c r="AI83" s="184"/>
      <c r="AJ83" s="184"/>
      <c r="AK83" s="184"/>
      <c r="AL83" s="184"/>
      <c r="AM83" s="185"/>
      <c r="AN83" s="185"/>
      <c r="AO83" s="185"/>
      <c r="AP83" s="185"/>
      <c r="AQ83" s="185"/>
      <c r="AR83" s="185"/>
      <c r="AS83" s="185"/>
      <c r="AT83" s="185"/>
      <c r="AU83" s="185"/>
      <c r="AV83" s="185"/>
      <c r="AW83" s="185"/>
      <c r="AX83" s="185"/>
      <c r="AY83" s="185"/>
      <c r="AZ83" s="185"/>
      <c r="BA83" s="185"/>
      <c r="BB83" s="185"/>
      <c r="BC83" s="185"/>
      <c r="BD83" s="185"/>
      <c r="BE83" s="185"/>
      <c r="BF83" s="185"/>
      <c r="BG83" s="185"/>
      <c r="BH83" s="185"/>
      <c r="BI83" s="185"/>
      <c r="BJ83" s="185"/>
      <c r="BK83" s="185"/>
      <c r="BL83" s="185"/>
      <c r="BM83" s="185"/>
      <c r="BN83" s="185"/>
    </row>
    <row r="84" ht="22.5" hidden="1" customHeight="1">
      <c r="A84" s="181" t="s">
        <v>27</v>
      </c>
      <c r="B84" s="132"/>
      <c r="C84" s="16" t="s">
        <v>264</v>
      </c>
      <c r="D84" s="174">
        <v>1501.0</v>
      </c>
      <c r="E84" s="18" t="s">
        <v>29</v>
      </c>
      <c r="F84" s="131" t="s">
        <v>30</v>
      </c>
      <c r="G84" s="92" t="s">
        <v>265</v>
      </c>
      <c r="H84" s="21" t="s">
        <v>31</v>
      </c>
      <c r="I84" s="21" t="s">
        <v>132</v>
      </c>
      <c r="J84" s="15">
        <v>20000.0</v>
      </c>
      <c r="K84" s="100">
        <v>873.0</v>
      </c>
      <c r="L84" s="23">
        <v>46115.0</v>
      </c>
      <c r="M84" s="23">
        <v>46121.0</v>
      </c>
      <c r="N84" s="133"/>
      <c r="O84" s="25" t="s">
        <v>34</v>
      </c>
      <c r="P84" s="93"/>
      <c r="Q84" s="27" t="s">
        <v>35</v>
      </c>
      <c r="R84" s="27" t="s">
        <v>133</v>
      </c>
      <c r="S84" s="29" t="s">
        <v>35</v>
      </c>
      <c r="T84" s="29" t="s">
        <v>36</v>
      </c>
      <c r="U84" s="94" t="s">
        <v>37</v>
      </c>
      <c r="V84" s="31"/>
      <c r="W84" s="32"/>
      <c r="X84" s="37"/>
      <c r="Y84" s="37"/>
      <c r="Z84" s="37"/>
      <c r="AA84" s="38"/>
      <c r="AB84" s="35"/>
      <c r="AC84" s="35"/>
      <c r="AD84" s="35"/>
      <c r="AE84" s="35"/>
      <c r="AF84" s="35"/>
      <c r="AG84" s="35"/>
      <c r="AH84" s="35"/>
      <c r="AI84" s="35"/>
      <c r="AJ84" s="35"/>
      <c r="AK84" s="35"/>
      <c r="AL84" s="35"/>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row>
    <row r="85" ht="22.5" hidden="1" customHeight="1">
      <c r="A85" s="173" t="s">
        <v>213</v>
      </c>
      <c r="B85" s="132"/>
      <c r="C85" s="186" t="s">
        <v>266</v>
      </c>
      <c r="D85" s="174">
        <v>1485.0</v>
      </c>
      <c r="E85" s="18" t="s">
        <v>29</v>
      </c>
      <c r="F85" s="131" t="s">
        <v>30</v>
      </c>
      <c r="G85" s="92" t="s">
        <v>267</v>
      </c>
      <c r="H85" s="21" t="s">
        <v>31</v>
      </c>
      <c r="I85" s="21" t="s">
        <v>98</v>
      </c>
      <c r="J85" s="15">
        <v>100000.0</v>
      </c>
      <c r="K85" s="100">
        <v>5275.0</v>
      </c>
      <c r="L85" s="23">
        <v>46118.0</v>
      </c>
      <c r="M85" s="23">
        <v>46122.0</v>
      </c>
      <c r="N85" s="133"/>
      <c r="O85" s="25" t="s">
        <v>70</v>
      </c>
      <c r="P85" s="93"/>
      <c r="Q85" s="27" t="s">
        <v>35</v>
      </c>
      <c r="R85" s="27" t="s">
        <v>215</v>
      </c>
      <c r="S85" s="29" t="s">
        <v>36</v>
      </c>
      <c r="T85" s="29" t="s">
        <v>36</v>
      </c>
      <c r="U85" s="94" t="s">
        <v>37</v>
      </c>
      <c r="V85" s="31"/>
      <c r="W85" s="32" t="s">
        <v>268</v>
      </c>
      <c r="X85" s="187" t="s">
        <v>269</v>
      </c>
      <c r="Y85" s="37"/>
      <c r="Z85" s="37"/>
      <c r="AA85" s="38"/>
      <c r="AB85" s="35"/>
      <c r="AC85" s="35"/>
      <c r="AD85" s="35"/>
      <c r="AE85" s="35"/>
      <c r="AF85" s="35"/>
      <c r="AG85" s="35"/>
      <c r="AH85" s="35"/>
      <c r="AI85" s="35"/>
      <c r="AJ85" s="35"/>
      <c r="AK85" s="35"/>
      <c r="AL85" s="35"/>
      <c r="AM85" s="36"/>
      <c r="AN85" s="36"/>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row>
    <row r="86" ht="22.5" hidden="1" customHeight="1">
      <c r="A86" s="173" t="s">
        <v>270</v>
      </c>
      <c r="B86" s="132"/>
      <c r="C86" s="16" t="s">
        <v>271</v>
      </c>
      <c r="D86" s="174" t="s">
        <v>272</v>
      </c>
      <c r="E86" s="18" t="s">
        <v>29</v>
      </c>
      <c r="F86" s="131" t="s">
        <v>30</v>
      </c>
      <c r="G86" s="92" t="s">
        <v>273</v>
      </c>
      <c r="H86" s="21" t="s">
        <v>52</v>
      </c>
      <c r="I86" s="21" t="s">
        <v>274</v>
      </c>
      <c r="J86" s="15">
        <v>30050.0</v>
      </c>
      <c r="K86" s="100">
        <v>1635.0</v>
      </c>
      <c r="L86" s="23">
        <v>46119.0</v>
      </c>
      <c r="M86" s="23">
        <v>46125.0</v>
      </c>
      <c r="N86" s="133"/>
      <c r="O86" s="25" t="s">
        <v>99</v>
      </c>
      <c r="P86" s="93"/>
      <c r="Q86" s="27" t="s">
        <v>35</v>
      </c>
      <c r="R86" s="27" t="s">
        <v>133</v>
      </c>
      <c r="S86" s="29" t="s">
        <v>36</v>
      </c>
      <c r="T86" s="29" t="s">
        <v>36</v>
      </c>
      <c r="U86" s="94" t="s">
        <v>37</v>
      </c>
      <c r="V86" s="31"/>
      <c r="W86" s="32" t="s">
        <v>275</v>
      </c>
      <c r="X86" s="175"/>
      <c r="Y86" s="37"/>
      <c r="Z86" s="37"/>
      <c r="AA86" s="38"/>
      <c r="AB86" s="35"/>
      <c r="AC86" s="35"/>
      <c r="AD86" s="35"/>
      <c r="AE86" s="35"/>
      <c r="AF86" s="35"/>
      <c r="AG86" s="35"/>
      <c r="AH86" s="35"/>
      <c r="AI86" s="35"/>
      <c r="AJ86" s="35"/>
      <c r="AK86" s="35"/>
      <c r="AL86" s="35"/>
      <c r="AM86" s="36"/>
      <c r="AN86" s="36"/>
      <c r="AO86" s="36"/>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row>
    <row r="87" ht="22.5" hidden="1" customHeight="1">
      <c r="A87" s="103" t="s">
        <v>276</v>
      </c>
      <c r="B87" s="104"/>
      <c r="C87" s="188" t="s">
        <v>277</v>
      </c>
      <c r="D87" s="106">
        <v>1527.0</v>
      </c>
      <c r="E87" s="107" t="s">
        <v>164</v>
      </c>
      <c r="F87" s="108" t="s">
        <v>30</v>
      </c>
      <c r="G87" s="109" t="s">
        <v>278</v>
      </c>
      <c r="H87" s="110" t="s">
        <v>31</v>
      </c>
      <c r="I87" s="110" t="s">
        <v>98</v>
      </c>
      <c r="J87" s="111">
        <v>8000.0</v>
      </c>
      <c r="K87" s="112">
        <v>825.0</v>
      </c>
      <c r="L87" s="113">
        <v>46121.0</v>
      </c>
      <c r="M87" s="113">
        <v>46132.0</v>
      </c>
      <c r="N87" s="114"/>
      <c r="O87" s="115" t="s">
        <v>54</v>
      </c>
      <c r="P87" s="116"/>
      <c r="Q87" s="167" t="s">
        <v>35</v>
      </c>
      <c r="R87" s="167" t="s">
        <v>133</v>
      </c>
      <c r="S87" s="126" t="s">
        <v>36</v>
      </c>
      <c r="T87" s="126" t="s">
        <v>36</v>
      </c>
      <c r="U87" s="127" t="s">
        <v>37</v>
      </c>
      <c r="V87" s="128"/>
      <c r="W87" s="129" t="s">
        <v>279</v>
      </c>
      <c r="X87" s="189" t="s">
        <v>280</v>
      </c>
      <c r="Y87" s="130" t="s">
        <v>190</v>
      </c>
      <c r="Z87" s="121"/>
      <c r="AA87" s="121"/>
      <c r="AB87" s="122"/>
      <c r="AC87" s="122"/>
      <c r="AD87" s="122"/>
      <c r="AE87" s="122"/>
      <c r="AF87" s="122"/>
      <c r="AG87" s="122"/>
      <c r="AH87" s="122"/>
      <c r="AI87" s="122"/>
      <c r="AJ87" s="122"/>
      <c r="AK87" s="122"/>
      <c r="AL87" s="122"/>
    </row>
    <row r="88" ht="22.5" hidden="1" customHeight="1">
      <c r="A88" s="103" t="s">
        <v>281</v>
      </c>
      <c r="B88" s="104"/>
      <c r="C88" s="105" t="s">
        <v>282</v>
      </c>
      <c r="D88" s="190"/>
      <c r="E88" s="107" t="s">
        <v>95</v>
      </c>
      <c r="F88" s="108" t="s">
        <v>96</v>
      </c>
      <c r="G88" s="191"/>
      <c r="H88" s="110" t="s">
        <v>116</v>
      </c>
      <c r="I88" s="179"/>
      <c r="J88" s="111">
        <v>20.0</v>
      </c>
      <c r="K88" s="135"/>
      <c r="L88" s="113">
        <v>46121.0</v>
      </c>
      <c r="M88" s="113">
        <v>46125.0</v>
      </c>
      <c r="N88" s="114"/>
      <c r="O88" s="115" t="s">
        <v>34</v>
      </c>
      <c r="P88" s="116"/>
      <c r="Q88" s="107" t="s">
        <v>144</v>
      </c>
      <c r="R88" s="107" t="s">
        <v>215</v>
      </c>
      <c r="S88" s="115" t="s">
        <v>35</v>
      </c>
      <c r="T88" s="115" t="s">
        <v>100</v>
      </c>
      <c r="U88" s="118" t="s">
        <v>37</v>
      </c>
      <c r="V88" s="119"/>
      <c r="W88" s="111" t="s">
        <v>283</v>
      </c>
      <c r="X88" s="120"/>
      <c r="Y88" s="120"/>
      <c r="Z88" s="121"/>
      <c r="AA88" s="121"/>
      <c r="AB88" s="122"/>
      <c r="AC88" s="122"/>
      <c r="AD88" s="122"/>
      <c r="AE88" s="122"/>
      <c r="AF88" s="122"/>
      <c r="AG88" s="122"/>
      <c r="AH88" s="122"/>
      <c r="AI88" s="122"/>
      <c r="AJ88" s="122"/>
      <c r="AK88" s="122"/>
      <c r="AL88" s="122"/>
    </row>
    <row r="89" ht="22.5" hidden="1" customHeight="1">
      <c r="A89" s="103" t="s">
        <v>284</v>
      </c>
      <c r="B89" s="104"/>
      <c r="C89" s="105" t="s">
        <v>285</v>
      </c>
      <c r="D89" s="106">
        <v>1606.0</v>
      </c>
      <c r="E89" s="107" t="s">
        <v>95</v>
      </c>
      <c r="F89" s="108" t="s">
        <v>30</v>
      </c>
      <c r="G89" s="109" t="s">
        <v>286</v>
      </c>
      <c r="H89" s="179"/>
      <c r="I89" s="179"/>
      <c r="J89" s="111">
        <v>50400.0</v>
      </c>
      <c r="K89" s="112">
        <v>12787.0</v>
      </c>
      <c r="L89" s="113">
        <v>46121.0</v>
      </c>
      <c r="M89" s="113">
        <v>46129.0</v>
      </c>
      <c r="N89" s="114"/>
      <c r="O89" s="115" t="s">
        <v>99</v>
      </c>
      <c r="P89" s="116"/>
      <c r="Q89" s="107" t="s">
        <v>35</v>
      </c>
      <c r="R89" s="107" t="s">
        <v>133</v>
      </c>
      <c r="S89" s="115" t="s">
        <v>36</v>
      </c>
      <c r="T89" s="115" t="s">
        <v>36</v>
      </c>
      <c r="U89" s="118" t="s">
        <v>37</v>
      </c>
      <c r="V89" s="119"/>
      <c r="W89" s="111" t="s">
        <v>287</v>
      </c>
      <c r="X89" s="164" t="s">
        <v>288</v>
      </c>
      <c r="Y89" s="164" t="s">
        <v>289</v>
      </c>
      <c r="Z89" s="121"/>
      <c r="AA89" s="121"/>
      <c r="AB89" s="122"/>
      <c r="AC89" s="122"/>
      <c r="AD89" s="122"/>
      <c r="AE89" s="122"/>
      <c r="AF89" s="122"/>
      <c r="AG89" s="122"/>
      <c r="AH89" s="122"/>
      <c r="AI89" s="122"/>
      <c r="AJ89" s="122"/>
      <c r="AK89" s="122"/>
      <c r="AL89" s="122"/>
    </row>
    <row r="90" ht="22.5" hidden="1" customHeight="1">
      <c r="A90" s="103" t="s">
        <v>284</v>
      </c>
      <c r="B90" s="104"/>
      <c r="C90" s="105" t="s">
        <v>290</v>
      </c>
      <c r="D90" s="106">
        <v>1607.0</v>
      </c>
      <c r="E90" s="107" t="s">
        <v>95</v>
      </c>
      <c r="F90" s="108" t="s">
        <v>72</v>
      </c>
      <c r="G90" s="109" t="s">
        <v>291</v>
      </c>
      <c r="H90" s="179"/>
      <c r="I90" s="179"/>
      <c r="J90" s="111">
        <v>7500.0</v>
      </c>
      <c r="K90" s="112">
        <v>344.0</v>
      </c>
      <c r="L90" s="113">
        <v>46121.0</v>
      </c>
      <c r="M90" s="113">
        <v>46129.0</v>
      </c>
      <c r="N90" s="114"/>
      <c r="O90" s="115" t="s">
        <v>99</v>
      </c>
      <c r="P90" s="116"/>
      <c r="Q90" s="107" t="s">
        <v>35</v>
      </c>
      <c r="R90" s="107" t="s">
        <v>133</v>
      </c>
      <c r="S90" s="115" t="s">
        <v>36</v>
      </c>
      <c r="T90" s="115" t="s">
        <v>36</v>
      </c>
      <c r="U90" s="118" t="s">
        <v>37</v>
      </c>
      <c r="V90" s="119"/>
      <c r="W90" s="111" t="s">
        <v>287</v>
      </c>
      <c r="X90" s="164" t="s">
        <v>288</v>
      </c>
      <c r="Y90" s="164" t="s">
        <v>289</v>
      </c>
      <c r="Z90" s="121"/>
      <c r="AA90" s="121"/>
      <c r="AB90" s="122"/>
      <c r="AC90" s="122"/>
      <c r="AD90" s="122"/>
      <c r="AE90" s="122"/>
      <c r="AF90" s="122"/>
      <c r="AG90" s="122"/>
      <c r="AH90" s="122"/>
      <c r="AI90" s="122"/>
      <c r="AJ90" s="122"/>
      <c r="AK90" s="122"/>
      <c r="AL90" s="122"/>
    </row>
    <row r="91" ht="22.5" hidden="1" customHeight="1">
      <c r="A91" s="103" t="s">
        <v>284</v>
      </c>
      <c r="B91" s="104"/>
      <c r="C91" s="105" t="s">
        <v>292</v>
      </c>
      <c r="D91" s="106">
        <v>1608.0</v>
      </c>
      <c r="E91" s="107" t="s">
        <v>95</v>
      </c>
      <c r="F91" s="108" t="s">
        <v>72</v>
      </c>
      <c r="G91" s="109" t="s">
        <v>291</v>
      </c>
      <c r="H91" s="179"/>
      <c r="I91" s="179"/>
      <c r="J91" s="111">
        <v>7500.0</v>
      </c>
      <c r="K91" s="112">
        <v>344.0</v>
      </c>
      <c r="L91" s="113">
        <v>46121.0</v>
      </c>
      <c r="M91" s="113">
        <v>46129.0</v>
      </c>
      <c r="N91" s="114"/>
      <c r="O91" s="115" t="s">
        <v>99</v>
      </c>
      <c r="P91" s="116"/>
      <c r="Q91" s="107" t="s">
        <v>35</v>
      </c>
      <c r="R91" s="107" t="s">
        <v>133</v>
      </c>
      <c r="S91" s="115" t="s">
        <v>36</v>
      </c>
      <c r="T91" s="115" t="s">
        <v>36</v>
      </c>
      <c r="U91" s="118" t="s">
        <v>37</v>
      </c>
      <c r="V91" s="119"/>
      <c r="W91" s="111" t="s">
        <v>287</v>
      </c>
      <c r="X91" s="164" t="s">
        <v>288</v>
      </c>
      <c r="Y91" s="164" t="s">
        <v>289</v>
      </c>
      <c r="Z91" s="121"/>
      <c r="AA91" s="121"/>
      <c r="AB91" s="122"/>
      <c r="AC91" s="122"/>
      <c r="AD91" s="122"/>
      <c r="AE91" s="122"/>
      <c r="AF91" s="122"/>
      <c r="AG91" s="122"/>
      <c r="AH91" s="122"/>
      <c r="AI91" s="122"/>
      <c r="AJ91" s="122"/>
      <c r="AK91" s="122"/>
      <c r="AL91" s="122"/>
    </row>
    <row r="92" ht="22.5" hidden="1" customHeight="1">
      <c r="A92" s="103" t="s">
        <v>284</v>
      </c>
      <c r="B92" s="104"/>
      <c r="C92" s="105" t="s">
        <v>293</v>
      </c>
      <c r="D92" s="106">
        <v>1610.0</v>
      </c>
      <c r="E92" s="107" t="s">
        <v>95</v>
      </c>
      <c r="F92" s="108" t="s">
        <v>72</v>
      </c>
      <c r="G92" s="109" t="s">
        <v>291</v>
      </c>
      <c r="H92" s="179"/>
      <c r="I92" s="179"/>
      <c r="J92" s="111">
        <v>10000.0</v>
      </c>
      <c r="K92" s="112">
        <v>420.0</v>
      </c>
      <c r="L92" s="113">
        <v>46121.0</v>
      </c>
      <c r="M92" s="113">
        <v>46129.0</v>
      </c>
      <c r="N92" s="114"/>
      <c r="O92" s="115" t="s">
        <v>99</v>
      </c>
      <c r="P92" s="116"/>
      <c r="Q92" s="107" t="s">
        <v>35</v>
      </c>
      <c r="R92" s="107" t="s">
        <v>133</v>
      </c>
      <c r="S92" s="115" t="s">
        <v>36</v>
      </c>
      <c r="T92" s="115" t="s">
        <v>36</v>
      </c>
      <c r="U92" s="118" t="s">
        <v>37</v>
      </c>
      <c r="V92" s="119"/>
      <c r="W92" s="111" t="s">
        <v>287</v>
      </c>
      <c r="X92" s="164" t="s">
        <v>288</v>
      </c>
      <c r="Y92" s="164" t="s">
        <v>289</v>
      </c>
      <c r="Z92" s="121"/>
      <c r="AA92" s="121"/>
      <c r="AB92" s="122"/>
      <c r="AC92" s="122"/>
      <c r="AD92" s="122"/>
      <c r="AE92" s="122"/>
      <c r="AF92" s="122"/>
      <c r="AG92" s="122"/>
      <c r="AH92" s="122"/>
      <c r="AI92" s="122"/>
      <c r="AJ92" s="122"/>
      <c r="AK92" s="122"/>
      <c r="AL92" s="122"/>
    </row>
    <row r="93" ht="22.5" hidden="1" customHeight="1">
      <c r="A93" s="103" t="s">
        <v>284</v>
      </c>
      <c r="B93" s="104"/>
      <c r="C93" s="105" t="s">
        <v>294</v>
      </c>
      <c r="D93" s="106">
        <v>1609.0</v>
      </c>
      <c r="E93" s="107" t="s">
        <v>95</v>
      </c>
      <c r="F93" s="108" t="s">
        <v>72</v>
      </c>
      <c r="G93" s="109" t="s">
        <v>291</v>
      </c>
      <c r="H93" s="179"/>
      <c r="I93" s="179"/>
      <c r="J93" s="111">
        <v>12500.0</v>
      </c>
      <c r="K93" s="112">
        <v>496.0</v>
      </c>
      <c r="L93" s="113">
        <v>46121.0</v>
      </c>
      <c r="M93" s="113">
        <v>46129.0</v>
      </c>
      <c r="N93" s="114"/>
      <c r="O93" s="115" t="s">
        <v>99</v>
      </c>
      <c r="P93" s="116"/>
      <c r="Q93" s="107" t="s">
        <v>35</v>
      </c>
      <c r="R93" s="107" t="s">
        <v>133</v>
      </c>
      <c r="S93" s="115" t="s">
        <v>36</v>
      </c>
      <c r="T93" s="115" t="s">
        <v>36</v>
      </c>
      <c r="U93" s="118" t="s">
        <v>37</v>
      </c>
      <c r="V93" s="119"/>
      <c r="W93" s="111" t="s">
        <v>287</v>
      </c>
      <c r="X93" s="164" t="s">
        <v>288</v>
      </c>
      <c r="Y93" s="164" t="s">
        <v>289</v>
      </c>
      <c r="Z93" s="121"/>
      <c r="AA93" s="121"/>
      <c r="AB93" s="122"/>
      <c r="AC93" s="122"/>
      <c r="AD93" s="122"/>
      <c r="AE93" s="122"/>
      <c r="AF93" s="122"/>
      <c r="AG93" s="122"/>
      <c r="AH93" s="122"/>
      <c r="AI93" s="122"/>
      <c r="AJ93" s="122"/>
      <c r="AK93" s="122"/>
      <c r="AL93" s="122"/>
    </row>
    <row r="94" ht="22.5" hidden="1" customHeight="1">
      <c r="A94" s="173" t="s">
        <v>270</v>
      </c>
      <c r="B94" s="132"/>
      <c r="C94" s="16" t="s">
        <v>295</v>
      </c>
      <c r="D94" s="174">
        <v>1542.0</v>
      </c>
      <c r="E94" s="18" t="s">
        <v>29</v>
      </c>
      <c r="F94" s="131" t="s">
        <v>30</v>
      </c>
      <c r="G94" s="92" t="s">
        <v>296</v>
      </c>
      <c r="H94" s="21" t="s">
        <v>52</v>
      </c>
      <c r="I94" s="21" t="s">
        <v>274</v>
      </c>
      <c r="J94" s="15">
        <v>5000.0</v>
      </c>
      <c r="K94" s="100">
        <v>121.0</v>
      </c>
      <c r="L94" s="23">
        <v>46121.0</v>
      </c>
      <c r="M94" s="23">
        <v>46122.0</v>
      </c>
      <c r="N94" s="133"/>
      <c r="O94" s="25" t="s">
        <v>99</v>
      </c>
      <c r="P94" s="93"/>
      <c r="Q94" s="27" t="s">
        <v>35</v>
      </c>
      <c r="R94" s="27" t="s">
        <v>133</v>
      </c>
      <c r="S94" s="29" t="s">
        <v>36</v>
      </c>
      <c r="T94" s="29" t="s">
        <v>36</v>
      </c>
      <c r="U94" s="94" t="s">
        <v>37</v>
      </c>
      <c r="V94" s="31"/>
      <c r="W94" s="95"/>
      <c r="X94" s="187" t="s">
        <v>297</v>
      </c>
      <c r="Y94" s="37"/>
      <c r="Z94" s="37"/>
      <c r="AA94" s="38"/>
      <c r="AB94" s="35"/>
      <c r="AC94" s="35"/>
      <c r="AD94" s="35"/>
      <c r="AE94" s="35"/>
      <c r="AF94" s="35"/>
      <c r="AG94" s="35"/>
      <c r="AH94" s="35"/>
      <c r="AI94" s="35"/>
      <c r="AJ94" s="35"/>
      <c r="AK94" s="35"/>
      <c r="AL94" s="35"/>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row>
    <row r="95" ht="22.5" hidden="1" customHeight="1">
      <c r="A95" s="192" t="s">
        <v>153</v>
      </c>
      <c r="B95" s="193"/>
      <c r="C95" s="194" t="s">
        <v>298</v>
      </c>
      <c r="D95" s="195">
        <v>1555.0</v>
      </c>
      <c r="E95" s="73" t="s">
        <v>29</v>
      </c>
      <c r="F95" s="74" t="s">
        <v>72</v>
      </c>
      <c r="G95" s="196" t="s">
        <v>138</v>
      </c>
      <c r="H95" s="76" t="s">
        <v>31</v>
      </c>
      <c r="I95" s="76" t="s">
        <v>132</v>
      </c>
      <c r="J95" s="70">
        <v>10000.0</v>
      </c>
      <c r="K95" s="197">
        <v>689.0</v>
      </c>
      <c r="L95" s="78">
        <v>46121.0</v>
      </c>
      <c r="M95" s="78">
        <v>46127.0</v>
      </c>
      <c r="N95" s="198"/>
      <c r="O95" s="80" t="s">
        <v>34</v>
      </c>
      <c r="P95" s="199"/>
      <c r="Q95" s="200"/>
      <c r="R95" s="52" t="s">
        <v>133</v>
      </c>
      <c r="S95" s="82" t="s">
        <v>36</v>
      </c>
      <c r="T95" s="82" t="s">
        <v>36</v>
      </c>
      <c r="U95" s="201" t="s">
        <v>37</v>
      </c>
      <c r="V95" s="84"/>
      <c r="W95" s="85" t="s">
        <v>299</v>
      </c>
      <c r="X95" s="202"/>
      <c r="Y95" s="203"/>
      <c r="Z95" s="203"/>
      <c r="AA95" s="204"/>
      <c r="AB95" s="88"/>
      <c r="AC95" s="88"/>
      <c r="AD95" s="88"/>
      <c r="AE95" s="88"/>
      <c r="AF95" s="88"/>
      <c r="AG95" s="88"/>
      <c r="AH95" s="88"/>
      <c r="AI95" s="88"/>
      <c r="AJ95" s="88"/>
      <c r="AK95" s="88"/>
      <c r="AL95" s="88"/>
      <c r="AM95" s="89"/>
      <c r="AN95" s="89"/>
      <c r="AO95" s="89"/>
      <c r="AP95" s="89"/>
      <c r="AQ95" s="89"/>
      <c r="AR95" s="89"/>
      <c r="AS95" s="89"/>
      <c r="AT95" s="89"/>
      <c r="AU95" s="89"/>
      <c r="AV95" s="89"/>
      <c r="AW95" s="89"/>
      <c r="AX95" s="89"/>
      <c r="AY95" s="89"/>
      <c r="AZ95" s="89"/>
      <c r="BA95" s="89"/>
      <c r="BB95" s="89"/>
      <c r="BC95" s="89"/>
      <c r="BD95" s="89"/>
      <c r="BE95" s="89"/>
      <c r="BF95" s="89"/>
      <c r="BG95" s="89"/>
      <c r="BH95" s="89"/>
      <c r="BI95" s="89"/>
      <c r="BJ95" s="89"/>
      <c r="BK95" s="89"/>
      <c r="BL95" s="89"/>
      <c r="BM95" s="89"/>
      <c r="BN95" s="89"/>
    </row>
    <row r="96" ht="22.5" hidden="1" customHeight="1">
      <c r="A96" s="192" t="s">
        <v>27</v>
      </c>
      <c r="B96" s="193"/>
      <c r="C96" s="194" t="s">
        <v>40</v>
      </c>
      <c r="D96" s="195">
        <v>1551.0</v>
      </c>
      <c r="E96" s="73" t="s">
        <v>29</v>
      </c>
      <c r="F96" s="74" t="s">
        <v>72</v>
      </c>
      <c r="G96" s="196" t="s">
        <v>138</v>
      </c>
      <c r="H96" s="76" t="s">
        <v>31</v>
      </c>
      <c r="I96" s="76" t="s">
        <v>132</v>
      </c>
      <c r="J96" s="70">
        <v>50000.0</v>
      </c>
      <c r="K96" s="197">
        <v>2225.0</v>
      </c>
      <c r="L96" s="78">
        <v>46121.0</v>
      </c>
      <c r="M96" s="78">
        <v>46127.0</v>
      </c>
      <c r="N96" s="198"/>
      <c r="O96" s="80" t="s">
        <v>34</v>
      </c>
      <c r="P96" s="199"/>
      <c r="Q96" s="200"/>
      <c r="R96" s="52" t="s">
        <v>133</v>
      </c>
      <c r="S96" s="82" t="s">
        <v>36</v>
      </c>
      <c r="T96" s="82" t="s">
        <v>36</v>
      </c>
      <c r="U96" s="201" t="s">
        <v>37</v>
      </c>
      <c r="V96" s="84"/>
      <c r="W96" s="85"/>
      <c r="X96" s="202"/>
      <c r="Y96" s="203"/>
      <c r="Z96" s="203"/>
      <c r="AA96" s="204"/>
      <c r="AB96" s="88"/>
      <c r="AC96" s="88"/>
      <c r="AD96" s="88"/>
      <c r="AE96" s="88"/>
      <c r="AF96" s="88"/>
      <c r="AG96" s="88"/>
      <c r="AH96" s="88"/>
      <c r="AI96" s="88"/>
      <c r="AJ96" s="88"/>
      <c r="AK96" s="88"/>
      <c r="AL96" s="88"/>
      <c r="AM96" s="89"/>
      <c r="AN96" s="89"/>
      <c r="AO96" s="89"/>
      <c r="AP96" s="89"/>
      <c r="AQ96" s="89"/>
      <c r="AR96" s="89"/>
      <c r="AS96" s="89"/>
      <c r="AT96" s="89"/>
      <c r="AU96" s="89"/>
      <c r="AV96" s="89"/>
      <c r="AW96" s="89"/>
      <c r="AX96" s="89"/>
      <c r="AY96" s="89"/>
      <c r="AZ96" s="89"/>
      <c r="BA96" s="89"/>
      <c r="BB96" s="89"/>
      <c r="BC96" s="89"/>
      <c r="BD96" s="89"/>
      <c r="BE96" s="89"/>
      <c r="BF96" s="89"/>
      <c r="BG96" s="89"/>
      <c r="BH96" s="89"/>
      <c r="BI96" s="89"/>
      <c r="BJ96" s="89"/>
      <c r="BK96" s="89"/>
      <c r="BL96" s="89"/>
      <c r="BM96" s="89"/>
      <c r="BN96" s="89"/>
    </row>
    <row r="97" ht="22.5" hidden="1" customHeight="1">
      <c r="A97" s="192" t="s">
        <v>27</v>
      </c>
      <c r="B97" s="193"/>
      <c r="C97" s="194" t="s">
        <v>45</v>
      </c>
      <c r="D97" s="195">
        <v>1554.0</v>
      </c>
      <c r="E97" s="73" t="s">
        <v>29</v>
      </c>
      <c r="F97" s="74" t="s">
        <v>72</v>
      </c>
      <c r="G97" s="196" t="s">
        <v>138</v>
      </c>
      <c r="H97" s="76" t="s">
        <v>31</v>
      </c>
      <c r="I97" s="76" t="s">
        <v>132</v>
      </c>
      <c r="J97" s="70">
        <v>20000.0</v>
      </c>
      <c r="K97" s="197">
        <v>1063.0</v>
      </c>
      <c r="L97" s="78">
        <v>46121.0</v>
      </c>
      <c r="M97" s="78">
        <v>46127.0</v>
      </c>
      <c r="N97" s="198"/>
      <c r="O97" s="80" t="s">
        <v>34</v>
      </c>
      <c r="P97" s="199"/>
      <c r="Q97" s="200"/>
      <c r="R97" s="52" t="s">
        <v>133</v>
      </c>
      <c r="S97" s="82" t="s">
        <v>36</v>
      </c>
      <c r="T97" s="82" t="s">
        <v>36</v>
      </c>
      <c r="U97" s="201" t="s">
        <v>37</v>
      </c>
      <c r="V97" s="84"/>
      <c r="W97" s="85" t="s">
        <v>299</v>
      </c>
      <c r="X97" s="202"/>
      <c r="Y97" s="203"/>
      <c r="Z97" s="203"/>
      <c r="AA97" s="204"/>
      <c r="AB97" s="88"/>
      <c r="AC97" s="88"/>
      <c r="AD97" s="88"/>
      <c r="AE97" s="88"/>
      <c r="AF97" s="88"/>
      <c r="AG97" s="88"/>
      <c r="AH97" s="88"/>
      <c r="AI97" s="88"/>
      <c r="AJ97" s="88"/>
      <c r="AK97" s="88"/>
      <c r="AL97" s="88"/>
      <c r="AM97" s="89"/>
      <c r="AN97" s="89"/>
      <c r="AO97" s="89"/>
      <c r="AP97" s="89"/>
      <c r="AQ97" s="89"/>
      <c r="AR97" s="89"/>
      <c r="AS97" s="89"/>
      <c r="AT97" s="89"/>
      <c r="AU97" s="89"/>
      <c r="AV97" s="89"/>
      <c r="AW97" s="89"/>
      <c r="AX97" s="89"/>
      <c r="AY97" s="89"/>
      <c r="AZ97" s="89"/>
      <c r="BA97" s="89"/>
      <c r="BB97" s="89"/>
      <c r="BC97" s="89"/>
      <c r="BD97" s="89"/>
      <c r="BE97" s="89"/>
      <c r="BF97" s="89"/>
      <c r="BG97" s="89"/>
      <c r="BH97" s="89"/>
      <c r="BI97" s="89"/>
      <c r="BJ97" s="89"/>
      <c r="BK97" s="89"/>
      <c r="BL97" s="89"/>
      <c r="BM97" s="89"/>
      <c r="BN97" s="89"/>
    </row>
    <row r="98" ht="22.5" hidden="1" customHeight="1">
      <c r="A98" s="192" t="s">
        <v>153</v>
      </c>
      <c r="B98" s="193"/>
      <c r="C98" s="194" t="s">
        <v>71</v>
      </c>
      <c r="D98" s="195">
        <v>1544.0</v>
      </c>
      <c r="E98" s="73" t="s">
        <v>29</v>
      </c>
      <c r="F98" s="74" t="s">
        <v>72</v>
      </c>
      <c r="G98" s="196" t="s">
        <v>138</v>
      </c>
      <c r="H98" s="76" t="s">
        <v>31</v>
      </c>
      <c r="I98" s="76" t="s">
        <v>132</v>
      </c>
      <c r="J98" s="70">
        <v>400000.0</v>
      </c>
      <c r="K98" s="197">
        <v>23242.0</v>
      </c>
      <c r="L98" s="78">
        <v>46121.0</v>
      </c>
      <c r="M98" s="78">
        <v>46127.0</v>
      </c>
      <c r="N98" s="198"/>
      <c r="O98" s="80" t="s">
        <v>34</v>
      </c>
      <c r="P98" s="199"/>
      <c r="Q98" s="200"/>
      <c r="R98" s="52" t="s">
        <v>133</v>
      </c>
      <c r="S98" s="82" t="s">
        <v>36</v>
      </c>
      <c r="T98" s="82" t="s">
        <v>36</v>
      </c>
      <c r="U98" s="201" t="s">
        <v>37</v>
      </c>
      <c r="V98" s="84"/>
      <c r="W98" s="85" t="s">
        <v>300</v>
      </c>
      <c r="X98" s="202"/>
      <c r="Y98" s="203"/>
      <c r="Z98" s="203"/>
      <c r="AA98" s="204"/>
      <c r="AB98" s="88"/>
      <c r="AC98" s="88"/>
      <c r="AD98" s="88"/>
      <c r="AE98" s="88"/>
      <c r="AF98" s="88"/>
      <c r="AG98" s="88"/>
      <c r="AH98" s="88"/>
      <c r="AI98" s="88"/>
      <c r="AJ98" s="88"/>
      <c r="AK98" s="88"/>
      <c r="AL98" s="88"/>
      <c r="AM98" s="89"/>
      <c r="AN98" s="89"/>
      <c r="AO98" s="89"/>
      <c r="AP98" s="89"/>
      <c r="AQ98" s="89"/>
      <c r="AR98" s="89"/>
      <c r="AS98" s="89"/>
      <c r="AT98" s="89"/>
      <c r="AU98" s="89"/>
      <c r="AV98" s="89"/>
      <c r="AW98" s="89"/>
      <c r="AX98" s="89"/>
      <c r="AY98" s="89"/>
      <c r="AZ98" s="89"/>
      <c r="BA98" s="89"/>
      <c r="BB98" s="89"/>
      <c r="BC98" s="89"/>
      <c r="BD98" s="89"/>
      <c r="BE98" s="89"/>
      <c r="BF98" s="89"/>
      <c r="BG98" s="89"/>
      <c r="BH98" s="89"/>
      <c r="BI98" s="89"/>
      <c r="BJ98" s="89"/>
      <c r="BK98" s="89"/>
      <c r="BL98" s="89"/>
      <c r="BM98" s="89"/>
      <c r="BN98" s="89"/>
    </row>
    <row r="99" ht="22.5" hidden="1" customHeight="1">
      <c r="A99" s="192" t="s">
        <v>27</v>
      </c>
      <c r="B99" s="193"/>
      <c r="C99" s="194" t="s">
        <v>301</v>
      </c>
      <c r="D99" s="195">
        <v>1549.0</v>
      </c>
      <c r="E99" s="73" t="s">
        <v>29</v>
      </c>
      <c r="F99" s="74" t="s">
        <v>72</v>
      </c>
      <c r="G99" s="196" t="s">
        <v>302</v>
      </c>
      <c r="H99" s="76" t="s">
        <v>31</v>
      </c>
      <c r="I99" s="76" t="s">
        <v>132</v>
      </c>
      <c r="J99" s="70">
        <v>100000.0</v>
      </c>
      <c r="K99" s="197">
        <v>3742.0</v>
      </c>
      <c r="L99" s="78">
        <v>46121.0</v>
      </c>
      <c r="M99" s="78">
        <v>46127.0</v>
      </c>
      <c r="N99" s="198"/>
      <c r="O99" s="80" t="s">
        <v>34</v>
      </c>
      <c r="P99" s="199"/>
      <c r="Q99" s="200"/>
      <c r="R99" s="52" t="s">
        <v>133</v>
      </c>
      <c r="S99" s="82" t="s">
        <v>36</v>
      </c>
      <c r="T99" s="82" t="s">
        <v>36</v>
      </c>
      <c r="U99" s="201" t="s">
        <v>37</v>
      </c>
      <c r="V99" s="84"/>
      <c r="W99" s="85"/>
      <c r="X99" s="202"/>
      <c r="Y99" s="203"/>
      <c r="Z99" s="203"/>
      <c r="AA99" s="204"/>
      <c r="AB99" s="88"/>
      <c r="AC99" s="88"/>
      <c r="AD99" s="88"/>
      <c r="AE99" s="88"/>
      <c r="AF99" s="88"/>
      <c r="AG99" s="88"/>
      <c r="AH99" s="88"/>
      <c r="AI99" s="88"/>
      <c r="AJ99" s="88"/>
      <c r="AK99" s="88"/>
      <c r="AL99" s="88"/>
      <c r="AM99" s="89"/>
      <c r="AN99" s="89"/>
      <c r="AO99" s="89"/>
      <c r="AP99" s="89"/>
      <c r="AQ99" s="89"/>
      <c r="AR99" s="89"/>
      <c r="AS99" s="89"/>
      <c r="AT99" s="89"/>
      <c r="AU99" s="89"/>
      <c r="AV99" s="89"/>
      <c r="AW99" s="89"/>
      <c r="AX99" s="89"/>
      <c r="AY99" s="89"/>
      <c r="AZ99" s="89"/>
      <c r="BA99" s="89"/>
      <c r="BB99" s="89"/>
      <c r="BC99" s="89"/>
      <c r="BD99" s="89"/>
      <c r="BE99" s="89"/>
      <c r="BF99" s="89"/>
      <c r="BG99" s="89"/>
      <c r="BH99" s="89"/>
      <c r="BI99" s="89"/>
      <c r="BJ99" s="89"/>
      <c r="BK99" s="89"/>
      <c r="BL99" s="89"/>
      <c r="BM99" s="89"/>
      <c r="BN99" s="89"/>
    </row>
    <row r="100" ht="22.5" hidden="1" customHeight="1">
      <c r="A100" s="192" t="s">
        <v>27</v>
      </c>
      <c r="B100" s="193"/>
      <c r="C100" s="194" t="s">
        <v>80</v>
      </c>
      <c r="D100" s="195">
        <v>1550.0</v>
      </c>
      <c r="E100" s="73" t="s">
        <v>29</v>
      </c>
      <c r="F100" s="74" t="s">
        <v>72</v>
      </c>
      <c r="G100" s="196" t="s">
        <v>81</v>
      </c>
      <c r="H100" s="76" t="s">
        <v>31</v>
      </c>
      <c r="I100" s="76" t="s">
        <v>132</v>
      </c>
      <c r="J100" s="70">
        <v>50000.0</v>
      </c>
      <c r="K100" s="197">
        <v>4999.0</v>
      </c>
      <c r="L100" s="78">
        <v>46121.0</v>
      </c>
      <c r="M100" s="78">
        <v>46127.0</v>
      </c>
      <c r="N100" s="198"/>
      <c r="O100" s="80" t="s">
        <v>34</v>
      </c>
      <c r="P100" s="199"/>
      <c r="Q100" s="200"/>
      <c r="R100" s="52" t="s">
        <v>133</v>
      </c>
      <c r="S100" s="82" t="s">
        <v>36</v>
      </c>
      <c r="T100" s="82" t="s">
        <v>36</v>
      </c>
      <c r="U100" s="201" t="s">
        <v>37</v>
      </c>
      <c r="V100" s="84"/>
      <c r="W100" s="85" t="s">
        <v>303</v>
      </c>
      <c r="X100" s="202"/>
      <c r="Y100" s="203"/>
      <c r="Z100" s="203"/>
      <c r="AA100" s="204"/>
      <c r="AB100" s="88"/>
      <c r="AC100" s="88"/>
      <c r="AD100" s="88"/>
      <c r="AE100" s="88"/>
      <c r="AF100" s="88"/>
      <c r="AG100" s="88"/>
      <c r="AH100" s="88"/>
      <c r="AI100" s="88"/>
      <c r="AJ100" s="88"/>
      <c r="AK100" s="88"/>
      <c r="AL100" s="88"/>
      <c r="AM100" s="89"/>
      <c r="AN100" s="89"/>
      <c r="AO100" s="89"/>
      <c r="AP100" s="89"/>
      <c r="AQ100" s="89"/>
      <c r="AR100" s="89"/>
      <c r="AS100" s="89"/>
      <c r="AT100" s="89"/>
      <c r="AU100" s="89"/>
      <c r="AV100" s="89"/>
      <c r="AW100" s="89"/>
      <c r="AX100" s="89"/>
      <c r="AY100" s="89"/>
      <c r="AZ100" s="89"/>
      <c r="BA100" s="89"/>
      <c r="BB100" s="89"/>
      <c r="BC100" s="89"/>
      <c r="BD100" s="89"/>
      <c r="BE100" s="89"/>
      <c r="BF100" s="89"/>
      <c r="BG100" s="89"/>
      <c r="BH100" s="89"/>
      <c r="BI100" s="89"/>
      <c r="BJ100" s="89"/>
      <c r="BK100" s="89"/>
      <c r="BL100" s="89"/>
      <c r="BM100" s="89"/>
      <c r="BN100" s="89"/>
    </row>
    <row r="101" ht="22.5" hidden="1" customHeight="1">
      <c r="A101" s="192" t="s">
        <v>27</v>
      </c>
      <c r="B101" s="193"/>
      <c r="C101" s="194" t="s">
        <v>304</v>
      </c>
      <c r="D101" s="195">
        <v>1567.0</v>
      </c>
      <c r="E101" s="73" t="s">
        <v>29</v>
      </c>
      <c r="F101" s="74" t="s">
        <v>30</v>
      </c>
      <c r="G101" s="196" t="s">
        <v>138</v>
      </c>
      <c r="H101" s="76" t="s">
        <v>31</v>
      </c>
      <c r="I101" s="76" t="s">
        <v>132</v>
      </c>
      <c r="J101" s="70">
        <v>100000.0</v>
      </c>
      <c r="K101" s="197">
        <v>4184.0</v>
      </c>
      <c r="L101" s="78">
        <v>46121.0</v>
      </c>
      <c r="M101" s="78">
        <v>46127.0</v>
      </c>
      <c r="N101" s="198"/>
      <c r="O101" s="80" t="s">
        <v>34</v>
      </c>
      <c r="P101" s="199"/>
      <c r="Q101" s="200"/>
      <c r="R101" s="52" t="s">
        <v>133</v>
      </c>
      <c r="S101" s="82" t="s">
        <v>36</v>
      </c>
      <c r="T101" s="82" t="s">
        <v>36</v>
      </c>
      <c r="U101" s="201" t="s">
        <v>37</v>
      </c>
      <c r="V101" s="84"/>
      <c r="W101" s="85" t="s">
        <v>303</v>
      </c>
      <c r="X101" s="202"/>
      <c r="Y101" s="203"/>
      <c r="Z101" s="203"/>
      <c r="AA101" s="204"/>
      <c r="AB101" s="88"/>
      <c r="AC101" s="88"/>
      <c r="AD101" s="88"/>
      <c r="AE101" s="88"/>
      <c r="AF101" s="88"/>
      <c r="AG101" s="88"/>
      <c r="AH101" s="88"/>
      <c r="AI101" s="88"/>
      <c r="AJ101" s="88"/>
      <c r="AK101" s="88"/>
      <c r="AL101" s="88"/>
      <c r="AM101" s="89"/>
      <c r="AN101" s="89"/>
      <c r="AO101" s="89"/>
      <c r="AP101" s="89"/>
      <c r="AQ101" s="89"/>
      <c r="AR101" s="89"/>
      <c r="AS101" s="89"/>
      <c r="AT101" s="89"/>
      <c r="AU101" s="89"/>
      <c r="AV101" s="89"/>
      <c r="AW101" s="89"/>
      <c r="AX101" s="89"/>
      <c r="AY101" s="89"/>
      <c r="AZ101" s="89"/>
      <c r="BA101" s="89"/>
      <c r="BB101" s="89"/>
      <c r="BC101" s="89"/>
      <c r="BD101" s="89"/>
      <c r="BE101" s="89"/>
      <c r="BF101" s="89"/>
      <c r="BG101" s="89"/>
      <c r="BH101" s="89"/>
      <c r="BI101" s="89"/>
      <c r="BJ101" s="89"/>
      <c r="BK101" s="89"/>
      <c r="BL101" s="89"/>
      <c r="BM101" s="89"/>
      <c r="BN101" s="89"/>
    </row>
    <row r="102" ht="22.5" hidden="1" customHeight="1">
      <c r="A102" s="192" t="s">
        <v>27</v>
      </c>
      <c r="B102" s="193"/>
      <c r="C102" s="194" t="s">
        <v>78</v>
      </c>
      <c r="D102" s="195">
        <v>1545.0</v>
      </c>
      <c r="E102" s="73" t="s">
        <v>29</v>
      </c>
      <c r="F102" s="74" t="s">
        <v>68</v>
      </c>
      <c r="G102" s="196" t="s">
        <v>138</v>
      </c>
      <c r="H102" s="76" t="s">
        <v>31</v>
      </c>
      <c r="I102" s="76" t="s">
        <v>132</v>
      </c>
      <c r="J102" s="70">
        <v>350000.0</v>
      </c>
      <c r="K102" s="197">
        <v>13893.0</v>
      </c>
      <c r="L102" s="78">
        <v>46121.0</v>
      </c>
      <c r="M102" s="78">
        <v>46127.0</v>
      </c>
      <c r="N102" s="198"/>
      <c r="O102" s="80" t="s">
        <v>34</v>
      </c>
      <c r="P102" s="199"/>
      <c r="Q102" s="200"/>
      <c r="R102" s="52" t="s">
        <v>133</v>
      </c>
      <c r="S102" s="82" t="s">
        <v>36</v>
      </c>
      <c r="T102" s="82" t="s">
        <v>36</v>
      </c>
      <c r="U102" s="201" t="s">
        <v>37</v>
      </c>
      <c r="V102" s="84"/>
      <c r="W102" s="85" t="s">
        <v>305</v>
      </c>
      <c r="X102" s="202"/>
      <c r="Y102" s="203"/>
      <c r="Z102" s="203"/>
      <c r="AA102" s="204"/>
      <c r="AB102" s="88"/>
      <c r="AC102" s="88"/>
      <c r="AD102" s="88"/>
      <c r="AE102" s="88"/>
      <c r="AF102" s="88"/>
      <c r="AG102" s="88"/>
      <c r="AH102" s="88"/>
      <c r="AI102" s="88"/>
      <c r="AJ102" s="88"/>
      <c r="AK102" s="88"/>
      <c r="AL102" s="88"/>
      <c r="AM102" s="89"/>
      <c r="AN102" s="89"/>
      <c r="AO102" s="89"/>
      <c r="AP102" s="89"/>
      <c r="AQ102" s="89"/>
      <c r="AR102" s="89"/>
      <c r="AS102" s="89"/>
      <c r="AT102" s="89"/>
      <c r="AU102" s="89"/>
      <c r="AV102" s="89"/>
      <c r="AW102" s="89"/>
      <c r="AX102" s="89"/>
      <c r="AY102" s="89"/>
      <c r="AZ102" s="89"/>
      <c r="BA102" s="89"/>
      <c r="BB102" s="89"/>
      <c r="BC102" s="89"/>
      <c r="BD102" s="89"/>
      <c r="BE102" s="89"/>
      <c r="BF102" s="89"/>
      <c r="BG102" s="89"/>
      <c r="BH102" s="89"/>
      <c r="BI102" s="89"/>
      <c r="BJ102" s="89"/>
      <c r="BK102" s="89"/>
      <c r="BL102" s="89"/>
      <c r="BM102" s="89"/>
      <c r="BN102" s="89"/>
    </row>
    <row r="103" ht="22.5" hidden="1" customHeight="1">
      <c r="A103" s="192" t="s">
        <v>153</v>
      </c>
      <c r="B103" s="193"/>
      <c r="C103" s="194" t="s">
        <v>306</v>
      </c>
      <c r="D103" s="195">
        <v>1562.0</v>
      </c>
      <c r="E103" s="73" t="s">
        <v>29</v>
      </c>
      <c r="F103" s="74" t="s">
        <v>72</v>
      </c>
      <c r="G103" s="196" t="s">
        <v>138</v>
      </c>
      <c r="H103" s="76" t="s">
        <v>31</v>
      </c>
      <c r="I103" s="76" t="s">
        <v>132</v>
      </c>
      <c r="J103" s="70">
        <v>10000.0</v>
      </c>
      <c r="K103" s="197">
        <v>689.0</v>
      </c>
      <c r="L103" s="78">
        <v>46121.0</v>
      </c>
      <c r="M103" s="78">
        <v>46127.0</v>
      </c>
      <c r="N103" s="198"/>
      <c r="O103" s="80" t="s">
        <v>34</v>
      </c>
      <c r="P103" s="199"/>
      <c r="Q103" s="200"/>
      <c r="R103" s="52" t="s">
        <v>133</v>
      </c>
      <c r="S103" s="82" t="s">
        <v>36</v>
      </c>
      <c r="T103" s="82" t="s">
        <v>36</v>
      </c>
      <c r="U103" s="201" t="s">
        <v>37</v>
      </c>
      <c r="V103" s="84"/>
      <c r="W103" s="85"/>
      <c r="X103" s="202"/>
      <c r="Y103" s="203"/>
      <c r="Z103" s="203"/>
      <c r="AA103" s="204"/>
      <c r="AB103" s="88"/>
      <c r="AC103" s="88"/>
      <c r="AD103" s="88"/>
      <c r="AE103" s="88"/>
      <c r="AF103" s="88"/>
      <c r="AG103" s="88"/>
      <c r="AH103" s="88"/>
      <c r="AI103" s="88"/>
      <c r="AJ103" s="88"/>
      <c r="AK103" s="88"/>
      <c r="AL103" s="88"/>
      <c r="AM103" s="89"/>
      <c r="AN103" s="89"/>
      <c r="AO103" s="89"/>
      <c r="AP103" s="89"/>
      <c r="AQ103" s="89"/>
      <c r="AR103" s="89"/>
      <c r="AS103" s="89"/>
      <c r="AT103" s="89"/>
      <c r="AU103" s="89"/>
      <c r="AV103" s="89"/>
      <c r="AW103" s="89"/>
      <c r="AX103" s="89"/>
      <c r="AY103" s="89"/>
      <c r="AZ103" s="89"/>
      <c r="BA103" s="89"/>
      <c r="BB103" s="89"/>
      <c r="BC103" s="89"/>
      <c r="BD103" s="89"/>
      <c r="BE103" s="89"/>
      <c r="BF103" s="89"/>
      <c r="BG103" s="89"/>
      <c r="BH103" s="89"/>
      <c r="BI103" s="89"/>
      <c r="BJ103" s="89"/>
      <c r="BK103" s="89"/>
      <c r="BL103" s="89"/>
      <c r="BM103" s="89"/>
      <c r="BN103" s="89"/>
    </row>
    <row r="104" ht="22.5" hidden="1" customHeight="1">
      <c r="A104" s="205" t="s">
        <v>27</v>
      </c>
      <c r="B104" s="206"/>
      <c r="C104" s="207" t="s">
        <v>307</v>
      </c>
      <c r="D104" s="208">
        <v>1566.0</v>
      </c>
      <c r="E104" s="209" t="s">
        <v>29</v>
      </c>
      <c r="F104" s="210" t="s">
        <v>30</v>
      </c>
      <c r="G104" s="211" t="s">
        <v>308</v>
      </c>
      <c r="H104" s="212" t="s">
        <v>31</v>
      </c>
      <c r="I104" s="212" t="s">
        <v>132</v>
      </c>
      <c r="J104" s="213">
        <v>150000.0</v>
      </c>
      <c r="K104" s="214">
        <v>4255.0</v>
      </c>
      <c r="L104" s="215">
        <v>46121.0</v>
      </c>
      <c r="M104" s="215">
        <v>46127.0</v>
      </c>
      <c r="N104" s="216"/>
      <c r="O104" s="217" t="s">
        <v>34</v>
      </c>
      <c r="P104" s="218"/>
      <c r="Q104" s="219"/>
      <c r="R104" s="220" t="s">
        <v>133</v>
      </c>
      <c r="S104" s="221" t="s">
        <v>36</v>
      </c>
      <c r="T104" s="221" t="s">
        <v>36</v>
      </c>
      <c r="U104" s="222" t="s">
        <v>37</v>
      </c>
      <c r="V104" s="223"/>
      <c r="W104" s="224"/>
      <c r="X104" s="225"/>
      <c r="Y104" s="226"/>
      <c r="Z104" s="226"/>
      <c r="AA104" s="227"/>
      <c r="AB104" s="88"/>
      <c r="AC104" s="88"/>
      <c r="AD104" s="88"/>
      <c r="AE104" s="88"/>
      <c r="AF104" s="88"/>
      <c r="AG104" s="88"/>
      <c r="AH104" s="88"/>
      <c r="AI104" s="88"/>
      <c r="AJ104" s="88"/>
      <c r="AK104" s="88"/>
      <c r="AL104" s="88"/>
      <c r="AM104" s="89"/>
      <c r="AN104" s="89"/>
      <c r="AO104" s="89"/>
      <c r="AP104" s="89"/>
      <c r="AQ104" s="89"/>
      <c r="AR104" s="89"/>
      <c r="AS104" s="89"/>
      <c r="AT104" s="89"/>
      <c r="AU104" s="89"/>
      <c r="AV104" s="89"/>
      <c r="AW104" s="89"/>
      <c r="AX104" s="89"/>
      <c r="AY104" s="89"/>
      <c r="AZ104" s="89"/>
      <c r="BA104" s="89"/>
      <c r="BB104" s="89"/>
      <c r="BC104" s="89"/>
      <c r="BD104" s="89"/>
      <c r="BE104" s="89"/>
      <c r="BF104" s="89"/>
      <c r="BG104" s="89"/>
      <c r="BH104" s="89"/>
      <c r="BI104" s="89"/>
      <c r="BJ104" s="89"/>
      <c r="BK104" s="89"/>
      <c r="BL104" s="89"/>
      <c r="BM104" s="89"/>
      <c r="BN104" s="89"/>
    </row>
    <row r="105" ht="22.5" hidden="1" customHeight="1">
      <c r="A105" s="137" t="s">
        <v>27</v>
      </c>
      <c r="B105" s="138"/>
      <c r="C105" s="139" t="s">
        <v>309</v>
      </c>
      <c r="D105" s="140">
        <v>1563.0</v>
      </c>
      <c r="E105" s="141" t="s">
        <v>29</v>
      </c>
      <c r="F105" s="142" t="s">
        <v>30</v>
      </c>
      <c r="G105" s="143" t="s">
        <v>308</v>
      </c>
      <c r="H105" s="144" t="s">
        <v>31</v>
      </c>
      <c r="I105" s="144" t="s">
        <v>132</v>
      </c>
      <c r="J105" s="145">
        <v>100000.0</v>
      </c>
      <c r="K105" s="146">
        <v>2995.0</v>
      </c>
      <c r="L105" s="147">
        <v>46121.0</v>
      </c>
      <c r="M105" s="147">
        <v>46127.0</v>
      </c>
      <c r="N105" s="148"/>
      <c r="O105" s="149" t="s">
        <v>34</v>
      </c>
      <c r="P105" s="150"/>
      <c r="Q105" s="151"/>
      <c r="R105" s="152" t="s">
        <v>133</v>
      </c>
      <c r="S105" s="153" t="s">
        <v>36</v>
      </c>
      <c r="T105" s="153" t="s">
        <v>36</v>
      </c>
      <c r="U105" s="154" t="s">
        <v>37</v>
      </c>
      <c r="V105" s="155"/>
      <c r="W105" s="156"/>
      <c r="X105" s="157"/>
      <c r="Y105" s="157">
        <f>Z105/2</f>
        <v>20</v>
      </c>
      <c r="Z105" s="158">
        <f t="shared" ref="Z105:Z123" si="2">J105/2500</f>
        <v>40</v>
      </c>
      <c r="AA105" s="228"/>
      <c r="AB105" s="159"/>
      <c r="AC105" s="159"/>
      <c r="AD105" s="159"/>
      <c r="AE105" s="159"/>
      <c r="AF105" s="159"/>
      <c r="AG105" s="159"/>
      <c r="AH105" s="159"/>
      <c r="AI105" s="159"/>
      <c r="AJ105" s="159"/>
      <c r="AK105" s="159"/>
      <c r="AL105" s="159"/>
      <c r="AM105" s="160"/>
      <c r="AN105" s="160"/>
      <c r="AO105" s="160"/>
      <c r="AP105" s="160"/>
      <c r="AQ105" s="160"/>
      <c r="AR105" s="160"/>
      <c r="AS105" s="160"/>
      <c r="AT105" s="160"/>
      <c r="AU105" s="160"/>
      <c r="AV105" s="160"/>
      <c r="AW105" s="160"/>
      <c r="AX105" s="160"/>
      <c r="AY105" s="160"/>
      <c r="AZ105" s="160"/>
      <c r="BA105" s="160"/>
      <c r="BB105" s="160"/>
      <c r="BC105" s="160"/>
      <c r="BD105" s="160"/>
      <c r="BE105" s="160"/>
      <c r="BF105" s="160"/>
      <c r="BG105" s="160"/>
      <c r="BH105" s="160"/>
      <c r="BI105" s="160"/>
      <c r="BJ105" s="160"/>
      <c r="BK105" s="160"/>
      <c r="BL105" s="160"/>
      <c r="BM105" s="160"/>
      <c r="BN105" s="160"/>
    </row>
    <row r="106" ht="22.5" hidden="1" customHeight="1">
      <c r="A106" s="137" t="s">
        <v>27</v>
      </c>
      <c r="B106" s="138"/>
      <c r="C106" s="139" t="s">
        <v>310</v>
      </c>
      <c r="D106" s="140">
        <v>1591.0</v>
      </c>
      <c r="E106" s="141" t="s">
        <v>29</v>
      </c>
      <c r="F106" s="142" t="s">
        <v>30</v>
      </c>
      <c r="G106" s="143" t="s">
        <v>186</v>
      </c>
      <c r="H106" s="144" t="s">
        <v>31</v>
      </c>
      <c r="I106" s="144" t="s">
        <v>311</v>
      </c>
      <c r="J106" s="145">
        <v>10000.0</v>
      </c>
      <c r="K106" s="146">
        <v>673.0</v>
      </c>
      <c r="L106" s="147">
        <v>46122.0</v>
      </c>
      <c r="M106" s="147">
        <v>46125.0</v>
      </c>
      <c r="N106" s="148"/>
      <c r="O106" s="149" t="s">
        <v>34</v>
      </c>
      <c r="P106" s="150"/>
      <c r="Q106" s="151"/>
      <c r="R106" s="152" t="s">
        <v>133</v>
      </c>
      <c r="S106" s="153" t="s">
        <v>36</v>
      </c>
      <c r="T106" s="153" t="s">
        <v>36</v>
      </c>
      <c r="U106" s="154" t="s">
        <v>37</v>
      </c>
      <c r="V106" s="155"/>
      <c r="W106" s="156" t="s">
        <v>312</v>
      </c>
      <c r="X106" s="157"/>
      <c r="Y106" s="162">
        <v>1.0</v>
      </c>
      <c r="Z106" s="158">
        <f t="shared" si="2"/>
        <v>4</v>
      </c>
      <c r="AA106" s="228"/>
      <c r="AB106" s="159"/>
      <c r="AC106" s="159"/>
      <c r="AD106" s="159"/>
      <c r="AE106" s="159"/>
      <c r="AF106" s="159"/>
      <c r="AG106" s="159"/>
      <c r="AH106" s="159"/>
      <c r="AI106" s="159"/>
      <c r="AJ106" s="159"/>
      <c r="AK106" s="159"/>
      <c r="AL106" s="159"/>
      <c r="AM106" s="160"/>
      <c r="AN106" s="160"/>
      <c r="AO106" s="160"/>
      <c r="AP106" s="160"/>
      <c r="AQ106" s="160"/>
      <c r="AR106" s="160"/>
      <c r="AS106" s="160"/>
      <c r="AT106" s="160"/>
      <c r="AU106" s="160"/>
      <c r="AV106" s="160"/>
      <c r="AW106" s="160"/>
      <c r="AX106" s="160"/>
      <c r="AY106" s="160"/>
      <c r="AZ106" s="160"/>
      <c r="BA106" s="160"/>
      <c r="BB106" s="160"/>
      <c r="BC106" s="160"/>
      <c r="BD106" s="160"/>
      <c r="BE106" s="160"/>
      <c r="BF106" s="160"/>
      <c r="BG106" s="160"/>
      <c r="BH106" s="160"/>
      <c r="BI106" s="160"/>
      <c r="BJ106" s="160"/>
      <c r="BK106" s="160"/>
      <c r="BL106" s="160"/>
      <c r="BM106" s="160"/>
      <c r="BN106" s="160"/>
    </row>
    <row r="107" ht="22.5" hidden="1" customHeight="1">
      <c r="A107" s="137" t="s">
        <v>27</v>
      </c>
      <c r="B107" s="138"/>
      <c r="C107" s="139" t="s">
        <v>313</v>
      </c>
      <c r="D107" s="140">
        <v>1592.0</v>
      </c>
      <c r="E107" s="141" t="s">
        <v>29</v>
      </c>
      <c r="F107" s="142" t="s">
        <v>30</v>
      </c>
      <c r="G107" s="143" t="s">
        <v>234</v>
      </c>
      <c r="H107" s="144" t="s">
        <v>31</v>
      </c>
      <c r="I107" s="144" t="s">
        <v>132</v>
      </c>
      <c r="J107" s="145">
        <v>10000.0</v>
      </c>
      <c r="K107" s="146">
        <v>1156.0</v>
      </c>
      <c r="L107" s="147">
        <v>46121.0</v>
      </c>
      <c r="M107" s="147">
        <v>46127.0</v>
      </c>
      <c r="N107" s="148"/>
      <c r="O107" s="149" t="s">
        <v>34</v>
      </c>
      <c r="P107" s="150"/>
      <c r="Q107" s="151"/>
      <c r="R107" s="152" t="s">
        <v>133</v>
      </c>
      <c r="S107" s="153" t="s">
        <v>36</v>
      </c>
      <c r="T107" s="153" t="s">
        <v>36</v>
      </c>
      <c r="U107" s="154" t="s">
        <v>37</v>
      </c>
      <c r="V107" s="155"/>
      <c r="W107" s="156"/>
      <c r="X107" s="157"/>
      <c r="Y107" s="157">
        <f>Z107/2</f>
        <v>2</v>
      </c>
      <c r="Z107" s="158">
        <f t="shared" si="2"/>
        <v>4</v>
      </c>
      <c r="AA107" s="228"/>
      <c r="AB107" s="159"/>
      <c r="AC107" s="159"/>
      <c r="AD107" s="159"/>
      <c r="AE107" s="159"/>
      <c r="AF107" s="159"/>
      <c r="AG107" s="159"/>
      <c r="AH107" s="159"/>
      <c r="AI107" s="159"/>
      <c r="AJ107" s="159"/>
      <c r="AK107" s="159"/>
      <c r="AL107" s="159"/>
      <c r="AM107" s="160"/>
      <c r="AN107" s="160"/>
      <c r="AO107" s="160"/>
      <c r="AP107" s="160"/>
      <c r="AQ107" s="160"/>
      <c r="AR107" s="160"/>
      <c r="AS107" s="160"/>
      <c r="AT107" s="160"/>
      <c r="AU107" s="160"/>
      <c r="AV107" s="160"/>
      <c r="AW107" s="160"/>
      <c r="AX107" s="160"/>
      <c r="AY107" s="160"/>
      <c r="AZ107" s="160"/>
      <c r="BA107" s="160"/>
      <c r="BB107" s="160"/>
      <c r="BC107" s="160"/>
      <c r="BD107" s="160"/>
      <c r="BE107" s="160"/>
      <c r="BF107" s="160"/>
      <c r="BG107" s="160"/>
      <c r="BH107" s="160"/>
      <c r="BI107" s="160"/>
      <c r="BJ107" s="160"/>
      <c r="BK107" s="160"/>
      <c r="BL107" s="160"/>
      <c r="BM107" s="160"/>
      <c r="BN107" s="160"/>
    </row>
    <row r="108" ht="22.5" hidden="1" customHeight="1">
      <c r="A108" s="137" t="s">
        <v>27</v>
      </c>
      <c r="B108" s="138"/>
      <c r="C108" s="139" t="s">
        <v>314</v>
      </c>
      <c r="D108" s="140">
        <v>1590.0</v>
      </c>
      <c r="E108" s="141" t="s">
        <v>29</v>
      </c>
      <c r="F108" s="142" t="s">
        <v>30</v>
      </c>
      <c r="G108" s="143" t="s">
        <v>186</v>
      </c>
      <c r="H108" s="144" t="s">
        <v>31</v>
      </c>
      <c r="I108" s="144" t="s">
        <v>311</v>
      </c>
      <c r="J108" s="145">
        <v>10000.0</v>
      </c>
      <c r="K108" s="146">
        <v>673.0</v>
      </c>
      <c r="L108" s="147">
        <v>46122.0</v>
      </c>
      <c r="M108" s="147">
        <v>46125.0</v>
      </c>
      <c r="N108" s="148"/>
      <c r="O108" s="149" t="s">
        <v>34</v>
      </c>
      <c r="P108" s="150"/>
      <c r="Q108" s="151"/>
      <c r="R108" s="152" t="s">
        <v>133</v>
      </c>
      <c r="S108" s="153" t="s">
        <v>36</v>
      </c>
      <c r="T108" s="153" t="s">
        <v>36</v>
      </c>
      <c r="U108" s="154" t="s">
        <v>37</v>
      </c>
      <c r="V108" s="155"/>
      <c r="W108" s="156" t="s">
        <v>312</v>
      </c>
      <c r="X108" s="157"/>
      <c r="Y108" s="162">
        <v>1.0</v>
      </c>
      <c r="Z108" s="158">
        <f t="shared" si="2"/>
        <v>4</v>
      </c>
      <c r="AA108" s="228"/>
      <c r="AB108" s="159"/>
      <c r="AC108" s="159"/>
      <c r="AD108" s="159"/>
      <c r="AE108" s="159"/>
      <c r="AF108" s="159"/>
      <c r="AG108" s="159"/>
      <c r="AH108" s="159"/>
      <c r="AI108" s="159"/>
      <c r="AJ108" s="159"/>
      <c r="AK108" s="159"/>
      <c r="AL108" s="159"/>
      <c r="AM108" s="160"/>
      <c r="AN108" s="160"/>
      <c r="AO108" s="160"/>
      <c r="AP108" s="160"/>
      <c r="AQ108" s="160"/>
      <c r="AR108" s="160"/>
      <c r="AS108" s="160"/>
      <c r="AT108" s="160"/>
      <c r="AU108" s="160"/>
      <c r="AV108" s="160"/>
      <c r="AW108" s="160"/>
      <c r="AX108" s="160"/>
      <c r="AY108" s="160"/>
      <c r="AZ108" s="160"/>
      <c r="BA108" s="160"/>
      <c r="BB108" s="160"/>
      <c r="BC108" s="160"/>
      <c r="BD108" s="160"/>
      <c r="BE108" s="160"/>
      <c r="BF108" s="160"/>
      <c r="BG108" s="160"/>
      <c r="BH108" s="160"/>
      <c r="BI108" s="160"/>
      <c r="BJ108" s="160"/>
      <c r="BK108" s="160"/>
      <c r="BL108" s="160"/>
      <c r="BM108" s="160"/>
      <c r="BN108" s="160"/>
    </row>
    <row r="109" ht="22.5" hidden="1" customHeight="1">
      <c r="A109" s="205" t="s">
        <v>27</v>
      </c>
      <c r="B109" s="206"/>
      <c r="C109" s="207" t="s">
        <v>315</v>
      </c>
      <c r="D109" s="208">
        <v>1588.0</v>
      </c>
      <c r="E109" s="209" t="s">
        <v>29</v>
      </c>
      <c r="F109" s="210" t="s">
        <v>30</v>
      </c>
      <c r="G109" s="211">
        <v>99.0</v>
      </c>
      <c r="H109" s="212" t="s">
        <v>31</v>
      </c>
      <c r="I109" s="212" t="s">
        <v>132</v>
      </c>
      <c r="J109" s="213">
        <v>300000.0</v>
      </c>
      <c r="K109" s="214">
        <v>10925.0</v>
      </c>
      <c r="L109" s="215">
        <v>46121.0</v>
      </c>
      <c r="M109" s="215">
        <v>46127.0</v>
      </c>
      <c r="N109" s="216"/>
      <c r="O109" s="217" t="s">
        <v>34</v>
      </c>
      <c r="P109" s="218"/>
      <c r="Q109" s="219"/>
      <c r="R109" s="220" t="s">
        <v>133</v>
      </c>
      <c r="S109" s="221" t="s">
        <v>36</v>
      </c>
      <c r="T109" s="221" t="s">
        <v>36</v>
      </c>
      <c r="U109" s="222" t="s">
        <v>37</v>
      </c>
      <c r="V109" s="223"/>
      <c r="W109" s="224"/>
      <c r="X109" s="225"/>
      <c r="Y109" s="225">
        <f t="shared" ref="Y109:Y115" si="3">Z109/2</f>
        <v>60</v>
      </c>
      <c r="Z109" s="226">
        <f t="shared" si="2"/>
        <v>120</v>
      </c>
      <c r="AA109" s="227"/>
      <c r="AB109" s="184"/>
      <c r="AC109" s="184"/>
      <c r="AD109" s="184"/>
      <c r="AE109" s="184"/>
      <c r="AF109" s="184"/>
      <c r="AG109" s="184"/>
      <c r="AH109" s="184"/>
      <c r="AI109" s="184"/>
      <c r="AJ109" s="184"/>
      <c r="AK109" s="184"/>
      <c r="AL109" s="184"/>
      <c r="AM109" s="185"/>
      <c r="AN109" s="185"/>
      <c r="AO109" s="185"/>
      <c r="AP109" s="185"/>
      <c r="AQ109" s="185"/>
      <c r="AR109" s="185"/>
      <c r="AS109" s="185"/>
      <c r="AT109" s="185"/>
      <c r="AU109" s="185"/>
      <c r="AV109" s="185"/>
      <c r="AW109" s="185"/>
      <c r="AX109" s="185"/>
      <c r="AY109" s="185"/>
      <c r="AZ109" s="185"/>
      <c r="BA109" s="185"/>
      <c r="BB109" s="185"/>
      <c r="BC109" s="185"/>
      <c r="BD109" s="185"/>
      <c r="BE109" s="185"/>
      <c r="BF109" s="185"/>
      <c r="BG109" s="185"/>
      <c r="BH109" s="185"/>
      <c r="BI109" s="185"/>
      <c r="BJ109" s="185"/>
      <c r="BK109" s="185"/>
      <c r="BL109" s="185"/>
      <c r="BM109" s="185"/>
      <c r="BN109" s="185"/>
    </row>
    <row r="110" ht="22.5" hidden="1" customHeight="1">
      <c r="A110" s="205" t="s">
        <v>153</v>
      </c>
      <c r="B110" s="206"/>
      <c r="C110" s="207" t="s">
        <v>316</v>
      </c>
      <c r="D110" s="208">
        <v>1598.0</v>
      </c>
      <c r="E110" s="209" t="s">
        <v>29</v>
      </c>
      <c r="F110" s="210" t="s">
        <v>30</v>
      </c>
      <c r="G110" s="211" t="s">
        <v>317</v>
      </c>
      <c r="H110" s="212" t="s">
        <v>31</v>
      </c>
      <c r="I110" s="212" t="s">
        <v>132</v>
      </c>
      <c r="J110" s="213">
        <v>20000.0</v>
      </c>
      <c r="K110" s="214">
        <v>839.0</v>
      </c>
      <c r="L110" s="215">
        <v>46121.0</v>
      </c>
      <c r="M110" s="215">
        <v>46127.0</v>
      </c>
      <c r="N110" s="216"/>
      <c r="O110" s="217" t="s">
        <v>34</v>
      </c>
      <c r="P110" s="218"/>
      <c r="Q110" s="219"/>
      <c r="R110" s="220" t="s">
        <v>133</v>
      </c>
      <c r="S110" s="221" t="s">
        <v>36</v>
      </c>
      <c r="T110" s="221" t="s">
        <v>36</v>
      </c>
      <c r="U110" s="222" t="s">
        <v>37</v>
      </c>
      <c r="V110" s="223"/>
      <c r="W110" s="224" t="s">
        <v>134</v>
      </c>
      <c r="X110" s="225"/>
      <c r="Y110" s="225">
        <f t="shared" si="3"/>
        <v>4</v>
      </c>
      <c r="Z110" s="226">
        <f t="shared" si="2"/>
        <v>8</v>
      </c>
      <c r="AA110" s="227"/>
      <c r="AB110" s="184"/>
      <c r="AC110" s="184"/>
      <c r="AD110" s="184"/>
      <c r="AE110" s="184"/>
      <c r="AF110" s="184"/>
      <c r="AG110" s="184"/>
      <c r="AH110" s="184"/>
      <c r="AI110" s="184"/>
      <c r="AJ110" s="184"/>
      <c r="AK110" s="184"/>
      <c r="AL110" s="184"/>
      <c r="AM110" s="185"/>
      <c r="AN110" s="185"/>
      <c r="AO110" s="185"/>
      <c r="AP110" s="185"/>
      <c r="AQ110" s="185"/>
      <c r="AR110" s="185"/>
      <c r="AS110" s="185"/>
      <c r="AT110" s="185"/>
      <c r="AU110" s="185"/>
      <c r="AV110" s="185"/>
      <c r="AW110" s="185"/>
      <c r="AX110" s="185"/>
      <c r="AY110" s="185"/>
      <c r="AZ110" s="185"/>
      <c r="BA110" s="185"/>
      <c r="BB110" s="185"/>
      <c r="BC110" s="185"/>
      <c r="BD110" s="185"/>
      <c r="BE110" s="185"/>
      <c r="BF110" s="185"/>
      <c r="BG110" s="185"/>
      <c r="BH110" s="185"/>
      <c r="BI110" s="185"/>
      <c r="BJ110" s="185"/>
      <c r="BK110" s="185"/>
      <c r="BL110" s="185"/>
      <c r="BM110" s="185"/>
      <c r="BN110" s="185"/>
    </row>
    <row r="111" ht="22.5" hidden="1" customHeight="1">
      <c r="A111" s="205" t="s">
        <v>27</v>
      </c>
      <c r="B111" s="206"/>
      <c r="C111" s="207" t="s">
        <v>318</v>
      </c>
      <c r="D111" s="208">
        <v>1642.0</v>
      </c>
      <c r="E111" s="209" t="s">
        <v>29</v>
      </c>
      <c r="F111" s="210" t="s">
        <v>30</v>
      </c>
      <c r="G111" s="211" t="s">
        <v>138</v>
      </c>
      <c r="H111" s="212" t="s">
        <v>31</v>
      </c>
      <c r="I111" s="212" t="s">
        <v>132</v>
      </c>
      <c r="J111" s="213">
        <v>30000.0</v>
      </c>
      <c r="K111" s="214">
        <v>1437.0</v>
      </c>
      <c r="L111" s="215">
        <v>46121.0</v>
      </c>
      <c r="M111" s="215">
        <v>46127.0</v>
      </c>
      <c r="N111" s="216"/>
      <c r="O111" s="217" t="s">
        <v>34</v>
      </c>
      <c r="P111" s="218"/>
      <c r="Q111" s="219"/>
      <c r="R111" s="220" t="s">
        <v>133</v>
      </c>
      <c r="S111" s="221" t="s">
        <v>36</v>
      </c>
      <c r="T111" s="221" t="s">
        <v>36</v>
      </c>
      <c r="U111" s="222" t="s">
        <v>37</v>
      </c>
      <c r="V111" s="223"/>
      <c r="W111" s="224"/>
      <c r="X111" s="225"/>
      <c r="Y111" s="225">
        <f t="shared" si="3"/>
        <v>6</v>
      </c>
      <c r="Z111" s="226">
        <f t="shared" si="2"/>
        <v>12</v>
      </c>
      <c r="AA111" s="227"/>
      <c r="AB111" s="184"/>
      <c r="AC111" s="184"/>
      <c r="AD111" s="184"/>
      <c r="AE111" s="184"/>
      <c r="AF111" s="184"/>
      <c r="AG111" s="184"/>
      <c r="AH111" s="184"/>
      <c r="AI111" s="184"/>
      <c r="AJ111" s="184"/>
      <c r="AK111" s="184"/>
      <c r="AL111" s="184"/>
      <c r="AM111" s="185"/>
      <c r="AN111" s="185"/>
      <c r="AO111" s="185"/>
      <c r="AP111" s="185"/>
      <c r="AQ111" s="185"/>
      <c r="AR111" s="185"/>
      <c r="AS111" s="185"/>
      <c r="AT111" s="185"/>
      <c r="AU111" s="185"/>
      <c r="AV111" s="185"/>
      <c r="AW111" s="185"/>
      <c r="AX111" s="185"/>
      <c r="AY111" s="185"/>
      <c r="AZ111" s="185"/>
      <c r="BA111" s="185"/>
      <c r="BB111" s="185"/>
      <c r="BC111" s="185"/>
      <c r="BD111" s="185"/>
      <c r="BE111" s="185"/>
      <c r="BF111" s="185"/>
      <c r="BG111" s="185"/>
      <c r="BH111" s="185"/>
      <c r="BI111" s="185"/>
      <c r="BJ111" s="185"/>
      <c r="BK111" s="185"/>
      <c r="BL111" s="185"/>
      <c r="BM111" s="185"/>
      <c r="BN111" s="185"/>
    </row>
    <row r="112" ht="22.5" hidden="1" customHeight="1">
      <c r="A112" s="205" t="s">
        <v>27</v>
      </c>
      <c r="B112" s="206"/>
      <c r="C112" s="207" t="s">
        <v>319</v>
      </c>
      <c r="D112" s="208">
        <v>1612.0</v>
      </c>
      <c r="E112" s="209" t="s">
        <v>29</v>
      </c>
      <c r="F112" s="210" t="s">
        <v>30</v>
      </c>
      <c r="G112" s="211" t="s">
        <v>138</v>
      </c>
      <c r="H112" s="212" t="s">
        <v>31</v>
      </c>
      <c r="I112" s="212" t="s">
        <v>132</v>
      </c>
      <c r="J112" s="213">
        <v>10000.0</v>
      </c>
      <c r="K112" s="214">
        <v>689.0</v>
      </c>
      <c r="L112" s="215">
        <v>46121.0</v>
      </c>
      <c r="M112" s="215">
        <v>46127.0</v>
      </c>
      <c r="N112" s="216"/>
      <c r="O112" s="217" t="s">
        <v>34</v>
      </c>
      <c r="P112" s="218"/>
      <c r="Q112" s="219"/>
      <c r="R112" s="220" t="s">
        <v>133</v>
      </c>
      <c r="S112" s="221" t="s">
        <v>36</v>
      </c>
      <c r="T112" s="221" t="s">
        <v>36</v>
      </c>
      <c r="U112" s="222" t="s">
        <v>37</v>
      </c>
      <c r="V112" s="223"/>
      <c r="W112" s="224"/>
      <c r="X112" s="225"/>
      <c r="Y112" s="225">
        <f t="shared" si="3"/>
        <v>2</v>
      </c>
      <c r="Z112" s="226">
        <f t="shared" si="2"/>
        <v>4</v>
      </c>
      <c r="AA112" s="227"/>
      <c r="AB112" s="184"/>
      <c r="AC112" s="184"/>
      <c r="AD112" s="184"/>
      <c r="AE112" s="184"/>
      <c r="AF112" s="184"/>
      <c r="AG112" s="184"/>
      <c r="AH112" s="184"/>
      <c r="AI112" s="184"/>
      <c r="AJ112" s="184"/>
      <c r="AK112" s="184"/>
      <c r="AL112" s="184"/>
      <c r="AM112" s="185"/>
      <c r="AN112" s="185"/>
      <c r="AO112" s="185"/>
      <c r="AP112" s="185"/>
      <c r="AQ112" s="185"/>
      <c r="AR112" s="185"/>
      <c r="AS112" s="185"/>
      <c r="AT112" s="185"/>
      <c r="AU112" s="185"/>
      <c r="AV112" s="185"/>
      <c r="AW112" s="185"/>
      <c r="AX112" s="185"/>
      <c r="AY112" s="185"/>
      <c r="AZ112" s="185"/>
      <c r="BA112" s="185"/>
      <c r="BB112" s="185"/>
      <c r="BC112" s="185"/>
      <c r="BD112" s="185"/>
      <c r="BE112" s="185"/>
      <c r="BF112" s="185"/>
      <c r="BG112" s="185"/>
      <c r="BH112" s="185"/>
      <c r="BI112" s="185"/>
      <c r="BJ112" s="185"/>
      <c r="BK112" s="185"/>
      <c r="BL112" s="185"/>
      <c r="BM112" s="185"/>
      <c r="BN112" s="185"/>
    </row>
    <row r="113" ht="22.5" hidden="1" customHeight="1">
      <c r="A113" s="205" t="s">
        <v>27</v>
      </c>
      <c r="B113" s="206"/>
      <c r="C113" s="207" t="s">
        <v>320</v>
      </c>
      <c r="D113" s="208">
        <v>1643.0</v>
      </c>
      <c r="E113" s="209" t="s">
        <v>29</v>
      </c>
      <c r="F113" s="210" t="s">
        <v>30</v>
      </c>
      <c r="G113" s="211" t="s">
        <v>138</v>
      </c>
      <c r="H113" s="212" t="s">
        <v>31</v>
      </c>
      <c r="I113" s="212" t="s">
        <v>132</v>
      </c>
      <c r="J113" s="213">
        <v>20000.0</v>
      </c>
      <c r="K113" s="214">
        <v>1063.0</v>
      </c>
      <c r="L113" s="215">
        <v>46121.0</v>
      </c>
      <c r="M113" s="215">
        <v>46127.0</v>
      </c>
      <c r="N113" s="216"/>
      <c r="O113" s="217" t="s">
        <v>34</v>
      </c>
      <c r="P113" s="218"/>
      <c r="Q113" s="219"/>
      <c r="R113" s="220" t="s">
        <v>133</v>
      </c>
      <c r="S113" s="221" t="s">
        <v>36</v>
      </c>
      <c r="T113" s="221" t="s">
        <v>36</v>
      </c>
      <c r="U113" s="222" t="s">
        <v>37</v>
      </c>
      <c r="V113" s="223"/>
      <c r="W113" s="224"/>
      <c r="X113" s="225"/>
      <c r="Y113" s="225">
        <f t="shared" si="3"/>
        <v>4</v>
      </c>
      <c r="Z113" s="226">
        <f t="shared" si="2"/>
        <v>8</v>
      </c>
      <c r="AA113" s="227"/>
      <c r="AB113" s="184"/>
      <c r="AC113" s="184"/>
      <c r="AD113" s="184"/>
      <c r="AE113" s="184"/>
      <c r="AF113" s="184"/>
      <c r="AG113" s="184"/>
      <c r="AH113" s="184"/>
      <c r="AI113" s="184"/>
      <c r="AJ113" s="184"/>
      <c r="AK113" s="184"/>
      <c r="AL113" s="184"/>
      <c r="AM113" s="185"/>
      <c r="AN113" s="185"/>
      <c r="AO113" s="185"/>
      <c r="AP113" s="185"/>
      <c r="AQ113" s="185"/>
      <c r="AR113" s="185"/>
      <c r="AS113" s="185"/>
      <c r="AT113" s="185"/>
      <c r="AU113" s="185"/>
      <c r="AV113" s="185"/>
      <c r="AW113" s="185"/>
      <c r="AX113" s="185"/>
      <c r="AY113" s="185"/>
      <c r="AZ113" s="185"/>
      <c r="BA113" s="185"/>
      <c r="BB113" s="185"/>
      <c r="BC113" s="185"/>
      <c r="BD113" s="185"/>
      <c r="BE113" s="185"/>
      <c r="BF113" s="185"/>
      <c r="BG113" s="185"/>
      <c r="BH113" s="185"/>
      <c r="BI113" s="185"/>
      <c r="BJ113" s="185"/>
      <c r="BK113" s="185"/>
      <c r="BL113" s="185"/>
      <c r="BM113" s="185"/>
      <c r="BN113" s="185"/>
    </row>
    <row r="114" ht="22.5" hidden="1" customHeight="1">
      <c r="A114" s="205" t="s">
        <v>27</v>
      </c>
      <c r="B114" s="206"/>
      <c r="C114" s="207" t="s">
        <v>321</v>
      </c>
      <c r="D114" s="208">
        <v>1596.0</v>
      </c>
      <c r="E114" s="209" t="s">
        <v>29</v>
      </c>
      <c r="F114" s="210" t="s">
        <v>30</v>
      </c>
      <c r="G114" s="211" t="s">
        <v>138</v>
      </c>
      <c r="H114" s="212" t="s">
        <v>31</v>
      </c>
      <c r="I114" s="212" t="s">
        <v>132</v>
      </c>
      <c r="J114" s="213">
        <v>100000.0</v>
      </c>
      <c r="K114" s="214">
        <v>4184.0</v>
      </c>
      <c r="L114" s="215">
        <v>46122.0</v>
      </c>
      <c r="M114" s="215">
        <v>46125.0</v>
      </c>
      <c r="N114" s="216"/>
      <c r="O114" s="217" t="s">
        <v>34</v>
      </c>
      <c r="P114" s="218"/>
      <c r="Q114" s="219"/>
      <c r="R114" s="220" t="s">
        <v>133</v>
      </c>
      <c r="S114" s="221" t="s">
        <v>36</v>
      </c>
      <c r="T114" s="221" t="s">
        <v>36</v>
      </c>
      <c r="U114" s="222" t="s">
        <v>37</v>
      </c>
      <c r="V114" s="223"/>
      <c r="W114" s="224"/>
      <c r="X114" s="225"/>
      <c r="Y114" s="225">
        <f t="shared" si="3"/>
        <v>20</v>
      </c>
      <c r="Z114" s="226">
        <f t="shared" si="2"/>
        <v>40</v>
      </c>
      <c r="AA114" s="227"/>
      <c r="AB114" s="184"/>
      <c r="AC114" s="184"/>
      <c r="AD114" s="184"/>
      <c r="AE114" s="184"/>
      <c r="AF114" s="184"/>
      <c r="AG114" s="184"/>
      <c r="AH114" s="184"/>
      <c r="AI114" s="184"/>
      <c r="AJ114" s="184"/>
      <c r="AK114" s="184"/>
      <c r="AL114" s="184"/>
      <c r="AM114" s="185"/>
      <c r="AN114" s="185"/>
      <c r="AO114" s="185"/>
      <c r="AP114" s="185"/>
      <c r="AQ114" s="185"/>
      <c r="AR114" s="185"/>
      <c r="AS114" s="185"/>
      <c r="AT114" s="185"/>
      <c r="AU114" s="185"/>
      <c r="AV114" s="185"/>
      <c r="AW114" s="185"/>
      <c r="AX114" s="185"/>
      <c r="AY114" s="185"/>
      <c r="AZ114" s="185"/>
      <c r="BA114" s="185"/>
      <c r="BB114" s="185"/>
      <c r="BC114" s="185"/>
      <c r="BD114" s="185"/>
      <c r="BE114" s="185"/>
      <c r="BF114" s="185"/>
      <c r="BG114" s="185"/>
      <c r="BH114" s="185"/>
      <c r="BI114" s="185"/>
      <c r="BJ114" s="185"/>
      <c r="BK114" s="185"/>
      <c r="BL114" s="185"/>
      <c r="BM114" s="185"/>
      <c r="BN114" s="185"/>
    </row>
    <row r="115" ht="22.5" hidden="1" customHeight="1">
      <c r="A115" s="205" t="s">
        <v>27</v>
      </c>
      <c r="B115" s="206"/>
      <c r="C115" s="207" t="s">
        <v>322</v>
      </c>
      <c r="D115" s="208">
        <v>1597.0</v>
      </c>
      <c r="E115" s="209" t="s">
        <v>29</v>
      </c>
      <c r="F115" s="210" t="s">
        <v>30</v>
      </c>
      <c r="G115" s="211" t="s">
        <v>138</v>
      </c>
      <c r="H115" s="212" t="s">
        <v>31</v>
      </c>
      <c r="I115" s="212" t="s">
        <v>132</v>
      </c>
      <c r="J115" s="213">
        <v>40000.0</v>
      </c>
      <c r="K115" s="214">
        <v>1861.0</v>
      </c>
      <c r="L115" s="215">
        <v>46122.0</v>
      </c>
      <c r="M115" s="215">
        <v>46125.0</v>
      </c>
      <c r="N115" s="216"/>
      <c r="O115" s="217" t="s">
        <v>34</v>
      </c>
      <c r="P115" s="218"/>
      <c r="Q115" s="219"/>
      <c r="R115" s="220" t="s">
        <v>133</v>
      </c>
      <c r="S115" s="221" t="s">
        <v>36</v>
      </c>
      <c r="T115" s="221" t="s">
        <v>36</v>
      </c>
      <c r="U115" s="222" t="s">
        <v>37</v>
      </c>
      <c r="V115" s="223"/>
      <c r="W115" s="224"/>
      <c r="X115" s="225"/>
      <c r="Y115" s="225">
        <f t="shared" si="3"/>
        <v>8</v>
      </c>
      <c r="Z115" s="226">
        <f t="shared" si="2"/>
        <v>16</v>
      </c>
      <c r="AA115" s="227"/>
      <c r="AB115" s="184"/>
      <c r="AC115" s="184"/>
      <c r="AD115" s="184"/>
      <c r="AE115" s="184"/>
      <c r="AF115" s="184"/>
      <c r="AG115" s="184"/>
      <c r="AH115" s="184"/>
      <c r="AI115" s="184"/>
      <c r="AJ115" s="184"/>
      <c r="AK115" s="184"/>
      <c r="AL115" s="184"/>
      <c r="AM115" s="185"/>
      <c r="AN115" s="185"/>
      <c r="AO115" s="185"/>
      <c r="AP115" s="185"/>
      <c r="AQ115" s="185"/>
      <c r="AR115" s="185"/>
      <c r="AS115" s="185"/>
      <c r="AT115" s="185"/>
      <c r="AU115" s="185"/>
      <c r="AV115" s="185"/>
      <c r="AW115" s="185"/>
      <c r="AX115" s="185"/>
      <c r="AY115" s="185"/>
      <c r="AZ115" s="185"/>
      <c r="BA115" s="185"/>
      <c r="BB115" s="185"/>
      <c r="BC115" s="185"/>
      <c r="BD115" s="185"/>
      <c r="BE115" s="185"/>
      <c r="BF115" s="185"/>
      <c r="BG115" s="185"/>
      <c r="BH115" s="185"/>
      <c r="BI115" s="185"/>
      <c r="BJ115" s="185"/>
      <c r="BK115" s="185"/>
      <c r="BL115" s="185"/>
      <c r="BM115" s="185"/>
      <c r="BN115" s="185"/>
    </row>
    <row r="116" ht="22.5" hidden="1" customHeight="1">
      <c r="A116" s="205" t="s">
        <v>27</v>
      </c>
      <c r="B116" s="206"/>
      <c r="C116" s="207" t="s">
        <v>323</v>
      </c>
      <c r="D116" s="208">
        <v>1672.0</v>
      </c>
      <c r="E116" s="209" t="s">
        <v>29</v>
      </c>
      <c r="F116" s="210" t="s">
        <v>30</v>
      </c>
      <c r="G116" s="211" t="s">
        <v>138</v>
      </c>
      <c r="H116" s="212" t="s">
        <v>31</v>
      </c>
      <c r="I116" s="212" t="s">
        <v>132</v>
      </c>
      <c r="J116" s="213">
        <v>10000.0</v>
      </c>
      <c r="K116" s="214">
        <v>689.0</v>
      </c>
      <c r="L116" s="215">
        <v>46121.0</v>
      </c>
      <c r="M116" s="215">
        <v>46127.0</v>
      </c>
      <c r="N116" s="216"/>
      <c r="O116" s="217" t="s">
        <v>34</v>
      </c>
      <c r="P116" s="218"/>
      <c r="Q116" s="219"/>
      <c r="R116" s="220" t="s">
        <v>133</v>
      </c>
      <c r="S116" s="221" t="s">
        <v>36</v>
      </c>
      <c r="T116" s="221" t="s">
        <v>36</v>
      </c>
      <c r="U116" s="222" t="s">
        <v>37</v>
      </c>
      <c r="V116" s="223"/>
      <c r="W116" s="224" t="s">
        <v>134</v>
      </c>
      <c r="X116" s="225"/>
      <c r="Y116" s="229">
        <v>2.0</v>
      </c>
      <c r="Z116" s="226">
        <f t="shared" si="2"/>
        <v>4</v>
      </c>
      <c r="AA116" s="227"/>
      <c r="AB116" s="184"/>
      <c r="AC116" s="184"/>
      <c r="AD116" s="184"/>
      <c r="AE116" s="184"/>
      <c r="AF116" s="184"/>
      <c r="AG116" s="184"/>
      <c r="AH116" s="184"/>
      <c r="AI116" s="184"/>
      <c r="AJ116" s="184"/>
      <c r="AK116" s="184"/>
      <c r="AL116" s="184"/>
      <c r="AM116" s="185"/>
      <c r="AN116" s="185"/>
      <c r="AO116" s="185"/>
      <c r="AP116" s="185"/>
      <c r="AQ116" s="185"/>
      <c r="AR116" s="185"/>
      <c r="AS116" s="185"/>
      <c r="AT116" s="185"/>
      <c r="AU116" s="185"/>
      <c r="AV116" s="185"/>
      <c r="AW116" s="185"/>
      <c r="AX116" s="185"/>
      <c r="AY116" s="185"/>
      <c r="AZ116" s="185"/>
      <c r="BA116" s="185"/>
      <c r="BB116" s="185"/>
      <c r="BC116" s="185"/>
      <c r="BD116" s="185"/>
      <c r="BE116" s="185"/>
      <c r="BF116" s="185"/>
      <c r="BG116" s="185"/>
      <c r="BH116" s="185"/>
      <c r="BI116" s="185"/>
      <c r="BJ116" s="185"/>
      <c r="BK116" s="185"/>
      <c r="BL116" s="185"/>
      <c r="BM116" s="185"/>
      <c r="BN116" s="185"/>
    </row>
    <row r="117" ht="22.5" hidden="1" customHeight="1">
      <c r="A117" s="137" t="s">
        <v>27</v>
      </c>
      <c r="B117" s="138"/>
      <c r="C117" s="139" t="s">
        <v>324</v>
      </c>
      <c r="D117" s="140">
        <v>1702.0</v>
      </c>
      <c r="E117" s="141" t="s">
        <v>29</v>
      </c>
      <c r="F117" s="142" t="s">
        <v>30</v>
      </c>
      <c r="G117" s="143" t="s">
        <v>138</v>
      </c>
      <c r="H117" s="144" t="s">
        <v>31</v>
      </c>
      <c r="I117" s="144" t="s">
        <v>132</v>
      </c>
      <c r="J117" s="145">
        <v>30000.0</v>
      </c>
      <c r="K117" s="146">
        <v>1437.0</v>
      </c>
      <c r="L117" s="147">
        <v>46121.0</v>
      </c>
      <c r="M117" s="147">
        <v>46127.0</v>
      </c>
      <c r="N117" s="148"/>
      <c r="O117" s="149" t="s">
        <v>34</v>
      </c>
      <c r="P117" s="150"/>
      <c r="Q117" s="151"/>
      <c r="R117" s="152" t="s">
        <v>133</v>
      </c>
      <c r="S117" s="153" t="s">
        <v>36</v>
      </c>
      <c r="T117" s="153" t="s">
        <v>36</v>
      </c>
      <c r="U117" s="154" t="s">
        <v>37</v>
      </c>
      <c r="V117" s="155"/>
      <c r="W117" s="156" t="s">
        <v>134</v>
      </c>
      <c r="X117" s="162"/>
      <c r="Y117" s="162">
        <v>6.0</v>
      </c>
      <c r="Z117" s="158">
        <f t="shared" si="2"/>
        <v>12</v>
      </c>
      <c r="AA117" s="162" t="s">
        <v>140</v>
      </c>
      <c r="AB117" s="159"/>
      <c r="AC117" s="159"/>
      <c r="AD117" s="159"/>
      <c r="AE117" s="159"/>
      <c r="AF117" s="159"/>
      <c r="AG117" s="159"/>
      <c r="AH117" s="159"/>
      <c r="AI117" s="159"/>
      <c r="AJ117" s="159"/>
      <c r="AK117" s="159"/>
      <c r="AL117" s="159"/>
      <c r="AM117" s="160"/>
      <c r="AN117" s="160"/>
      <c r="AO117" s="160"/>
      <c r="AP117" s="160"/>
      <c r="AQ117" s="160"/>
      <c r="AR117" s="160"/>
      <c r="AS117" s="160"/>
      <c r="AT117" s="160"/>
      <c r="AU117" s="160"/>
      <c r="AV117" s="160"/>
      <c r="AW117" s="160"/>
      <c r="AX117" s="160"/>
      <c r="AY117" s="160"/>
      <c r="AZ117" s="160"/>
      <c r="BA117" s="160"/>
      <c r="BB117" s="160"/>
      <c r="BC117" s="160"/>
      <c r="BD117" s="160"/>
      <c r="BE117" s="160"/>
      <c r="BF117" s="160"/>
      <c r="BG117" s="160"/>
      <c r="BH117" s="160"/>
      <c r="BI117" s="160"/>
      <c r="BJ117" s="160"/>
      <c r="BK117" s="160"/>
      <c r="BL117" s="160"/>
      <c r="BM117" s="160"/>
      <c r="BN117" s="160"/>
    </row>
    <row r="118" ht="22.5" hidden="1" customHeight="1">
      <c r="A118" s="205" t="s">
        <v>27</v>
      </c>
      <c r="B118" s="206"/>
      <c r="C118" s="207" t="s">
        <v>325</v>
      </c>
      <c r="D118" s="208">
        <v>1593.0</v>
      </c>
      <c r="E118" s="209" t="s">
        <v>29</v>
      </c>
      <c r="F118" s="210" t="s">
        <v>30</v>
      </c>
      <c r="G118" s="211" t="s">
        <v>326</v>
      </c>
      <c r="H118" s="212" t="s">
        <v>31</v>
      </c>
      <c r="I118" s="212" t="s">
        <v>132</v>
      </c>
      <c r="J118" s="213">
        <v>50000.0</v>
      </c>
      <c r="K118" s="214">
        <v>1939.0</v>
      </c>
      <c r="L118" s="215">
        <v>46121.0</v>
      </c>
      <c r="M118" s="215">
        <v>46127.0</v>
      </c>
      <c r="N118" s="216"/>
      <c r="O118" s="217" t="s">
        <v>34</v>
      </c>
      <c r="P118" s="218"/>
      <c r="Q118" s="219"/>
      <c r="R118" s="220" t="s">
        <v>133</v>
      </c>
      <c r="S118" s="221" t="s">
        <v>35</v>
      </c>
      <c r="T118" s="221" t="s">
        <v>36</v>
      </c>
      <c r="U118" s="222" t="s">
        <v>37</v>
      </c>
      <c r="V118" s="223"/>
      <c r="W118" s="224" t="s">
        <v>134</v>
      </c>
      <c r="X118" s="225"/>
      <c r="Y118" s="225"/>
      <c r="Z118" s="226">
        <f t="shared" si="2"/>
        <v>20</v>
      </c>
      <c r="AA118" s="227"/>
      <c r="AB118" s="184"/>
      <c r="AC118" s="184"/>
      <c r="AD118" s="184"/>
      <c r="AE118" s="184"/>
      <c r="AF118" s="184"/>
      <c r="AG118" s="184"/>
      <c r="AH118" s="184"/>
      <c r="AI118" s="184"/>
      <c r="AJ118" s="184"/>
      <c r="AK118" s="184"/>
      <c r="AL118" s="184"/>
      <c r="AM118" s="185"/>
      <c r="AN118" s="185"/>
      <c r="AO118" s="185"/>
      <c r="AP118" s="185"/>
      <c r="AQ118" s="185"/>
      <c r="AR118" s="185"/>
      <c r="AS118" s="185"/>
      <c r="AT118" s="185"/>
      <c r="AU118" s="185"/>
      <c r="AV118" s="185"/>
      <c r="AW118" s="185"/>
      <c r="AX118" s="185"/>
      <c r="AY118" s="185"/>
      <c r="AZ118" s="185"/>
      <c r="BA118" s="185"/>
      <c r="BB118" s="185"/>
      <c r="BC118" s="185"/>
      <c r="BD118" s="185"/>
      <c r="BE118" s="185"/>
      <c r="BF118" s="185"/>
      <c r="BG118" s="185"/>
      <c r="BH118" s="185"/>
      <c r="BI118" s="185"/>
      <c r="BJ118" s="185"/>
      <c r="BK118" s="185"/>
      <c r="BL118" s="185"/>
      <c r="BM118" s="185"/>
      <c r="BN118" s="185"/>
    </row>
    <row r="119" ht="22.5" hidden="1" customHeight="1">
      <c r="A119" s="205" t="s">
        <v>153</v>
      </c>
      <c r="B119" s="206"/>
      <c r="C119" s="207" t="s">
        <v>327</v>
      </c>
      <c r="D119" s="208">
        <v>1655.0</v>
      </c>
      <c r="E119" s="209" t="s">
        <v>29</v>
      </c>
      <c r="F119" s="210" t="s">
        <v>30</v>
      </c>
      <c r="G119" s="211" t="s">
        <v>328</v>
      </c>
      <c r="H119" s="212" t="s">
        <v>31</v>
      </c>
      <c r="I119" s="212" t="s">
        <v>132</v>
      </c>
      <c r="J119" s="213">
        <v>100000.0</v>
      </c>
      <c r="K119" s="214">
        <v>2370.0</v>
      </c>
      <c r="L119" s="215">
        <v>46121.0</v>
      </c>
      <c r="M119" s="215">
        <v>46127.0</v>
      </c>
      <c r="N119" s="216"/>
      <c r="O119" s="217" t="s">
        <v>34</v>
      </c>
      <c r="P119" s="218"/>
      <c r="Q119" s="219"/>
      <c r="R119" s="220" t="s">
        <v>133</v>
      </c>
      <c r="S119" s="221" t="s">
        <v>36</v>
      </c>
      <c r="T119" s="221" t="s">
        <v>36</v>
      </c>
      <c r="U119" s="222" t="s">
        <v>37</v>
      </c>
      <c r="V119" s="223"/>
      <c r="W119" s="224" t="s">
        <v>134</v>
      </c>
      <c r="X119" s="225"/>
      <c r="Y119" s="229" t="s">
        <v>329</v>
      </c>
      <c r="Z119" s="226">
        <f t="shared" si="2"/>
        <v>40</v>
      </c>
      <c r="AA119" s="227"/>
      <c r="AB119" s="184"/>
      <c r="AC119" s="184"/>
      <c r="AD119" s="184"/>
      <c r="AE119" s="184"/>
      <c r="AF119" s="184"/>
      <c r="AG119" s="184"/>
      <c r="AH119" s="184"/>
      <c r="AI119" s="184"/>
      <c r="AJ119" s="184"/>
      <c r="AK119" s="184"/>
      <c r="AL119" s="184"/>
      <c r="AM119" s="185"/>
      <c r="AN119" s="185"/>
      <c r="AO119" s="185"/>
      <c r="AP119" s="185"/>
      <c r="AQ119" s="185"/>
      <c r="AR119" s="185"/>
      <c r="AS119" s="185"/>
      <c r="AT119" s="185"/>
      <c r="AU119" s="185"/>
      <c r="AV119" s="185"/>
      <c r="AW119" s="185"/>
      <c r="AX119" s="185"/>
      <c r="AY119" s="185"/>
      <c r="AZ119" s="185"/>
      <c r="BA119" s="185"/>
      <c r="BB119" s="185"/>
      <c r="BC119" s="185"/>
      <c r="BD119" s="185"/>
      <c r="BE119" s="185"/>
      <c r="BF119" s="185"/>
      <c r="BG119" s="185"/>
      <c r="BH119" s="185"/>
      <c r="BI119" s="185"/>
      <c r="BJ119" s="185"/>
      <c r="BK119" s="185"/>
      <c r="BL119" s="185"/>
      <c r="BM119" s="185"/>
      <c r="BN119" s="185"/>
    </row>
    <row r="120" ht="22.5" hidden="1" customHeight="1">
      <c r="A120" s="205" t="s">
        <v>153</v>
      </c>
      <c r="B120" s="206"/>
      <c r="C120" s="207" t="s">
        <v>330</v>
      </c>
      <c r="D120" s="208">
        <v>1673.0</v>
      </c>
      <c r="E120" s="209" t="s">
        <v>29</v>
      </c>
      <c r="F120" s="210" t="s">
        <v>30</v>
      </c>
      <c r="G120" s="211" t="s">
        <v>138</v>
      </c>
      <c r="H120" s="212" t="s">
        <v>31</v>
      </c>
      <c r="I120" s="212" t="s">
        <v>132</v>
      </c>
      <c r="J120" s="213">
        <v>50000.0</v>
      </c>
      <c r="K120" s="214">
        <v>2225.0</v>
      </c>
      <c r="L120" s="215">
        <v>46121.0</v>
      </c>
      <c r="M120" s="215">
        <v>46127.0</v>
      </c>
      <c r="N120" s="216"/>
      <c r="O120" s="217" t="s">
        <v>34</v>
      </c>
      <c r="P120" s="218"/>
      <c r="Q120" s="219"/>
      <c r="R120" s="220" t="s">
        <v>133</v>
      </c>
      <c r="S120" s="221" t="s">
        <v>36</v>
      </c>
      <c r="T120" s="221" t="s">
        <v>36</v>
      </c>
      <c r="U120" s="222" t="s">
        <v>37</v>
      </c>
      <c r="V120" s="223"/>
      <c r="W120" s="224" t="s">
        <v>134</v>
      </c>
      <c r="X120" s="225"/>
      <c r="Y120" s="225"/>
      <c r="Z120" s="226">
        <f t="shared" si="2"/>
        <v>20</v>
      </c>
      <c r="AA120" s="227"/>
      <c r="AB120" s="184"/>
      <c r="AC120" s="184"/>
      <c r="AD120" s="184"/>
      <c r="AE120" s="184"/>
      <c r="AF120" s="184"/>
      <c r="AG120" s="184"/>
      <c r="AH120" s="184"/>
      <c r="AI120" s="184"/>
      <c r="AJ120" s="184"/>
      <c r="AK120" s="184"/>
      <c r="AL120" s="184"/>
      <c r="AM120" s="185"/>
      <c r="AN120" s="185"/>
      <c r="AO120" s="185"/>
      <c r="AP120" s="185"/>
      <c r="AQ120" s="185"/>
      <c r="AR120" s="185"/>
      <c r="AS120" s="185"/>
      <c r="AT120" s="185"/>
      <c r="AU120" s="185"/>
      <c r="AV120" s="185"/>
      <c r="AW120" s="185"/>
      <c r="AX120" s="185"/>
      <c r="AY120" s="185"/>
      <c r="AZ120" s="185"/>
      <c r="BA120" s="185"/>
      <c r="BB120" s="185"/>
      <c r="BC120" s="185"/>
      <c r="BD120" s="185"/>
      <c r="BE120" s="185"/>
      <c r="BF120" s="185"/>
      <c r="BG120" s="185"/>
      <c r="BH120" s="185"/>
      <c r="BI120" s="185"/>
      <c r="BJ120" s="185"/>
      <c r="BK120" s="185"/>
      <c r="BL120" s="185"/>
      <c r="BM120" s="185"/>
      <c r="BN120" s="185"/>
    </row>
    <row r="121" ht="22.5" hidden="1" customHeight="1">
      <c r="A121" s="137" t="s">
        <v>27</v>
      </c>
      <c r="B121" s="138"/>
      <c r="C121" s="139" t="s">
        <v>331</v>
      </c>
      <c r="D121" s="140">
        <v>1703.0</v>
      </c>
      <c r="E121" s="141" t="s">
        <v>29</v>
      </c>
      <c r="F121" s="142" t="s">
        <v>30</v>
      </c>
      <c r="G121" s="143" t="s">
        <v>332</v>
      </c>
      <c r="H121" s="144" t="s">
        <v>31</v>
      </c>
      <c r="I121" s="144" t="s">
        <v>98</v>
      </c>
      <c r="J121" s="145">
        <v>10000.0</v>
      </c>
      <c r="K121" s="146">
        <v>971.0</v>
      </c>
      <c r="L121" s="147">
        <v>46122.0</v>
      </c>
      <c r="M121" s="147">
        <v>46125.0</v>
      </c>
      <c r="N121" s="148"/>
      <c r="O121" s="149" t="s">
        <v>34</v>
      </c>
      <c r="P121" s="150"/>
      <c r="Q121" s="151"/>
      <c r="R121" s="152" t="s">
        <v>133</v>
      </c>
      <c r="S121" s="153" t="s">
        <v>36</v>
      </c>
      <c r="T121" s="153" t="s">
        <v>36</v>
      </c>
      <c r="U121" s="154" t="s">
        <v>37</v>
      </c>
      <c r="V121" s="155"/>
      <c r="W121" s="156" t="s">
        <v>134</v>
      </c>
      <c r="X121" s="162"/>
      <c r="Y121" s="162">
        <v>2.0</v>
      </c>
      <c r="Z121" s="158">
        <f t="shared" si="2"/>
        <v>4</v>
      </c>
      <c r="AA121" s="162" t="s">
        <v>140</v>
      </c>
      <c r="AB121" s="159"/>
      <c r="AC121" s="159"/>
      <c r="AD121" s="159"/>
      <c r="AE121" s="159"/>
      <c r="AF121" s="159"/>
      <c r="AG121" s="159"/>
      <c r="AH121" s="159"/>
      <c r="AI121" s="159"/>
      <c r="AJ121" s="159"/>
      <c r="AK121" s="159"/>
      <c r="AL121" s="159"/>
      <c r="AM121" s="160"/>
      <c r="AN121" s="160"/>
      <c r="AO121" s="160"/>
      <c r="AP121" s="160"/>
      <c r="AQ121" s="160"/>
      <c r="AR121" s="160"/>
      <c r="AS121" s="160"/>
      <c r="AT121" s="160"/>
      <c r="AU121" s="160"/>
      <c r="AV121" s="160"/>
      <c r="AW121" s="160"/>
      <c r="AX121" s="160"/>
      <c r="AY121" s="160"/>
      <c r="AZ121" s="160"/>
      <c r="BA121" s="160"/>
      <c r="BB121" s="160"/>
      <c r="BC121" s="160"/>
      <c r="BD121" s="160"/>
      <c r="BE121" s="160"/>
      <c r="BF121" s="160"/>
      <c r="BG121" s="160"/>
      <c r="BH121" s="160"/>
      <c r="BI121" s="160"/>
      <c r="BJ121" s="160"/>
      <c r="BK121" s="160"/>
      <c r="BL121" s="160"/>
      <c r="BM121" s="160"/>
      <c r="BN121" s="160"/>
    </row>
    <row r="122" ht="22.5" hidden="1" customHeight="1">
      <c r="A122" s="205" t="s">
        <v>27</v>
      </c>
      <c r="B122" s="206"/>
      <c r="C122" s="207" t="s">
        <v>333</v>
      </c>
      <c r="D122" s="208">
        <v>1716.0</v>
      </c>
      <c r="E122" s="209" t="s">
        <v>29</v>
      </c>
      <c r="F122" s="210" t="s">
        <v>30</v>
      </c>
      <c r="G122" s="211" t="s">
        <v>138</v>
      </c>
      <c r="H122" s="212" t="s">
        <v>31</v>
      </c>
      <c r="I122" s="212" t="s">
        <v>132</v>
      </c>
      <c r="J122" s="213">
        <v>50000.0</v>
      </c>
      <c r="K122" s="214">
        <v>2225.0</v>
      </c>
      <c r="L122" s="215">
        <v>46121.0</v>
      </c>
      <c r="M122" s="215">
        <v>46127.0</v>
      </c>
      <c r="N122" s="216"/>
      <c r="O122" s="217" t="s">
        <v>34</v>
      </c>
      <c r="P122" s="218"/>
      <c r="Q122" s="219"/>
      <c r="R122" s="220" t="s">
        <v>133</v>
      </c>
      <c r="S122" s="221" t="s">
        <v>36</v>
      </c>
      <c r="T122" s="221" t="s">
        <v>36</v>
      </c>
      <c r="U122" s="222" t="s">
        <v>37</v>
      </c>
      <c r="V122" s="223"/>
      <c r="W122" s="224" t="s">
        <v>134</v>
      </c>
      <c r="X122" s="225"/>
      <c r="Y122" s="225"/>
      <c r="Z122" s="226">
        <f t="shared" si="2"/>
        <v>20</v>
      </c>
      <c r="AA122" s="227"/>
      <c r="AB122" s="184"/>
      <c r="AC122" s="184"/>
      <c r="AD122" s="184"/>
      <c r="AE122" s="184"/>
      <c r="AF122" s="184"/>
      <c r="AG122" s="184"/>
      <c r="AH122" s="184"/>
      <c r="AI122" s="184"/>
      <c r="AJ122" s="184"/>
      <c r="AK122" s="184"/>
      <c r="AL122" s="184"/>
      <c r="AM122" s="185"/>
      <c r="AN122" s="185"/>
      <c r="AO122" s="185"/>
      <c r="AP122" s="185"/>
      <c r="AQ122" s="185"/>
      <c r="AR122" s="185"/>
      <c r="AS122" s="185"/>
      <c r="AT122" s="185"/>
      <c r="AU122" s="185"/>
      <c r="AV122" s="185"/>
      <c r="AW122" s="185"/>
      <c r="AX122" s="185"/>
      <c r="AY122" s="185"/>
      <c r="AZ122" s="185"/>
      <c r="BA122" s="185"/>
      <c r="BB122" s="185"/>
      <c r="BC122" s="185"/>
      <c r="BD122" s="185"/>
      <c r="BE122" s="185"/>
      <c r="BF122" s="185"/>
      <c r="BG122" s="185"/>
      <c r="BH122" s="185"/>
      <c r="BI122" s="185"/>
      <c r="BJ122" s="185"/>
      <c r="BK122" s="185"/>
      <c r="BL122" s="185"/>
      <c r="BM122" s="185"/>
      <c r="BN122" s="185"/>
    </row>
    <row r="123" ht="22.5" hidden="1" customHeight="1">
      <c r="A123" s="137" t="s">
        <v>27</v>
      </c>
      <c r="B123" s="138"/>
      <c r="C123" s="139" t="s">
        <v>334</v>
      </c>
      <c r="D123" s="140">
        <v>1705.0</v>
      </c>
      <c r="E123" s="141" t="s">
        <v>29</v>
      </c>
      <c r="F123" s="142" t="s">
        <v>30</v>
      </c>
      <c r="G123" s="143" t="s">
        <v>131</v>
      </c>
      <c r="H123" s="144" t="s">
        <v>31</v>
      </c>
      <c r="I123" s="144" t="s">
        <v>132</v>
      </c>
      <c r="J123" s="145">
        <v>10000.0</v>
      </c>
      <c r="K123" s="146">
        <v>736.0</v>
      </c>
      <c r="L123" s="147">
        <v>46121.0</v>
      </c>
      <c r="M123" s="147">
        <v>46127.0</v>
      </c>
      <c r="N123" s="148"/>
      <c r="O123" s="149" t="s">
        <v>34</v>
      </c>
      <c r="P123" s="150"/>
      <c r="Q123" s="151"/>
      <c r="R123" s="152" t="s">
        <v>133</v>
      </c>
      <c r="S123" s="153" t="s">
        <v>36</v>
      </c>
      <c r="T123" s="153" t="s">
        <v>36</v>
      </c>
      <c r="U123" s="154" t="s">
        <v>37</v>
      </c>
      <c r="V123" s="155"/>
      <c r="W123" s="156" t="s">
        <v>134</v>
      </c>
      <c r="X123" s="157"/>
      <c r="Y123" s="157"/>
      <c r="Z123" s="158">
        <f t="shared" si="2"/>
        <v>4</v>
      </c>
      <c r="AA123" s="157"/>
      <c r="AB123" s="159"/>
      <c r="AC123" s="159"/>
      <c r="AD123" s="159"/>
      <c r="AE123" s="159"/>
      <c r="AF123" s="159"/>
      <c r="AG123" s="159"/>
      <c r="AH123" s="159"/>
      <c r="AI123" s="159"/>
      <c r="AJ123" s="159"/>
      <c r="AK123" s="159"/>
      <c r="AL123" s="159"/>
      <c r="AM123" s="160"/>
      <c r="AN123" s="160"/>
      <c r="AO123" s="160"/>
      <c r="AP123" s="160"/>
      <c r="AQ123" s="160"/>
      <c r="AR123" s="160"/>
      <c r="AS123" s="160"/>
      <c r="AT123" s="160"/>
      <c r="AU123" s="160"/>
      <c r="AV123" s="160"/>
      <c r="AW123" s="160"/>
      <c r="AX123" s="160"/>
      <c r="AY123" s="160"/>
      <c r="AZ123" s="160"/>
      <c r="BA123" s="160"/>
      <c r="BB123" s="160"/>
      <c r="BC123" s="160"/>
      <c r="BD123" s="160"/>
      <c r="BE123" s="160"/>
      <c r="BF123" s="160"/>
      <c r="BG123" s="160"/>
      <c r="BH123" s="160"/>
      <c r="BI123" s="160"/>
      <c r="BJ123" s="160"/>
      <c r="BK123" s="160"/>
      <c r="BL123" s="160"/>
      <c r="BM123" s="160"/>
      <c r="BN123" s="160"/>
    </row>
    <row r="124" ht="22.5" hidden="1" customHeight="1">
      <c r="A124" s="103" t="s">
        <v>335</v>
      </c>
      <c r="B124" s="104"/>
      <c r="C124" s="124" t="s">
        <v>336</v>
      </c>
      <c r="D124" s="106">
        <v>1736.0</v>
      </c>
      <c r="E124" s="107" t="s">
        <v>164</v>
      </c>
      <c r="F124" s="108" t="s">
        <v>96</v>
      </c>
      <c r="G124" s="109" t="s">
        <v>337</v>
      </c>
      <c r="H124" s="110" t="s">
        <v>31</v>
      </c>
      <c r="I124" s="110" t="s">
        <v>132</v>
      </c>
      <c r="J124" s="111">
        <v>600.0</v>
      </c>
      <c r="K124" s="112">
        <v>131.0</v>
      </c>
      <c r="L124" s="113">
        <v>46128.0</v>
      </c>
      <c r="M124" s="113">
        <v>46139.0</v>
      </c>
      <c r="N124" s="114"/>
      <c r="O124" s="115" t="s">
        <v>338</v>
      </c>
      <c r="P124" s="116"/>
      <c r="Q124" s="167" t="s">
        <v>35</v>
      </c>
      <c r="R124" s="167" t="s">
        <v>133</v>
      </c>
      <c r="S124" s="126" t="s">
        <v>35</v>
      </c>
      <c r="T124" s="126" t="s">
        <v>36</v>
      </c>
      <c r="U124" s="127" t="s">
        <v>37</v>
      </c>
      <c r="V124" s="128"/>
      <c r="W124" s="129" t="s">
        <v>193</v>
      </c>
      <c r="X124" s="230" t="s">
        <v>339</v>
      </c>
      <c r="Y124" s="120"/>
      <c r="Z124" s="121"/>
      <c r="AA124" s="121"/>
      <c r="AB124" s="231"/>
      <c r="AC124" s="231"/>
      <c r="AD124" s="231"/>
      <c r="AE124" s="231"/>
      <c r="AF124" s="231"/>
      <c r="AG124" s="231"/>
      <c r="AH124" s="231"/>
      <c r="AI124" s="231"/>
      <c r="AJ124" s="231"/>
      <c r="AK124" s="231"/>
      <c r="AL124" s="231"/>
      <c r="AM124" s="232"/>
      <c r="AN124" s="232"/>
      <c r="AO124" s="232"/>
      <c r="AP124" s="232"/>
      <c r="AQ124" s="232"/>
      <c r="AR124" s="232"/>
      <c r="AS124" s="232"/>
      <c r="AT124" s="232"/>
      <c r="AU124" s="232"/>
      <c r="AV124" s="232"/>
      <c r="AW124" s="232"/>
      <c r="AX124" s="232"/>
      <c r="AY124" s="232"/>
      <c r="AZ124" s="232"/>
      <c r="BA124" s="232"/>
      <c r="BB124" s="232"/>
      <c r="BC124" s="232"/>
      <c r="BD124" s="232"/>
      <c r="BE124" s="232"/>
      <c r="BF124" s="232"/>
      <c r="BG124" s="232"/>
      <c r="BH124" s="232"/>
      <c r="BI124" s="232"/>
      <c r="BJ124" s="232"/>
      <c r="BK124" s="232"/>
      <c r="BL124" s="232"/>
      <c r="BM124" s="232"/>
      <c r="BN124" s="232"/>
    </row>
    <row r="125" ht="22.5" hidden="1" customHeight="1">
      <c r="A125" s="103" t="s">
        <v>155</v>
      </c>
      <c r="B125" s="104"/>
      <c r="C125" s="105" t="s">
        <v>340</v>
      </c>
      <c r="D125" s="106">
        <v>1737.0</v>
      </c>
      <c r="E125" s="107" t="s">
        <v>157</v>
      </c>
      <c r="F125" s="108" t="s">
        <v>68</v>
      </c>
      <c r="G125" s="109" t="s">
        <v>341</v>
      </c>
      <c r="H125" s="110" t="s">
        <v>31</v>
      </c>
      <c r="I125" s="110" t="s">
        <v>98</v>
      </c>
      <c r="J125" s="111">
        <v>5000.0</v>
      </c>
      <c r="K125" s="112">
        <v>1064.0</v>
      </c>
      <c r="L125" s="113">
        <v>46127.0</v>
      </c>
      <c r="M125" s="113">
        <v>46133.0</v>
      </c>
      <c r="N125" s="114"/>
      <c r="O125" s="115" t="s">
        <v>342</v>
      </c>
      <c r="P125" s="116"/>
      <c r="Q125" s="107" t="s">
        <v>144</v>
      </c>
      <c r="R125" s="107" t="s">
        <v>133</v>
      </c>
      <c r="S125" s="115" t="s">
        <v>35</v>
      </c>
      <c r="T125" s="115" t="s">
        <v>36</v>
      </c>
      <c r="U125" s="118" t="s">
        <v>37</v>
      </c>
      <c r="V125" s="119"/>
      <c r="W125" s="111" t="s">
        <v>159</v>
      </c>
      <c r="X125" s="164" t="s">
        <v>160</v>
      </c>
      <c r="Y125" s="120"/>
      <c r="Z125" s="121"/>
      <c r="AA125" s="121"/>
      <c r="AB125" s="88"/>
      <c r="AC125" s="88"/>
      <c r="AD125" s="88"/>
      <c r="AE125" s="88"/>
      <c r="AF125" s="88"/>
      <c r="AG125" s="88"/>
      <c r="AH125" s="88"/>
      <c r="AI125" s="88"/>
      <c r="AJ125" s="88"/>
      <c r="AK125" s="88"/>
      <c r="AL125" s="88"/>
      <c r="AM125" s="89"/>
      <c r="AN125" s="89"/>
      <c r="AO125" s="89"/>
      <c r="AP125" s="89"/>
      <c r="AQ125" s="89"/>
      <c r="AR125" s="89"/>
      <c r="AS125" s="89"/>
      <c r="AT125" s="89"/>
      <c r="AU125" s="89"/>
      <c r="AV125" s="89"/>
      <c r="AW125" s="89"/>
      <c r="AX125" s="89"/>
      <c r="AY125" s="89"/>
      <c r="AZ125" s="89"/>
      <c r="BA125" s="89"/>
      <c r="BB125" s="89"/>
      <c r="BC125" s="89"/>
      <c r="BD125" s="89"/>
      <c r="BE125" s="89"/>
      <c r="BF125" s="89"/>
      <c r="BG125" s="89"/>
      <c r="BH125" s="89"/>
      <c r="BI125" s="89"/>
      <c r="BJ125" s="89"/>
      <c r="BK125" s="89"/>
      <c r="BL125" s="89"/>
      <c r="BM125" s="89"/>
      <c r="BN125" s="89"/>
    </row>
    <row r="126" ht="22.5" hidden="1" customHeight="1">
      <c r="A126" s="205" t="s">
        <v>27</v>
      </c>
      <c r="B126" s="206"/>
      <c r="C126" s="207" t="s">
        <v>343</v>
      </c>
      <c r="D126" s="208">
        <v>1664.0</v>
      </c>
      <c r="E126" s="209" t="s">
        <v>29</v>
      </c>
      <c r="F126" s="210" t="s">
        <v>68</v>
      </c>
      <c r="G126" s="211" t="s">
        <v>344</v>
      </c>
      <c r="H126" s="212" t="s">
        <v>31</v>
      </c>
      <c r="I126" s="212" t="s">
        <v>132</v>
      </c>
      <c r="J126" s="213">
        <v>202500.0</v>
      </c>
      <c r="K126" s="214">
        <v>7408.0</v>
      </c>
      <c r="L126" s="215">
        <v>46121.0</v>
      </c>
      <c r="M126" s="215">
        <v>46127.0</v>
      </c>
      <c r="N126" s="216"/>
      <c r="O126" s="217" t="s">
        <v>34</v>
      </c>
      <c r="P126" s="218"/>
      <c r="Q126" s="219"/>
      <c r="R126" s="220" t="s">
        <v>133</v>
      </c>
      <c r="S126" s="221" t="s">
        <v>36</v>
      </c>
      <c r="T126" s="221" t="s">
        <v>36</v>
      </c>
      <c r="U126" s="222" t="s">
        <v>37</v>
      </c>
      <c r="V126" s="223"/>
      <c r="W126" s="224" t="s">
        <v>345</v>
      </c>
      <c r="X126" s="225"/>
      <c r="Y126" s="229">
        <v>40.0</v>
      </c>
      <c r="Z126" s="226">
        <f t="shared" ref="Z126:Z127" si="4">J126/2500</f>
        <v>81</v>
      </c>
      <c r="AA126" s="227"/>
      <c r="AB126" s="184"/>
      <c r="AC126" s="184"/>
      <c r="AD126" s="184"/>
      <c r="AE126" s="184"/>
      <c r="AF126" s="184"/>
      <c r="AG126" s="184"/>
      <c r="AH126" s="184"/>
      <c r="AI126" s="184"/>
      <c r="AJ126" s="184"/>
      <c r="AK126" s="184"/>
      <c r="AL126" s="184"/>
      <c r="AM126" s="185"/>
      <c r="AN126" s="185"/>
      <c r="AO126" s="185"/>
      <c r="AP126" s="185"/>
      <c r="AQ126" s="185"/>
      <c r="AR126" s="185"/>
      <c r="AS126" s="185"/>
      <c r="AT126" s="185"/>
      <c r="AU126" s="185"/>
      <c r="AV126" s="185"/>
      <c r="AW126" s="185"/>
      <c r="AX126" s="185"/>
      <c r="AY126" s="185"/>
      <c r="AZ126" s="185"/>
      <c r="BA126" s="185"/>
      <c r="BB126" s="185"/>
      <c r="BC126" s="185"/>
      <c r="BD126" s="185"/>
      <c r="BE126" s="185"/>
      <c r="BF126" s="185"/>
      <c r="BG126" s="185"/>
      <c r="BH126" s="185"/>
      <c r="BI126" s="185"/>
      <c r="BJ126" s="185"/>
      <c r="BK126" s="185"/>
      <c r="BL126" s="185"/>
      <c r="BM126" s="185"/>
      <c r="BN126" s="185"/>
    </row>
    <row r="127" ht="22.5" hidden="1" customHeight="1">
      <c r="A127" s="205" t="s">
        <v>27</v>
      </c>
      <c r="B127" s="206"/>
      <c r="C127" s="207" t="s">
        <v>346</v>
      </c>
      <c r="D127" s="208">
        <v>1717.0</v>
      </c>
      <c r="E127" s="209" t="s">
        <v>29</v>
      </c>
      <c r="F127" s="210" t="s">
        <v>30</v>
      </c>
      <c r="G127" s="211" t="s">
        <v>347</v>
      </c>
      <c r="H127" s="212" t="s">
        <v>31</v>
      </c>
      <c r="I127" s="212" t="s">
        <v>132</v>
      </c>
      <c r="J127" s="213">
        <v>400000.0</v>
      </c>
      <c r="K127" s="214">
        <v>14492.0</v>
      </c>
      <c r="L127" s="215">
        <v>46121.0</v>
      </c>
      <c r="M127" s="215">
        <v>46127.0</v>
      </c>
      <c r="N127" s="216"/>
      <c r="O127" s="217" t="s">
        <v>34</v>
      </c>
      <c r="P127" s="218"/>
      <c r="Q127" s="219"/>
      <c r="R127" s="220" t="s">
        <v>133</v>
      </c>
      <c r="S127" s="221" t="s">
        <v>36</v>
      </c>
      <c r="T127" s="221" t="s">
        <v>36</v>
      </c>
      <c r="U127" s="222" t="s">
        <v>37</v>
      </c>
      <c r="V127" s="223"/>
      <c r="W127" s="224" t="s">
        <v>134</v>
      </c>
      <c r="X127" s="225"/>
      <c r="Y127" s="229">
        <v>80.0</v>
      </c>
      <c r="Z127" s="226">
        <f t="shared" si="4"/>
        <v>160</v>
      </c>
      <c r="AA127" s="227"/>
      <c r="AB127" s="184"/>
      <c r="AC127" s="184"/>
      <c r="AD127" s="184"/>
      <c r="AE127" s="184"/>
      <c r="AF127" s="184"/>
      <c r="AG127" s="184"/>
      <c r="AH127" s="184"/>
      <c r="AI127" s="184"/>
      <c r="AJ127" s="184"/>
      <c r="AK127" s="184"/>
      <c r="AL127" s="184"/>
      <c r="AM127" s="185"/>
      <c r="AN127" s="185"/>
      <c r="AO127" s="185"/>
      <c r="AP127" s="185"/>
      <c r="AQ127" s="185"/>
      <c r="AR127" s="185"/>
      <c r="AS127" s="185"/>
      <c r="AT127" s="185"/>
      <c r="AU127" s="185"/>
      <c r="AV127" s="185"/>
      <c r="AW127" s="185"/>
      <c r="AX127" s="185"/>
      <c r="AY127" s="185"/>
      <c r="AZ127" s="185"/>
      <c r="BA127" s="185"/>
      <c r="BB127" s="185"/>
      <c r="BC127" s="185"/>
      <c r="BD127" s="185"/>
      <c r="BE127" s="185"/>
      <c r="BF127" s="185"/>
      <c r="BG127" s="185"/>
      <c r="BH127" s="185"/>
      <c r="BI127" s="185"/>
      <c r="BJ127" s="185"/>
      <c r="BK127" s="185"/>
      <c r="BL127" s="185"/>
      <c r="BM127" s="185"/>
      <c r="BN127" s="185"/>
    </row>
    <row r="128" ht="22.5" hidden="1" customHeight="1">
      <c r="A128" s="103" t="s">
        <v>155</v>
      </c>
      <c r="B128" s="104"/>
      <c r="C128" s="105" t="s">
        <v>348</v>
      </c>
      <c r="D128" s="106">
        <v>1738.0</v>
      </c>
      <c r="E128" s="107" t="s">
        <v>157</v>
      </c>
      <c r="F128" s="108" t="s">
        <v>30</v>
      </c>
      <c r="G128" s="109" t="s">
        <v>349</v>
      </c>
      <c r="H128" s="110" t="s">
        <v>31</v>
      </c>
      <c r="I128" s="110" t="s">
        <v>98</v>
      </c>
      <c r="J128" s="111">
        <v>3000.0</v>
      </c>
      <c r="K128" s="112">
        <v>496.0</v>
      </c>
      <c r="L128" s="113">
        <v>46127.0</v>
      </c>
      <c r="M128" s="113">
        <v>46133.0</v>
      </c>
      <c r="N128" s="114"/>
      <c r="O128" s="115" t="s">
        <v>70</v>
      </c>
      <c r="P128" s="116"/>
      <c r="Q128" s="107" t="s">
        <v>144</v>
      </c>
      <c r="R128" s="107" t="s">
        <v>133</v>
      </c>
      <c r="S128" s="115" t="s">
        <v>35</v>
      </c>
      <c r="T128" s="115" t="s">
        <v>36</v>
      </c>
      <c r="U128" s="118" t="s">
        <v>37</v>
      </c>
      <c r="V128" s="119"/>
      <c r="W128" s="111" t="s">
        <v>159</v>
      </c>
      <c r="X128" s="164" t="s">
        <v>160</v>
      </c>
      <c r="Y128" s="120"/>
      <c r="Z128" s="121"/>
      <c r="AA128" s="121"/>
      <c r="AB128" s="231"/>
      <c r="AC128" s="231"/>
      <c r="AD128" s="231"/>
      <c r="AE128" s="231"/>
      <c r="AF128" s="231"/>
      <c r="AG128" s="231"/>
      <c r="AH128" s="231"/>
      <c r="AI128" s="231"/>
      <c r="AJ128" s="231"/>
      <c r="AK128" s="231"/>
      <c r="AL128" s="231"/>
      <c r="AM128" s="232"/>
      <c r="AN128" s="232"/>
      <c r="AO128" s="232"/>
      <c r="AP128" s="232"/>
      <c r="AQ128" s="232"/>
      <c r="AR128" s="232"/>
      <c r="AS128" s="232"/>
      <c r="AT128" s="232"/>
      <c r="AU128" s="232"/>
      <c r="AV128" s="232"/>
      <c r="AW128" s="232"/>
      <c r="AX128" s="232"/>
      <c r="AY128" s="232"/>
      <c r="AZ128" s="232"/>
      <c r="BA128" s="232"/>
      <c r="BB128" s="232"/>
      <c r="BC128" s="232"/>
      <c r="BD128" s="232"/>
      <c r="BE128" s="232"/>
      <c r="BF128" s="232"/>
      <c r="BG128" s="232"/>
      <c r="BH128" s="232"/>
      <c r="BI128" s="232"/>
      <c r="BJ128" s="232"/>
      <c r="BK128" s="232"/>
      <c r="BL128" s="232"/>
      <c r="BM128" s="232"/>
      <c r="BN128" s="232"/>
    </row>
    <row r="129" ht="22.5" hidden="1" customHeight="1">
      <c r="A129" s="137" t="s">
        <v>27</v>
      </c>
      <c r="B129" s="138"/>
      <c r="C129" s="139" t="s">
        <v>350</v>
      </c>
      <c r="D129" s="140">
        <v>1739.0</v>
      </c>
      <c r="E129" s="141" t="s">
        <v>29</v>
      </c>
      <c r="F129" s="142" t="s">
        <v>30</v>
      </c>
      <c r="G129" s="143" t="s">
        <v>138</v>
      </c>
      <c r="H129" s="144" t="s">
        <v>31</v>
      </c>
      <c r="I129" s="144" t="s">
        <v>132</v>
      </c>
      <c r="J129" s="145">
        <v>20000.0</v>
      </c>
      <c r="K129" s="146">
        <v>1113.0</v>
      </c>
      <c r="L129" s="147">
        <v>46122.0</v>
      </c>
      <c r="M129" s="147">
        <v>46125.0</v>
      </c>
      <c r="N129" s="148"/>
      <c r="O129" s="149" t="s">
        <v>34</v>
      </c>
      <c r="P129" s="150"/>
      <c r="Q129" s="151"/>
      <c r="R129" s="152" t="s">
        <v>133</v>
      </c>
      <c r="S129" s="153" t="s">
        <v>36</v>
      </c>
      <c r="T129" s="153" t="s">
        <v>36</v>
      </c>
      <c r="U129" s="154" t="s">
        <v>37</v>
      </c>
      <c r="V129" s="155"/>
      <c r="W129" s="156" t="s">
        <v>134</v>
      </c>
      <c r="X129" s="162"/>
      <c r="Y129" s="162">
        <v>4.0</v>
      </c>
      <c r="Z129" s="158">
        <f>J129/2500</f>
        <v>8</v>
      </c>
      <c r="AA129" s="162" t="s">
        <v>140</v>
      </c>
      <c r="AB129" s="159"/>
      <c r="AC129" s="159"/>
      <c r="AD129" s="159"/>
      <c r="AE129" s="159"/>
      <c r="AF129" s="159"/>
      <c r="AG129" s="159"/>
      <c r="AH129" s="159"/>
      <c r="AI129" s="159"/>
      <c r="AJ129" s="159"/>
      <c r="AK129" s="159"/>
      <c r="AL129" s="159"/>
      <c r="AM129" s="160"/>
      <c r="AN129" s="160"/>
      <c r="AO129" s="160"/>
      <c r="AP129" s="160"/>
      <c r="AQ129" s="160"/>
      <c r="AR129" s="160"/>
      <c r="AS129" s="160"/>
      <c r="AT129" s="160"/>
      <c r="AU129" s="160"/>
      <c r="AV129" s="160"/>
      <c r="AW129" s="160"/>
      <c r="AX129" s="160"/>
      <c r="AY129" s="160"/>
      <c r="AZ129" s="160"/>
      <c r="BA129" s="160"/>
      <c r="BB129" s="160"/>
      <c r="BC129" s="160"/>
      <c r="BD129" s="160"/>
      <c r="BE129" s="160"/>
      <c r="BF129" s="160"/>
      <c r="BG129" s="160"/>
      <c r="BH129" s="160"/>
      <c r="BI129" s="160"/>
      <c r="BJ129" s="160"/>
      <c r="BK129" s="160"/>
      <c r="BL129" s="160"/>
      <c r="BM129" s="160"/>
      <c r="BN129" s="160"/>
    </row>
    <row r="130" ht="22.5" hidden="1" customHeight="1">
      <c r="A130" s="233" t="s">
        <v>351</v>
      </c>
      <c r="B130" s="104"/>
      <c r="C130" s="124" t="s">
        <v>352</v>
      </c>
      <c r="D130" s="106">
        <v>1471.0</v>
      </c>
      <c r="E130" s="107" t="s">
        <v>51</v>
      </c>
      <c r="F130" s="108" t="s">
        <v>353</v>
      </c>
      <c r="G130" s="109" t="s">
        <v>354</v>
      </c>
      <c r="H130" s="110" t="s">
        <v>31</v>
      </c>
      <c r="I130" s="110" t="s">
        <v>311</v>
      </c>
      <c r="J130" s="111">
        <v>500.0</v>
      </c>
      <c r="K130" s="112">
        <v>160.0</v>
      </c>
      <c r="L130" s="113">
        <v>46118.0</v>
      </c>
      <c r="M130" s="113">
        <v>46125.0</v>
      </c>
      <c r="N130" s="114"/>
      <c r="O130" s="115" t="s">
        <v>338</v>
      </c>
      <c r="P130" s="116"/>
      <c r="Q130" s="234"/>
      <c r="R130" s="234"/>
      <c r="S130" s="126" t="s">
        <v>36</v>
      </c>
      <c r="T130" s="126" t="s">
        <v>36</v>
      </c>
      <c r="U130" s="127" t="s">
        <v>37</v>
      </c>
      <c r="V130" s="128"/>
      <c r="W130" s="136"/>
      <c r="X130" s="235" t="s">
        <v>355</v>
      </c>
      <c r="Y130" s="121"/>
      <c r="Z130" s="121"/>
      <c r="AA130" s="121"/>
      <c r="AB130" s="122"/>
      <c r="AC130" s="122"/>
      <c r="AD130" s="122"/>
      <c r="AE130" s="122"/>
      <c r="AF130" s="122"/>
      <c r="AG130" s="122"/>
      <c r="AH130" s="122"/>
      <c r="AI130" s="122"/>
      <c r="AJ130" s="122"/>
      <c r="AK130" s="122"/>
      <c r="AL130" s="122"/>
    </row>
    <row r="131" ht="22.5" hidden="1" customHeight="1">
      <c r="A131" s="233" t="s">
        <v>351</v>
      </c>
      <c r="B131" s="104"/>
      <c r="C131" s="124" t="s">
        <v>356</v>
      </c>
      <c r="D131" s="106">
        <v>1470.0</v>
      </c>
      <c r="E131" s="107" t="s">
        <v>51</v>
      </c>
      <c r="F131" s="108" t="s">
        <v>353</v>
      </c>
      <c r="G131" s="109" t="s">
        <v>357</v>
      </c>
      <c r="H131" s="110" t="s">
        <v>31</v>
      </c>
      <c r="I131" s="110" t="s">
        <v>132</v>
      </c>
      <c r="J131" s="111">
        <v>500.0</v>
      </c>
      <c r="K131" s="112">
        <v>139.0</v>
      </c>
      <c r="L131" s="113">
        <v>46118.0</v>
      </c>
      <c r="M131" s="113">
        <v>46125.0</v>
      </c>
      <c r="N131" s="114"/>
      <c r="O131" s="115" t="s">
        <v>54</v>
      </c>
      <c r="P131" s="116"/>
      <c r="Q131" s="234"/>
      <c r="R131" s="234"/>
      <c r="S131" s="126" t="s">
        <v>36</v>
      </c>
      <c r="T131" s="126" t="s">
        <v>36</v>
      </c>
      <c r="U131" s="127" t="s">
        <v>37</v>
      </c>
      <c r="V131" s="128"/>
      <c r="W131" s="136"/>
      <c r="X131" s="235" t="s">
        <v>355</v>
      </c>
      <c r="Y131" s="121"/>
      <c r="Z131" s="121"/>
      <c r="AA131" s="121"/>
      <c r="AB131" s="122"/>
      <c r="AC131" s="122"/>
      <c r="AD131" s="122"/>
      <c r="AE131" s="122"/>
      <c r="AF131" s="122"/>
      <c r="AG131" s="122"/>
      <c r="AH131" s="122"/>
      <c r="AI131" s="122"/>
      <c r="AJ131" s="122"/>
      <c r="AK131" s="122"/>
      <c r="AL131" s="122"/>
    </row>
    <row r="132" ht="22.5" hidden="1" customHeight="1">
      <c r="A132" s="233" t="s">
        <v>351</v>
      </c>
      <c r="B132" s="104"/>
      <c r="C132" s="124" t="s">
        <v>358</v>
      </c>
      <c r="D132" s="106">
        <v>1469.0</v>
      </c>
      <c r="E132" s="107" t="s">
        <v>51</v>
      </c>
      <c r="F132" s="108" t="s">
        <v>96</v>
      </c>
      <c r="G132" s="109" t="s">
        <v>359</v>
      </c>
      <c r="H132" s="110" t="s">
        <v>31</v>
      </c>
      <c r="I132" s="110" t="s">
        <v>132</v>
      </c>
      <c r="J132" s="111">
        <v>500.0</v>
      </c>
      <c r="K132" s="112">
        <v>139.0</v>
      </c>
      <c r="L132" s="113">
        <v>46118.0</v>
      </c>
      <c r="M132" s="113">
        <v>46125.0</v>
      </c>
      <c r="N132" s="114"/>
      <c r="O132" s="115" t="s">
        <v>34</v>
      </c>
      <c r="P132" s="116"/>
      <c r="Q132" s="234"/>
      <c r="R132" s="234"/>
      <c r="S132" s="126" t="s">
        <v>36</v>
      </c>
      <c r="T132" s="126" t="s">
        <v>36</v>
      </c>
      <c r="U132" s="127" t="s">
        <v>37</v>
      </c>
      <c r="V132" s="128"/>
      <c r="W132" s="136"/>
      <c r="X132" s="235" t="s">
        <v>355</v>
      </c>
      <c r="Y132" s="121"/>
      <c r="Z132" s="121"/>
      <c r="AA132" s="121"/>
      <c r="AB132" s="122"/>
      <c r="AC132" s="122"/>
      <c r="AD132" s="122"/>
      <c r="AE132" s="122"/>
      <c r="AF132" s="122"/>
      <c r="AG132" s="122"/>
      <c r="AH132" s="122"/>
      <c r="AI132" s="122"/>
      <c r="AJ132" s="122"/>
      <c r="AK132" s="122"/>
      <c r="AL132" s="122"/>
    </row>
    <row r="133" ht="22.5" hidden="1" customHeight="1">
      <c r="A133" s="137" t="s">
        <v>27</v>
      </c>
      <c r="B133" s="138"/>
      <c r="C133" s="139" t="s">
        <v>360</v>
      </c>
      <c r="D133" s="140">
        <v>1740.0</v>
      </c>
      <c r="E133" s="141" t="s">
        <v>29</v>
      </c>
      <c r="F133" s="142" t="s">
        <v>30</v>
      </c>
      <c r="G133" s="143" t="s">
        <v>240</v>
      </c>
      <c r="H133" s="144" t="s">
        <v>31</v>
      </c>
      <c r="I133" s="144" t="s">
        <v>132</v>
      </c>
      <c r="J133" s="145">
        <v>20000.0</v>
      </c>
      <c r="K133" s="146">
        <v>934.0</v>
      </c>
      <c r="L133" s="147">
        <v>46121.0</v>
      </c>
      <c r="M133" s="147">
        <v>46127.0</v>
      </c>
      <c r="N133" s="148"/>
      <c r="O133" s="149" t="s">
        <v>34</v>
      </c>
      <c r="P133" s="150"/>
      <c r="Q133" s="151"/>
      <c r="R133" s="152" t="s">
        <v>133</v>
      </c>
      <c r="S133" s="153" t="s">
        <v>36</v>
      </c>
      <c r="T133" s="153" t="s">
        <v>36</v>
      </c>
      <c r="U133" s="154" t="s">
        <v>37</v>
      </c>
      <c r="V133" s="155"/>
      <c r="W133" s="156" t="s">
        <v>134</v>
      </c>
      <c r="X133" s="236"/>
      <c r="Y133" s="157"/>
      <c r="Z133" s="158">
        <f>J133/2500</f>
        <v>8</v>
      </c>
      <c r="AA133" s="236"/>
      <c r="AB133" s="159"/>
      <c r="AC133" s="159"/>
      <c r="AD133" s="159"/>
      <c r="AE133" s="159"/>
      <c r="AF133" s="159"/>
      <c r="AG133" s="159"/>
      <c r="AH133" s="159"/>
      <c r="AI133" s="159"/>
      <c r="AJ133" s="159"/>
      <c r="AK133" s="159"/>
      <c r="AL133" s="159"/>
      <c r="AM133" s="160"/>
      <c r="AN133" s="160"/>
      <c r="AO133" s="160"/>
      <c r="AP133" s="160"/>
      <c r="AQ133" s="160"/>
      <c r="AR133" s="160"/>
      <c r="AS133" s="160"/>
      <c r="AT133" s="160"/>
      <c r="AU133" s="160"/>
      <c r="AV133" s="160"/>
      <c r="AW133" s="160"/>
      <c r="AX133" s="160"/>
      <c r="AY133" s="160"/>
      <c r="AZ133" s="160"/>
      <c r="BA133" s="160"/>
      <c r="BB133" s="160"/>
      <c r="BC133" s="160"/>
      <c r="BD133" s="160"/>
      <c r="BE133" s="160"/>
      <c r="BF133" s="160"/>
      <c r="BG133" s="160"/>
      <c r="BH133" s="160"/>
      <c r="BI133" s="160"/>
      <c r="BJ133" s="160"/>
      <c r="BK133" s="160"/>
      <c r="BL133" s="160"/>
      <c r="BM133" s="160"/>
      <c r="BN133" s="160"/>
    </row>
    <row r="134" ht="22.5" hidden="1" customHeight="1">
      <c r="A134" s="103" t="s">
        <v>361</v>
      </c>
      <c r="B134" s="104"/>
      <c r="C134" s="105" t="s">
        <v>362</v>
      </c>
      <c r="D134" s="106">
        <v>1561.0</v>
      </c>
      <c r="E134" s="107" t="s">
        <v>95</v>
      </c>
      <c r="F134" s="108" t="s">
        <v>72</v>
      </c>
      <c r="G134" s="109" t="s">
        <v>363</v>
      </c>
      <c r="H134" s="110" t="s">
        <v>31</v>
      </c>
      <c r="I134" s="110" t="s">
        <v>98</v>
      </c>
      <c r="J134" s="111">
        <v>10000.0</v>
      </c>
      <c r="K134" s="112">
        <v>914.0</v>
      </c>
      <c r="L134" s="113">
        <v>46122.0</v>
      </c>
      <c r="M134" s="113">
        <v>46125.0</v>
      </c>
      <c r="N134" s="114"/>
      <c r="O134" s="115" t="s">
        <v>99</v>
      </c>
      <c r="P134" s="116"/>
      <c r="Q134" s="107" t="s">
        <v>35</v>
      </c>
      <c r="R134" s="107" t="s">
        <v>133</v>
      </c>
      <c r="S134" s="115" t="s">
        <v>36</v>
      </c>
      <c r="T134" s="115" t="s">
        <v>36</v>
      </c>
      <c r="U134" s="118" t="s">
        <v>37</v>
      </c>
      <c r="V134" s="119"/>
      <c r="W134" s="237" t="s">
        <v>364</v>
      </c>
      <c r="X134" s="164" t="s">
        <v>365</v>
      </c>
      <c r="Y134" s="121"/>
      <c r="Z134" s="121"/>
      <c r="AA134" s="121"/>
      <c r="AB134" s="122"/>
      <c r="AC134" s="122"/>
      <c r="AD134" s="122"/>
      <c r="AE134" s="122"/>
      <c r="AF134" s="122"/>
      <c r="AG134" s="122"/>
      <c r="AH134" s="122"/>
      <c r="AI134" s="122"/>
      <c r="AJ134" s="122"/>
      <c r="AK134" s="122"/>
      <c r="AL134" s="122"/>
    </row>
    <row r="135" ht="22.5" hidden="1" customHeight="1">
      <c r="A135" s="205" t="s">
        <v>27</v>
      </c>
      <c r="B135" s="206"/>
      <c r="C135" s="207" t="s">
        <v>366</v>
      </c>
      <c r="D135" s="208">
        <v>1665.0</v>
      </c>
      <c r="E135" s="209" t="s">
        <v>29</v>
      </c>
      <c r="F135" s="210" t="s">
        <v>30</v>
      </c>
      <c r="G135" s="211" t="s">
        <v>240</v>
      </c>
      <c r="H135" s="212" t="s">
        <v>31</v>
      </c>
      <c r="I135" s="212" t="s">
        <v>132</v>
      </c>
      <c r="J135" s="213">
        <v>20000.0</v>
      </c>
      <c r="K135" s="214">
        <v>984.0</v>
      </c>
      <c r="L135" s="215">
        <v>46122.0</v>
      </c>
      <c r="M135" s="215">
        <v>46125.0</v>
      </c>
      <c r="N135" s="216"/>
      <c r="O135" s="217" t="s">
        <v>34</v>
      </c>
      <c r="P135" s="218"/>
      <c r="Q135" s="219"/>
      <c r="R135" s="220" t="s">
        <v>133</v>
      </c>
      <c r="S135" s="221" t="s">
        <v>36</v>
      </c>
      <c r="T135" s="221" t="s">
        <v>36</v>
      </c>
      <c r="U135" s="222" t="s">
        <v>37</v>
      </c>
      <c r="V135" s="223"/>
      <c r="W135" s="224" t="s">
        <v>134</v>
      </c>
      <c r="X135" s="225"/>
      <c r="Y135" s="229" t="s">
        <v>367</v>
      </c>
      <c r="Z135" s="226">
        <f t="shared" ref="Z135:Z136" si="5">J135/2500</f>
        <v>8</v>
      </c>
      <c r="AA135" s="227"/>
      <c r="AB135" s="184"/>
      <c r="AC135" s="184"/>
      <c r="AD135" s="184"/>
      <c r="AE135" s="184"/>
      <c r="AF135" s="184"/>
      <c r="AG135" s="184"/>
      <c r="AH135" s="184"/>
      <c r="AI135" s="184"/>
      <c r="AJ135" s="184"/>
      <c r="AK135" s="184"/>
      <c r="AL135" s="184"/>
      <c r="AM135" s="185"/>
      <c r="AN135" s="185"/>
      <c r="AO135" s="185"/>
      <c r="AP135" s="185"/>
      <c r="AQ135" s="185"/>
      <c r="AR135" s="185"/>
      <c r="AS135" s="185"/>
      <c r="AT135" s="185"/>
      <c r="AU135" s="185"/>
      <c r="AV135" s="185"/>
      <c r="AW135" s="185"/>
      <c r="AX135" s="185"/>
      <c r="AY135" s="185"/>
      <c r="AZ135" s="185"/>
      <c r="BA135" s="185"/>
      <c r="BB135" s="185"/>
      <c r="BC135" s="185"/>
      <c r="BD135" s="185"/>
      <c r="BE135" s="185"/>
      <c r="BF135" s="185"/>
      <c r="BG135" s="185"/>
      <c r="BH135" s="185"/>
      <c r="BI135" s="185"/>
      <c r="BJ135" s="185"/>
      <c r="BK135" s="185"/>
      <c r="BL135" s="185"/>
      <c r="BM135" s="185"/>
      <c r="BN135" s="185"/>
    </row>
    <row r="136" ht="22.5" hidden="1" customHeight="1">
      <c r="A136" s="137" t="s">
        <v>27</v>
      </c>
      <c r="B136" s="138"/>
      <c r="C136" s="139" t="s">
        <v>368</v>
      </c>
      <c r="D136" s="140">
        <v>1751.0</v>
      </c>
      <c r="E136" s="141" t="s">
        <v>29</v>
      </c>
      <c r="F136" s="142" t="s">
        <v>30</v>
      </c>
      <c r="G136" s="143" t="s">
        <v>369</v>
      </c>
      <c r="H136" s="144" t="s">
        <v>31</v>
      </c>
      <c r="I136" s="144" t="s">
        <v>98</v>
      </c>
      <c r="J136" s="145">
        <v>10000.0</v>
      </c>
      <c r="K136" s="146">
        <v>689.0</v>
      </c>
      <c r="L136" s="147">
        <v>46122.0</v>
      </c>
      <c r="M136" s="147">
        <v>46125.0</v>
      </c>
      <c r="N136" s="148"/>
      <c r="O136" s="149" t="s">
        <v>34</v>
      </c>
      <c r="P136" s="150"/>
      <c r="Q136" s="151"/>
      <c r="R136" s="152" t="s">
        <v>133</v>
      </c>
      <c r="S136" s="153" t="s">
        <v>36</v>
      </c>
      <c r="T136" s="153" t="s">
        <v>36</v>
      </c>
      <c r="U136" s="154" t="s">
        <v>37</v>
      </c>
      <c r="V136" s="155"/>
      <c r="W136" s="156" t="s">
        <v>134</v>
      </c>
      <c r="X136" s="162"/>
      <c r="Y136" s="162">
        <v>1.0</v>
      </c>
      <c r="Z136" s="158">
        <f t="shared" si="5"/>
        <v>4</v>
      </c>
      <c r="AA136" s="162" t="s">
        <v>370</v>
      </c>
      <c r="AB136" s="159"/>
      <c r="AC136" s="159"/>
      <c r="AD136" s="159"/>
      <c r="AE136" s="159"/>
      <c r="AF136" s="159"/>
      <c r="AG136" s="159"/>
      <c r="AH136" s="159"/>
      <c r="AI136" s="159"/>
      <c r="AJ136" s="159"/>
      <c r="AK136" s="159"/>
      <c r="AL136" s="159"/>
      <c r="AM136" s="160"/>
      <c r="AN136" s="160"/>
      <c r="AO136" s="160"/>
      <c r="AP136" s="160"/>
      <c r="AQ136" s="160"/>
      <c r="AR136" s="160"/>
      <c r="AS136" s="160"/>
      <c r="AT136" s="160"/>
      <c r="AU136" s="160"/>
      <c r="AV136" s="160"/>
      <c r="AW136" s="160"/>
      <c r="AX136" s="160"/>
      <c r="AY136" s="160"/>
      <c r="AZ136" s="160"/>
      <c r="BA136" s="160"/>
      <c r="BB136" s="160"/>
      <c r="BC136" s="160"/>
      <c r="BD136" s="160"/>
      <c r="BE136" s="160"/>
      <c r="BF136" s="160"/>
      <c r="BG136" s="160"/>
      <c r="BH136" s="160"/>
      <c r="BI136" s="160"/>
      <c r="BJ136" s="160"/>
      <c r="BK136" s="160"/>
      <c r="BL136" s="160"/>
      <c r="BM136" s="160"/>
      <c r="BN136" s="160"/>
    </row>
    <row r="137" ht="22.5" hidden="1" customHeight="1">
      <c r="A137" s="103" t="s">
        <v>155</v>
      </c>
      <c r="B137" s="104"/>
      <c r="C137" s="105" t="s">
        <v>371</v>
      </c>
      <c r="D137" s="106">
        <v>1760.0</v>
      </c>
      <c r="E137" s="107" t="s">
        <v>157</v>
      </c>
      <c r="F137" s="108" t="s">
        <v>30</v>
      </c>
      <c r="G137" s="109" t="s">
        <v>372</v>
      </c>
      <c r="H137" s="110" t="s">
        <v>31</v>
      </c>
      <c r="I137" s="110" t="s">
        <v>132</v>
      </c>
      <c r="J137" s="111">
        <v>10000.0</v>
      </c>
      <c r="K137" s="112">
        <v>768.0</v>
      </c>
      <c r="L137" s="113">
        <v>46126.0</v>
      </c>
      <c r="M137" s="113">
        <v>46132.0</v>
      </c>
      <c r="N137" s="114"/>
      <c r="O137" s="115" t="s">
        <v>70</v>
      </c>
      <c r="P137" s="116"/>
      <c r="Q137" s="107" t="s">
        <v>35</v>
      </c>
      <c r="R137" s="107" t="s">
        <v>133</v>
      </c>
      <c r="S137" s="115" t="s">
        <v>35</v>
      </c>
      <c r="T137" s="115" t="s">
        <v>36</v>
      </c>
      <c r="U137" s="118" t="s">
        <v>37</v>
      </c>
      <c r="V137" s="119"/>
      <c r="W137" s="111" t="s">
        <v>159</v>
      </c>
      <c r="X137" s="164" t="s">
        <v>160</v>
      </c>
      <c r="Y137" s="120"/>
      <c r="Z137" s="121"/>
      <c r="AA137" s="121"/>
      <c r="AB137" s="122"/>
      <c r="AC137" s="122"/>
      <c r="AD137" s="122"/>
      <c r="AE137" s="122"/>
      <c r="AF137" s="122"/>
      <c r="AG137" s="122"/>
      <c r="AH137" s="122"/>
      <c r="AI137" s="122"/>
      <c r="AJ137" s="122"/>
      <c r="AK137" s="122"/>
      <c r="AL137" s="122"/>
    </row>
    <row r="138" ht="22.5" hidden="1" customHeight="1">
      <c r="A138" s="103" t="s">
        <v>155</v>
      </c>
      <c r="B138" s="104"/>
      <c r="C138" s="105" t="s">
        <v>373</v>
      </c>
      <c r="D138" s="106">
        <v>1761.0</v>
      </c>
      <c r="E138" s="107" t="s">
        <v>157</v>
      </c>
      <c r="F138" s="108" t="s">
        <v>30</v>
      </c>
      <c r="G138" s="109" t="s">
        <v>374</v>
      </c>
      <c r="H138" s="110" t="s">
        <v>31</v>
      </c>
      <c r="I138" s="110" t="s">
        <v>132</v>
      </c>
      <c r="J138" s="111">
        <v>10000.0</v>
      </c>
      <c r="K138" s="112">
        <v>1048.0</v>
      </c>
      <c r="L138" s="113">
        <v>46126.0</v>
      </c>
      <c r="M138" s="113">
        <v>46132.0</v>
      </c>
      <c r="N138" s="114"/>
      <c r="O138" s="115" t="s">
        <v>70</v>
      </c>
      <c r="P138" s="116"/>
      <c r="Q138" s="107" t="s">
        <v>35</v>
      </c>
      <c r="R138" s="107" t="s">
        <v>133</v>
      </c>
      <c r="S138" s="115" t="s">
        <v>35</v>
      </c>
      <c r="T138" s="115" t="s">
        <v>35</v>
      </c>
      <c r="U138" s="118" t="s">
        <v>37</v>
      </c>
      <c r="V138" s="119"/>
      <c r="W138" s="111" t="s">
        <v>159</v>
      </c>
      <c r="X138" s="164" t="s">
        <v>160</v>
      </c>
      <c r="Y138" s="120"/>
      <c r="Z138" s="121"/>
      <c r="AA138" s="121"/>
      <c r="AB138" s="122"/>
      <c r="AC138" s="122"/>
      <c r="AD138" s="122"/>
      <c r="AE138" s="122"/>
      <c r="AF138" s="122"/>
      <c r="AG138" s="122"/>
      <c r="AH138" s="122"/>
      <c r="AI138" s="122"/>
      <c r="AJ138" s="122"/>
      <c r="AK138" s="122"/>
      <c r="AL138" s="122"/>
    </row>
    <row r="139" ht="22.5" hidden="1" customHeight="1">
      <c r="A139" s="137" t="s">
        <v>27</v>
      </c>
      <c r="B139" s="138"/>
      <c r="C139" s="139" t="s">
        <v>375</v>
      </c>
      <c r="D139" s="140">
        <v>1762.0</v>
      </c>
      <c r="E139" s="141" t="s">
        <v>29</v>
      </c>
      <c r="F139" s="142" t="s">
        <v>30</v>
      </c>
      <c r="G139" s="143" t="s">
        <v>376</v>
      </c>
      <c r="H139" s="144" t="s">
        <v>31</v>
      </c>
      <c r="I139" s="144" t="s">
        <v>132</v>
      </c>
      <c r="J139" s="145">
        <v>10000.0</v>
      </c>
      <c r="K139" s="146">
        <v>654.0</v>
      </c>
      <c r="L139" s="147">
        <v>46121.0</v>
      </c>
      <c r="M139" s="147">
        <v>46127.0</v>
      </c>
      <c r="N139" s="148"/>
      <c r="O139" s="149" t="s">
        <v>34</v>
      </c>
      <c r="P139" s="150"/>
      <c r="Q139" s="151"/>
      <c r="R139" s="152" t="s">
        <v>133</v>
      </c>
      <c r="S139" s="153" t="s">
        <v>36</v>
      </c>
      <c r="T139" s="153" t="s">
        <v>36</v>
      </c>
      <c r="U139" s="154" t="s">
        <v>37</v>
      </c>
      <c r="V139" s="155"/>
      <c r="W139" s="156" t="s">
        <v>134</v>
      </c>
      <c r="X139" s="162"/>
      <c r="Y139" s="162">
        <v>2.0</v>
      </c>
      <c r="Z139" s="158">
        <f>J139/2500</f>
        <v>4</v>
      </c>
      <c r="AA139" s="162" t="s">
        <v>140</v>
      </c>
      <c r="AB139" s="159"/>
      <c r="AC139" s="159"/>
      <c r="AD139" s="159"/>
      <c r="AE139" s="159"/>
      <c r="AF139" s="159"/>
      <c r="AG139" s="159"/>
      <c r="AH139" s="159"/>
      <c r="AI139" s="159"/>
      <c r="AJ139" s="159"/>
      <c r="AK139" s="159"/>
      <c r="AL139" s="159"/>
      <c r="AM139" s="160"/>
      <c r="AN139" s="160"/>
      <c r="AO139" s="160"/>
      <c r="AP139" s="160"/>
      <c r="AQ139" s="160"/>
      <c r="AR139" s="160"/>
      <c r="AS139" s="160"/>
      <c r="AT139" s="160"/>
      <c r="AU139" s="160"/>
      <c r="AV139" s="160"/>
      <c r="AW139" s="160"/>
      <c r="AX139" s="160"/>
      <c r="AY139" s="160"/>
      <c r="AZ139" s="160"/>
      <c r="BA139" s="160"/>
      <c r="BB139" s="160"/>
      <c r="BC139" s="160"/>
      <c r="BD139" s="160"/>
      <c r="BE139" s="160"/>
      <c r="BF139" s="160"/>
      <c r="BG139" s="160"/>
      <c r="BH139" s="160"/>
      <c r="BI139" s="160"/>
      <c r="BJ139" s="160"/>
      <c r="BK139" s="160"/>
      <c r="BL139" s="160"/>
      <c r="BM139" s="160"/>
      <c r="BN139" s="160"/>
    </row>
    <row r="140" ht="22.5" hidden="1" customHeight="1">
      <c r="A140" s="103" t="s">
        <v>377</v>
      </c>
      <c r="B140" s="104"/>
      <c r="C140" s="238" t="s">
        <v>378</v>
      </c>
      <c r="D140" s="106">
        <v>1763.0</v>
      </c>
      <c r="E140" s="107" t="s">
        <v>164</v>
      </c>
      <c r="F140" s="108" t="s">
        <v>30</v>
      </c>
      <c r="G140" s="109" t="s">
        <v>379</v>
      </c>
      <c r="H140" s="110" t="s">
        <v>31</v>
      </c>
      <c r="I140" s="110" t="s">
        <v>98</v>
      </c>
      <c r="J140" s="111">
        <v>10000.0</v>
      </c>
      <c r="K140" s="112">
        <v>1263.0</v>
      </c>
      <c r="L140" s="113">
        <v>46127.0</v>
      </c>
      <c r="M140" s="113">
        <v>46134.0</v>
      </c>
      <c r="N140" s="114"/>
      <c r="O140" s="115" t="s">
        <v>99</v>
      </c>
      <c r="P140" s="116"/>
      <c r="Q140" s="167" t="s">
        <v>35</v>
      </c>
      <c r="R140" s="167" t="s">
        <v>133</v>
      </c>
      <c r="S140" s="126" t="s">
        <v>36</v>
      </c>
      <c r="T140" s="126" t="s">
        <v>36</v>
      </c>
      <c r="U140" s="127" t="s">
        <v>37</v>
      </c>
      <c r="V140" s="128"/>
      <c r="W140" s="136"/>
      <c r="X140" s="164" t="s">
        <v>257</v>
      </c>
      <c r="Y140" s="120"/>
      <c r="Z140" s="121"/>
      <c r="AA140" s="121"/>
      <c r="AB140" s="122"/>
      <c r="AC140" s="122"/>
      <c r="AD140" s="122"/>
      <c r="AE140" s="122"/>
      <c r="AF140" s="122"/>
      <c r="AG140" s="122"/>
      <c r="AH140" s="122"/>
      <c r="AI140" s="122"/>
      <c r="AJ140" s="122"/>
      <c r="AK140" s="122"/>
      <c r="AL140" s="122"/>
    </row>
    <row r="141" ht="22.5" hidden="1" customHeight="1">
      <c r="A141" s="103" t="s">
        <v>155</v>
      </c>
      <c r="B141" s="104"/>
      <c r="C141" s="124" t="s">
        <v>380</v>
      </c>
      <c r="D141" s="106">
        <v>1595.0</v>
      </c>
      <c r="E141" s="107" t="s">
        <v>157</v>
      </c>
      <c r="F141" s="108" t="s">
        <v>68</v>
      </c>
      <c r="G141" s="109" t="s">
        <v>381</v>
      </c>
      <c r="H141" s="110" t="s">
        <v>31</v>
      </c>
      <c r="I141" s="110" t="s">
        <v>98</v>
      </c>
      <c r="J141" s="111">
        <v>10000.0</v>
      </c>
      <c r="K141" s="112">
        <v>1707.0</v>
      </c>
      <c r="L141" s="113">
        <v>46125.0</v>
      </c>
      <c r="M141" s="113">
        <v>46129.0</v>
      </c>
      <c r="N141" s="114"/>
      <c r="O141" s="115" t="s">
        <v>70</v>
      </c>
      <c r="P141" s="116"/>
      <c r="Q141" s="234"/>
      <c r="R141" s="234"/>
      <c r="S141" s="115" t="s">
        <v>36</v>
      </c>
      <c r="T141" s="115" t="s">
        <v>36</v>
      </c>
      <c r="U141" s="118" t="s">
        <v>37</v>
      </c>
      <c r="V141" s="119"/>
      <c r="W141" s="111" t="s">
        <v>382</v>
      </c>
      <c r="X141" s="164" t="s">
        <v>383</v>
      </c>
      <c r="Y141" s="120"/>
      <c r="Z141" s="121"/>
      <c r="AA141" s="121"/>
      <c r="AB141" s="122"/>
      <c r="AC141" s="122"/>
      <c r="AD141" s="122"/>
      <c r="AE141" s="122"/>
      <c r="AF141" s="122"/>
      <c r="AG141" s="122"/>
      <c r="AH141" s="122"/>
      <c r="AI141" s="122"/>
      <c r="AJ141" s="122"/>
      <c r="AK141" s="122"/>
      <c r="AL141" s="122"/>
    </row>
    <row r="142" ht="22.5" hidden="1" customHeight="1">
      <c r="A142" s="103" t="s">
        <v>384</v>
      </c>
      <c r="B142" s="104"/>
      <c r="C142" s="105" t="s">
        <v>385</v>
      </c>
      <c r="D142" s="106">
        <v>1586.0</v>
      </c>
      <c r="E142" s="107" t="s">
        <v>157</v>
      </c>
      <c r="F142" s="108" t="s">
        <v>72</v>
      </c>
      <c r="G142" s="109" t="s">
        <v>386</v>
      </c>
      <c r="H142" s="110" t="s">
        <v>31</v>
      </c>
      <c r="I142" s="110" t="s">
        <v>311</v>
      </c>
      <c r="J142" s="111">
        <v>20000.0</v>
      </c>
      <c r="K142" s="112">
        <v>397.0</v>
      </c>
      <c r="L142" s="113">
        <v>46125.0</v>
      </c>
      <c r="M142" s="113">
        <v>46128.0</v>
      </c>
      <c r="N142" s="114"/>
      <c r="O142" s="115" t="s">
        <v>99</v>
      </c>
      <c r="P142" s="116"/>
      <c r="Q142" s="234"/>
      <c r="R142" s="234"/>
      <c r="S142" s="115" t="s">
        <v>36</v>
      </c>
      <c r="T142" s="115" t="s">
        <v>36</v>
      </c>
      <c r="U142" s="118" t="s">
        <v>37</v>
      </c>
      <c r="V142" s="119"/>
      <c r="W142" s="111" t="s">
        <v>387</v>
      </c>
      <c r="X142" s="164" t="s">
        <v>388</v>
      </c>
      <c r="Y142" s="120"/>
      <c r="Z142" s="121"/>
      <c r="AA142" s="121"/>
      <c r="AB142" s="122"/>
      <c r="AC142" s="122"/>
      <c r="AD142" s="122"/>
      <c r="AE142" s="122"/>
      <c r="AF142" s="122"/>
      <c r="AG142" s="122"/>
      <c r="AH142" s="122"/>
      <c r="AI142" s="122"/>
      <c r="AJ142" s="122"/>
      <c r="AK142" s="122"/>
      <c r="AL142" s="122"/>
    </row>
    <row r="143" ht="22.5" hidden="1" customHeight="1">
      <c r="A143" s="103" t="s">
        <v>377</v>
      </c>
      <c r="B143" s="104"/>
      <c r="C143" s="238" t="s">
        <v>389</v>
      </c>
      <c r="D143" s="106">
        <v>1764.0</v>
      </c>
      <c r="E143" s="107" t="s">
        <v>164</v>
      </c>
      <c r="F143" s="108" t="s">
        <v>30</v>
      </c>
      <c r="G143" s="109" t="s">
        <v>390</v>
      </c>
      <c r="H143" s="110" t="s">
        <v>31</v>
      </c>
      <c r="I143" s="110" t="s">
        <v>98</v>
      </c>
      <c r="J143" s="111">
        <v>20000.0</v>
      </c>
      <c r="K143" s="112">
        <v>1707.0</v>
      </c>
      <c r="L143" s="113">
        <v>46127.0</v>
      </c>
      <c r="M143" s="113">
        <v>46134.0</v>
      </c>
      <c r="N143" s="114"/>
      <c r="O143" s="115" t="s">
        <v>99</v>
      </c>
      <c r="P143" s="116"/>
      <c r="Q143" s="167" t="s">
        <v>35</v>
      </c>
      <c r="R143" s="167" t="s">
        <v>133</v>
      </c>
      <c r="S143" s="126" t="s">
        <v>36</v>
      </c>
      <c r="T143" s="126" t="s">
        <v>36</v>
      </c>
      <c r="U143" s="127" t="s">
        <v>37</v>
      </c>
      <c r="V143" s="128"/>
      <c r="W143" s="136"/>
      <c r="X143" s="164" t="s">
        <v>257</v>
      </c>
      <c r="Y143" s="120"/>
      <c r="Z143" s="121"/>
      <c r="AA143" s="121"/>
      <c r="AB143" s="122"/>
      <c r="AC143" s="122"/>
      <c r="AD143" s="122"/>
      <c r="AE143" s="122"/>
      <c r="AF143" s="122"/>
      <c r="AG143" s="122"/>
      <c r="AH143" s="122"/>
      <c r="AI143" s="122"/>
      <c r="AJ143" s="122"/>
      <c r="AK143" s="122"/>
      <c r="AL143" s="122"/>
    </row>
    <row r="144" ht="22.5" hidden="1" customHeight="1">
      <c r="A144" s="103" t="s">
        <v>335</v>
      </c>
      <c r="B144" s="104"/>
      <c r="C144" s="124" t="s">
        <v>391</v>
      </c>
      <c r="D144" s="106">
        <v>1765.0</v>
      </c>
      <c r="E144" s="107" t="s">
        <v>164</v>
      </c>
      <c r="F144" s="108" t="s">
        <v>96</v>
      </c>
      <c r="G144" s="109" t="s">
        <v>392</v>
      </c>
      <c r="H144" s="110" t="s">
        <v>31</v>
      </c>
      <c r="I144" s="110" t="s">
        <v>132</v>
      </c>
      <c r="J144" s="111">
        <v>450.0</v>
      </c>
      <c r="K144" s="112">
        <v>547.0</v>
      </c>
      <c r="L144" s="113">
        <v>46128.0</v>
      </c>
      <c r="M144" s="113">
        <v>46139.0</v>
      </c>
      <c r="N144" s="114"/>
      <c r="O144" s="115" t="s">
        <v>34</v>
      </c>
      <c r="P144" s="116"/>
      <c r="Q144" s="167" t="s">
        <v>35</v>
      </c>
      <c r="R144" s="167" t="s">
        <v>133</v>
      </c>
      <c r="S144" s="126" t="s">
        <v>36</v>
      </c>
      <c r="T144" s="126" t="s">
        <v>36</v>
      </c>
      <c r="U144" s="127" t="s">
        <v>37</v>
      </c>
      <c r="V144" s="128"/>
      <c r="W144" s="129" t="s">
        <v>262</v>
      </c>
      <c r="X144" s="230" t="s">
        <v>339</v>
      </c>
      <c r="Y144" s="120"/>
      <c r="Z144" s="121"/>
      <c r="AA144" s="121"/>
      <c r="AB144" s="122"/>
      <c r="AC144" s="122"/>
      <c r="AD144" s="122"/>
      <c r="AE144" s="122"/>
      <c r="AF144" s="122"/>
      <c r="AG144" s="122"/>
      <c r="AH144" s="122"/>
      <c r="AI144" s="122"/>
      <c r="AJ144" s="122"/>
      <c r="AK144" s="122"/>
      <c r="AL144" s="122"/>
    </row>
    <row r="145" ht="22.5" hidden="1" customHeight="1">
      <c r="A145" s="137" t="s">
        <v>27</v>
      </c>
      <c r="B145" s="138"/>
      <c r="C145" s="139" t="s">
        <v>393</v>
      </c>
      <c r="D145" s="140">
        <v>1766.0</v>
      </c>
      <c r="E145" s="141" t="s">
        <v>29</v>
      </c>
      <c r="F145" s="142" t="s">
        <v>30</v>
      </c>
      <c r="G145" s="143" t="s">
        <v>138</v>
      </c>
      <c r="H145" s="144" t="s">
        <v>31</v>
      </c>
      <c r="I145" s="144" t="s">
        <v>132</v>
      </c>
      <c r="J145" s="145">
        <v>40000.0</v>
      </c>
      <c r="K145" s="146">
        <v>1861.0</v>
      </c>
      <c r="L145" s="147">
        <v>46122.0</v>
      </c>
      <c r="M145" s="147">
        <v>46125.0</v>
      </c>
      <c r="N145" s="148"/>
      <c r="O145" s="149" t="s">
        <v>34</v>
      </c>
      <c r="P145" s="150"/>
      <c r="Q145" s="151"/>
      <c r="R145" s="152" t="s">
        <v>133</v>
      </c>
      <c r="S145" s="153" t="s">
        <v>36</v>
      </c>
      <c r="T145" s="153" t="s">
        <v>36</v>
      </c>
      <c r="U145" s="154" t="s">
        <v>37</v>
      </c>
      <c r="V145" s="155"/>
      <c r="W145" s="156" t="s">
        <v>134</v>
      </c>
      <c r="X145" s="162"/>
      <c r="Y145" s="162">
        <v>8.0</v>
      </c>
      <c r="Z145" s="158">
        <f t="shared" ref="Z145:Z146" si="6">J145/2500</f>
        <v>16</v>
      </c>
      <c r="AA145" s="162" t="s">
        <v>140</v>
      </c>
      <c r="AB145" s="159"/>
      <c r="AC145" s="159"/>
      <c r="AD145" s="159"/>
      <c r="AE145" s="159"/>
      <c r="AF145" s="159"/>
      <c r="AG145" s="159"/>
      <c r="AH145" s="159"/>
      <c r="AI145" s="159"/>
      <c r="AJ145" s="159"/>
      <c r="AK145" s="159"/>
      <c r="AL145" s="159"/>
      <c r="AM145" s="160"/>
      <c r="AN145" s="160"/>
      <c r="AO145" s="160"/>
      <c r="AP145" s="160"/>
      <c r="AQ145" s="160"/>
      <c r="AR145" s="160"/>
      <c r="AS145" s="160"/>
      <c r="AT145" s="160"/>
      <c r="AU145" s="160"/>
      <c r="AV145" s="160"/>
      <c r="AW145" s="160"/>
      <c r="AX145" s="160"/>
      <c r="AY145" s="160"/>
      <c r="AZ145" s="160"/>
      <c r="BA145" s="160"/>
      <c r="BB145" s="160"/>
      <c r="BC145" s="160"/>
      <c r="BD145" s="160"/>
      <c r="BE145" s="160"/>
      <c r="BF145" s="160"/>
      <c r="BG145" s="160"/>
      <c r="BH145" s="160"/>
      <c r="BI145" s="160"/>
      <c r="BJ145" s="160"/>
      <c r="BK145" s="160"/>
      <c r="BL145" s="160"/>
      <c r="BM145" s="160"/>
      <c r="BN145" s="160"/>
    </row>
    <row r="146" ht="22.5" hidden="1" customHeight="1">
      <c r="A146" s="239" t="s">
        <v>27</v>
      </c>
      <c r="B146" s="240"/>
      <c r="C146" s="241" t="s">
        <v>394</v>
      </c>
      <c r="D146" s="242">
        <v>1767.0</v>
      </c>
      <c r="E146" s="43" t="s">
        <v>29</v>
      </c>
      <c r="F146" s="243" t="s">
        <v>30</v>
      </c>
      <c r="G146" s="244" t="s">
        <v>328</v>
      </c>
      <c r="H146" s="46" t="s">
        <v>31</v>
      </c>
      <c r="I146" s="46" t="s">
        <v>132</v>
      </c>
      <c r="J146" s="40">
        <v>20000.0</v>
      </c>
      <c r="K146" s="245">
        <v>758.0</v>
      </c>
      <c r="L146" s="48">
        <v>46127.0</v>
      </c>
      <c r="M146" s="48">
        <v>46133.0</v>
      </c>
      <c r="N146" s="246"/>
      <c r="O146" s="50" t="s">
        <v>70</v>
      </c>
      <c r="P146" s="51"/>
      <c r="Q146" s="247" t="s">
        <v>35</v>
      </c>
      <c r="R146" s="247" t="s">
        <v>133</v>
      </c>
      <c r="S146" s="54" t="s">
        <v>36</v>
      </c>
      <c r="T146" s="54" t="s">
        <v>36</v>
      </c>
      <c r="U146" s="248" t="s">
        <v>37</v>
      </c>
      <c r="V146" s="56"/>
      <c r="W146" s="66"/>
      <c r="X146" s="249"/>
      <c r="Y146" s="249"/>
      <c r="Z146" s="68">
        <f t="shared" si="6"/>
        <v>8</v>
      </c>
      <c r="AA146" s="69"/>
      <c r="AB146" s="60"/>
      <c r="AC146" s="60"/>
      <c r="AD146" s="60"/>
      <c r="AE146" s="60"/>
      <c r="AF146" s="60"/>
      <c r="AG146" s="60"/>
      <c r="AH146" s="60"/>
      <c r="AI146" s="60"/>
      <c r="AJ146" s="60"/>
      <c r="AK146" s="60"/>
      <c r="AL146" s="60"/>
      <c r="AM146" s="61"/>
      <c r="AN146" s="61"/>
      <c r="AO146" s="61"/>
      <c r="AP146" s="61"/>
      <c r="AQ146" s="61"/>
      <c r="AR146" s="61"/>
      <c r="AS146" s="61"/>
      <c r="AT146" s="61"/>
      <c r="AU146" s="61"/>
      <c r="AV146" s="61"/>
      <c r="AW146" s="61"/>
      <c r="AX146" s="61"/>
      <c r="AY146" s="61"/>
      <c r="AZ146" s="61"/>
      <c r="BA146" s="61"/>
      <c r="BB146" s="61"/>
      <c r="BC146" s="61"/>
      <c r="BD146" s="61"/>
      <c r="BE146" s="61"/>
      <c r="BF146" s="61"/>
      <c r="BG146" s="61"/>
      <c r="BH146" s="61"/>
      <c r="BI146" s="61"/>
      <c r="BJ146" s="61"/>
      <c r="BK146" s="61"/>
      <c r="BL146" s="61"/>
      <c r="BM146" s="61"/>
      <c r="BN146" s="61"/>
    </row>
    <row r="147" ht="22.5" hidden="1" customHeight="1">
      <c r="A147" s="103" t="s">
        <v>395</v>
      </c>
      <c r="B147" s="104"/>
      <c r="C147" s="124" t="s">
        <v>396</v>
      </c>
      <c r="D147" s="106">
        <v>1789.0</v>
      </c>
      <c r="E147" s="107" t="s">
        <v>164</v>
      </c>
      <c r="F147" s="108" t="s">
        <v>30</v>
      </c>
      <c r="G147" s="109" t="s">
        <v>397</v>
      </c>
      <c r="H147" s="110" t="s">
        <v>31</v>
      </c>
      <c r="I147" s="110" t="s">
        <v>261</v>
      </c>
      <c r="J147" s="111">
        <v>100000.0</v>
      </c>
      <c r="K147" s="112">
        <v>977.0</v>
      </c>
      <c r="L147" s="113">
        <v>46129.0</v>
      </c>
      <c r="M147" s="113">
        <v>46139.0</v>
      </c>
      <c r="N147" s="114"/>
      <c r="O147" s="115" t="s">
        <v>70</v>
      </c>
      <c r="P147" s="116"/>
      <c r="Q147" s="167" t="s">
        <v>35</v>
      </c>
      <c r="R147" s="167" t="s">
        <v>133</v>
      </c>
      <c r="S147" s="126" t="s">
        <v>36</v>
      </c>
      <c r="T147" s="126" t="s">
        <v>36</v>
      </c>
      <c r="U147" s="127" t="s">
        <v>37</v>
      </c>
      <c r="V147" s="128"/>
      <c r="W147" s="250" t="s">
        <v>398</v>
      </c>
      <c r="X147" s="251" t="s">
        <v>399</v>
      </c>
      <c r="Y147" s="164" t="s">
        <v>190</v>
      </c>
      <c r="Z147" s="130" t="s">
        <v>400</v>
      </c>
      <c r="AA147" s="170"/>
      <c r="AB147" s="122"/>
      <c r="AC147" s="122"/>
      <c r="AD147" s="122"/>
      <c r="AE147" s="122"/>
      <c r="AF147" s="122"/>
      <c r="AG147" s="122"/>
      <c r="AH147" s="122"/>
      <c r="AI147" s="122"/>
      <c r="AJ147" s="122"/>
      <c r="AK147" s="122"/>
      <c r="AL147" s="122"/>
    </row>
    <row r="148" ht="22.5" hidden="1" customHeight="1">
      <c r="A148" s="103" t="s">
        <v>401</v>
      </c>
      <c r="B148" s="104"/>
      <c r="C148" s="252" t="s">
        <v>402</v>
      </c>
      <c r="D148" s="106">
        <v>1798.0</v>
      </c>
      <c r="E148" s="107" t="s">
        <v>29</v>
      </c>
      <c r="F148" s="108" t="s">
        <v>72</v>
      </c>
      <c r="G148" s="109" t="s">
        <v>147</v>
      </c>
      <c r="H148" s="110" t="s">
        <v>116</v>
      </c>
      <c r="I148" s="110" t="s">
        <v>274</v>
      </c>
      <c r="J148" s="111">
        <v>2000.0</v>
      </c>
      <c r="K148" s="112">
        <v>195.0</v>
      </c>
      <c r="L148" s="113">
        <v>46132.0</v>
      </c>
      <c r="M148" s="113">
        <v>46134.0</v>
      </c>
      <c r="N148" s="114"/>
      <c r="O148" s="115" t="s">
        <v>54</v>
      </c>
      <c r="P148" s="116"/>
      <c r="Q148" s="234"/>
      <c r="R148" s="234"/>
      <c r="S148" s="253"/>
      <c r="T148" s="253"/>
      <c r="U148" s="127" t="s">
        <v>37</v>
      </c>
      <c r="V148" s="128"/>
      <c r="W148" s="136"/>
      <c r="X148" s="120"/>
      <c r="Y148" s="120"/>
      <c r="Z148" s="121"/>
      <c r="AA148" s="121"/>
      <c r="AB148" s="122"/>
      <c r="AC148" s="122"/>
      <c r="AD148" s="122"/>
      <c r="AE148" s="122"/>
      <c r="AF148" s="122"/>
      <c r="AG148" s="122"/>
      <c r="AH148" s="122"/>
      <c r="AI148" s="122"/>
      <c r="AJ148" s="122"/>
      <c r="AK148" s="122"/>
      <c r="AL148" s="122"/>
    </row>
    <row r="149" ht="22.5" hidden="1" customHeight="1">
      <c r="A149" s="103" t="s">
        <v>403</v>
      </c>
      <c r="B149" s="104"/>
      <c r="C149" s="105" t="s">
        <v>404</v>
      </c>
      <c r="D149" s="106">
        <v>1799.0</v>
      </c>
      <c r="E149" s="107" t="s">
        <v>157</v>
      </c>
      <c r="F149" s="108" t="s">
        <v>30</v>
      </c>
      <c r="G149" s="109" t="s">
        <v>405</v>
      </c>
      <c r="H149" s="110" t="s">
        <v>116</v>
      </c>
      <c r="I149" s="110" t="s">
        <v>274</v>
      </c>
      <c r="J149" s="111">
        <v>300.0</v>
      </c>
      <c r="K149" s="112">
        <v>129.0</v>
      </c>
      <c r="L149" s="113">
        <v>46132.0</v>
      </c>
      <c r="M149" s="113">
        <v>46134.0</v>
      </c>
      <c r="N149" s="114"/>
      <c r="O149" s="115" t="s">
        <v>99</v>
      </c>
      <c r="P149" s="116"/>
      <c r="Q149" s="107" t="s">
        <v>35</v>
      </c>
      <c r="R149" s="107" t="s">
        <v>215</v>
      </c>
      <c r="S149" s="115" t="s">
        <v>55</v>
      </c>
      <c r="T149" s="115" t="s">
        <v>100</v>
      </c>
      <c r="U149" s="118" t="s">
        <v>37</v>
      </c>
      <c r="V149" s="119"/>
      <c r="W149" s="111" t="s">
        <v>406</v>
      </c>
      <c r="X149" s="164" t="s">
        <v>257</v>
      </c>
      <c r="Y149" s="120"/>
      <c r="Z149" s="121"/>
      <c r="AA149" s="121"/>
      <c r="AB149" s="122"/>
      <c r="AC149" s="122"/>
      <c r="AD149" s="122"/>
      <c r="AE149" s="122"/>
      <c r="AF149" s="122"/>
      <c r="AG149" s="122"/>
      <c r="AH149" s="122"/>
      <c r="AI149" s="122"/>
      <c r="AJ149" s="122"/>
      <c r="AK149" s="122"/>
      <c r="AL149" s="122"/>
    </row>
    <row r="150" ht="22.5" hidden="1" customHeight="1">
      <c r="A150" s="103" t="s">
        <v>407</v>
      </c>
      <c r="B150" s="104"/>
      <c r="C150" s="124" t="s">
        <v>408</v>
      </c>
      <c r="D150" s="106">
        <v>1812.0</v>
      </c>
      <c r="E150" s="107" t="s">
        <v>164</v>
      </c>
      <c r="F150" s="108" t="s">
        <v>30</v>
      </c>
      <c r="G150" s="109" t="s">
        <v>409</v>
      </c>
      <c r="H150" s="110" t="s">
        <v>31</v>
      </c>
      <c r="I150" s="110" t="s">
        <v>311</v>
      </c>
      <c r="J150" s="111">
        <v>10000.0</v>
      </c>
      <c r="K150" s="112">
        <v>1689.0</v>
      </c>
      <c r="L150" s="113">
        <v>46133.0</v>
      </c>
      <c r="M150" s="113">
        <v>46142.0</v>
      </c>
      <c r="N150" s="114"/>
      <c r="O150" s="115" t="s">
        <v>99</v>
      </c>
      <c r="P150" s="116"/>
      <c r="Q150" s="167" t="s">
        <v>35</v>
      </c>
      <c r="R150" s="167" t="s">
        <v>133</v>
      </c>
      <c r="S150" s="126" t="s">
        <v>36</v>
      </c>
      <c r="T150" s="126" t="s">
        <v>36</v>
      </c>
      <c r="U150" s="127" t="s">
        <v>37</v>
      </c>
      <c r="V150" s="128"/>
      <c r="W150" s="136"/>
      <c r="X150" s="251" t="s">
        <v>410</v>
      </c>
      <c r="Y150" s="120"/>
      <c r="Z150" s="121"/>
      <c r="AA150" s="121"/>
      <c r="AB150" s="122"/>
      <c r="AC150" s="122"/>
      <c r="AD150" s="122"/>
      <c r="AE150" s="122"/>
      <c r="AF150" s="122"/>
      <c r="AG150" s="122"/>
      <c r="AH150" s="122"/>
      <c r="AI150" s="122"/>
      <c r="AJ150" s="122"/>
      <c r="AK150" s="122"/>
      <c r="AL150" s="122"/>
    </row>
    <row r="151" ht="22.5" hidden="1" customHeight="1">
      <c r="A151" s="103" t="s">
        <v>411</v>
      </c>
      <c r="B151" s="104"/>
      <c r="C151" s="105" t="s">
        <v>412</v>
      </c>
      <c r="D151" s="106" t="s">
        <v>413</v>
      </c>
      <c r="E151" s="107" t="s">
        <v>157</v>
      </c>
      <c r="F151" s="108" t="s">
        <v>30</v>
      </c>
      <c r="G151" s="109" t="s">
        <v>414</v>
      </c>
      <c r="H151" s="110" t="s">
        <v>116</v>
      </c>
      <c r="I151" s="110" t="s">
        <v>274</v>
      </c>
      <c r="J151" s="111" t="s">
        <v>415</v>
      </c>
      <c r="K151" s="112">
        <v>198.0</v>
      </c>
      <c r="L151" s="113">
        <v>46127.0</v>
      </c>
      <c r="M151" s="113">
        <v>46129.0</v>
      </c>
      <c r="N151" s="114"/>
      <c r="O151" s="115" t="s">
        <v>70</v>
      </c>
      <c r="P151" s="116"/>
      <c r="Q151" s="107" t="s">
        <v>144</v>
      </c>
      <c r="R151" s="107" t="s">
        <v>133</v>
      </c>
      <c r="S151" s="115" t="s">
        <v>55</v>
      </c>
      <c r="T151" s="115" t="s">
        <v>100</v>
      </c>
      <c r="U151" s="118" t="s">
        <v>37</v>
      </c>
      <c r="V151" s="119"/>
      <c r="W151" s="111" t="s">
        <v>416</v>
      </c>
      <c r="X151" s="164" t="s">
        <v>257</v>
      </c>
      <c r="Y151" s="120"/>
      <c r="Z151" s="121"/>
      <c r="AA151" s="121"/>
      <c r="AB151" s="122"/>
      <c r="AC151" s="122"/>
      <c r="AD151" s="122"/>
      <c r="AE151" s="122"/>
      <c r="AF151" s="122"/>
      <c r="AG151" s="122"/>
      <c r="AH151" s="122"/>
      <c r="AI151" s="122"/>
      <c r="AJ151" s="122"/>
      <c r="AK151" s="122"/>
      <c r="AL151" s="122"/>
    </row>
    <row r="152" ht="22.5" hidden="1" customHeight="1">
      <c r="A152" s="103" t="s">
        <v>407</v>
      </c>
      <c r="B152" s="104"/>
      <c r="C152" s="124" t="s">
        <v>417</v>
      </c>
      <c r="D152" s="106">
        <v>1813.0</v>
      </c>
      <c r="E152" s="107" t="s">
        <v>164</v>
      </c>
      <c r="F152" s="108" t="s">
        <v>30</v>
      </c>
      <c r="G152" s="109" t="s">
        <v>409</v>
      </c>
      <c r="H152" s="110" t="s">
        <v>31</v>
      </c>
      <c r="I152" s="110" t="s">
        <v>311</v>
      </c>
      <c r="J152" s="111">
        <v>2000.0</v>
      </c>
      <c r="K152" s="112">
        <v>470.0</v>
      </c>
      <c r="L152" s="113">
        <v>46133.0</v>
      </c>
      <c r="M152" s="113">
        <v>46142.0</v>
      </c>
      <c r="N152" s="114"/>
      <c r="O152" s="115" t="s">
        <v>99</v>
      </c>
      <c r="P152" s="116"/>
      <c r="Q152" s="167" t="s">
        <v>35</v>
      </c>
      <c r="R152" s="167" t="s">
        <v>133</v>
      </c>
      <c r="S152" s="126" t="s">
        <v>36</v>
      </c>
      <c r="T152" s="126" t="s">
        <v>36</v>
      </c>
      <c r="U152" s="127" t="s">
        <v>37</v>
      </c>
      <c r="V152" s="128"/>
      <c r="W152" s="136"/>
      <c r="X152" s="251" t="s">
        <v>410</v>
      </c>
      <c r="Y152" s="120"/>
      <c r="Z152" s="121"/>
      <c r="AA152" s="121"/>
      <c r="AB152" s="231"/>
      <c r="AC152" s="231"/>
      <c r="AD152" s="231"/>
      <c r="AE152" s="231"/>
      <c r="AF152" s="231"/>
      <c r="AG152" s="231"/>
      <c r="AH152" s="231"/>
      <c r="AI152" s="231"/>
      <c r="AJ152" s="231"/>
      <c r="AK152" s="231"/>
      <c r="AL152" s="231"/>
      <c r="AM152" s="232"/>
      <c r="AN152" s="232"/>
      <c r="AO152" s="232"/>
      <c r="AP152" s="232"/>
      <c r="AQ152" s="232"/>
      <c r="AR152" s="232"/>
      <c r="AS152" s="232"/>
      <c r="AT152" s="232"/>
      <c r="AU152" s="232"/>
      <c r="AV152" s="232"/>
      <c r="AW152" s="232"/>
      <c r="AX152" s="232"/>
      <c r="AY152" s="232"/>
      <c r="AZ152" s="232"/>
      <c r="BA152" s="232"/>
      <c r="BB152" s="232"/>
      <c r="BC152" s="232"/>
      <c r="BD152" s="232"/>
      <c r="BE152" s="232"/>
      <c r="BF152" s="232"/>
      <c r="BG152" s="232"/>
      <c r="BH152" s="232"/>
      <c r="BI152" s="232"/>
      <c r="BJ152" s="232"/>
      <c r="BK152" s="232"/>
      <c r="BL152" s="232"/>
      <c r="BM152" s="232"/>
      <c r="BN152" s="232"/>
    </row>
    <row r="153" ht="22.5" hidden="1" customHeight="1">
      <c r="A153" s="103" t="s">
        <v>407</v>
      </c>
      <c r="B153" s="104"/>
      <c r="C153" s="124" t="s">
        <v>418</v>
      </c>
      <c r="D153" s="106">
        <v>1814.0</v>
      </c>
      <c r="E153" s="107" t="s">
        <v>164</v>
      </c>
      <c r="F153" s="108" t="s">
        <v>30</v>
      </c>
      <c r="G153" s="109" t="s">
        <v>409</v>
      </c>
      <c r="H153" s="110" t="s">
        <v>31</v>
      </c>
      <c r="I153" s="110" t="s">
        <v>311</v>
      </c>
      <c r="J153" s="111">
        <v>4000.0</v>
      </c>
      <c r="K153" s="112">
        <v>775.0</v>
      </c>
      <c r="L153" s="113">
        <v>46133.0</v>
      </c>
      <c r="M153" s="113">
        <v>46142.0</v>
      </c>
      <c r="N153" s="114"/>
      <c r="O153" s="115" t="s">
        <v>99</v>
      </c>
      <c r="P153" s="116"/>
      <c r="Q153" s="167" t="s">
        <v>35</v>
      </c>
      <c r="R153" s="167" t="s">
        <v>133</v>
      </c>
      <c r="S153" s="126" t="s">
        <v>36</v>
      </c>
      <c r="T153" s="126" t="s">
        <v>36</v>
      </c>
      <c r="U153" s="127" t="s">
        <v>37</v>
      </c>
      <c r="V153" s="128"/>
      <c r="W153" s="136"/>
      <c r="X153" s="251" t="s">
        <v>410</v>
      </c>
      <c r="Y153" s="120"/>
      <c r="Z153" s="121"/>
      <c r="AA153" s="121"/>
      <c r="AB153" s="184"/>
      <c r="AC153" s="184"/>
      <c r="AD153" s="184"/>
      <c r="AE153" s="184"/>
      <c r="AF153" s="184"/>
      <c r="AG153" s="184"/>
      <c r="AH153" s="184"/>
      <c r="AI153" s="184"/>
      <c r="AJ153" s="184"/>
      <c r="AK153" s="184"/>
      <c r="AL153" s="184"/>
      <c r="AM153" s="185"/>
      <c r="AN153" s="185"/>
      <c r="AO153" s="185"/>
      <c r="AP153" s="185"/>
      <c r="AQ153" s="185"/>
      <c r="AR153" s="185"/>
      <c r="AS153" s="185"/>
      <c r="AT153" s="185"/>
      <c r="AU153" s="185"/>
      <c r="AV153" s="185"/>
      <c r="AW153" s="185"/>
      <c r="AX153" s="185"/>
      <c r="AY153" s="185"/>
      <c r="AZ153" s="185"/>
      <c r="BA153" s="185"/>
      <c r="BB153" s="185"/>
      <c r="BC153" s="185"/>
      <c r="BD153" s="185"/>
      <c r="BE153" s="185"/>
      <c r="BF153" s="185"/>
      <c r="BG153" s="185"/>
      <c r="BH153" s="185"/>
      <c r="BI153" s="185"/>
      <c r="BJ153" s="185"/>
      <c r="BK153" s="185"/>
      <c r="BL153" s="185"/>
      <c r="BM153" s="185"/>
      <c r="BN153" s="185"/>
    </row>
    <row r="154" ht="22.5" hidden="1" customHeight="1">
      <c r="A154" s="103" t="s">
        <v>419</v>
      </c>
      <c r="B154" s="104"/>
      <c r="C154" s="105" t="s">
        <v>420</v>
      </c>
      <c r="D154" s="106">
        <v>1817.0</v>
      </c>
      <c r="E154" s="107" t="s">
        <v>95</v>
      </c>
      <c r="F154" s="108" t="s">
        <v>68</v>
      </c>
      <c r="G154" s="109" t="s">
        <v>421</v>
      </c>
      <c r="H154" s="110" t="s">
        <v>31</v>
      </c>
      <c r="I154" s="110" t="s">
        <v>261</v>
      </c>
      <c r="J154" s="111">
        <v>2000.0</v>
      </c>
      <c r="K154" s="112">
        <v>464.0</v>
      </c>
      <c r="L154" s="113">
        <v>46133.0</v>
      </c>
      <c r="M154" s="113">
        <v>46136.0</v>
      </c>
      <c r="N154" s="114"/>
      <c r="O154" s="115" t="s">
        <v>70</v>
      </c>
      <c r="P154" s="116"/>
      <c r="Q154" s="107" t="s">
        <v>35</v>
      </c>
      <c r="R154" s="107" t="s">
        <v>133</v>
      </c>
      <c r="S154" s="115" t="s">
        <v>35</v>
      </c>
      <c r="T154" s="115" t="s">
        <v>36</v>
      </c>
      <c r="U154" s="118" t="s">
        <v>37</v>
      </c>
      <c r="V154" s="119"/>
      <c r="W154" s="111" t="s">
        <v>422</v>
      </c>
      <c r="X154" s="164" t="s">
        <v>423</v>
      </c>
      <c r="Y154" s="120"/>
      <c r="Z154" s="121"/>
      <c r="AA154" s="121"/>
      <c r="AB154" s="122"/>
      <c r="AC154" s="122"/>
      <c r="AD154" s="122"/>
      <c r="AE154" s="122"/>
      <c r="AF154" s="122"/>
      <c r="AG154" s="122"/>
      <c r="AH154" s="122"/>
      <c r="AI154" s="122"/>
      <c r="AJ154" s="122"/>
      <c r="AK154" s="122"/>
      <c r="AL154" s="122"/>
    </row>
    <row r="155" ht="22.5" hidden="1" customHeight="1">
      <c r="A155" s="103" t="s">
        <v>184</v>
      </c>
      <c r="B155" s="104"/>
      <c r="C155" s="254" t="s">
        <v>424</v>
      </c>
      <c r="D155" s="106">
        <v>1818.0</v>
      </c>
      <c r="E155" s="107" t="s">
        <v>164</v>
      </c>
      <c r="F155" s="108" t="s">
        <v>30</v>
      </c>
      <c r="G155" s="109" t="s">
        <v>186</v>
      </c>
      <c r="H155" s="110" t="s">
        <v>31</v>
      </c>
      <c r="I155" s="110" t="s">
        <v>132</v>
      </c>
      <c r="J155" s="111">
        <v>5000.0</v>
      </c>
      <c r="K155" s="112">
        <v>619.0</v>
      </c>
      <c r="L155" s="113">
        <v>46133.0</v>
      </c>
      <c r="M155" s="113">
        <v>46139.0</v>
      </c>
      <c r="N155" s="114"/>
      <c r="O155" s="115" t="s">
        <v>99</v>
      </c>
      <c r="P155" s="116"/>
      <c r="Q155" s="167" t="s">
        <v>35</v>
      </c>
      <c r="R155" s="167" t="s">
        <v>133</v>
      </c>
      <c r="S155" s="126" t="s">
        <v>36</v>
      </c>
      <c r="T155" s="126" t="s">
        <v>36</v>
      </c>
      <c r="U155" s="127" t="s">
        <v>37</v>
      </c>
      <c r="V155" s="128"/>
      <c r="W155" s="129" t="s">
        <v>425</v>
      </c>
      <c r="X155" s="255" t="s">
        <v>426</v>
      </c>
      <c r="Y155" s="164" t="s">
        <v>190</v>
      </c>
      <c r="Z155" s="130" t="s">
        <v>191</v>
      </c>
      <c r="AA155" s="170"/>
      <c r="AB155" s="122"/>
      <c r="AC155" s="122"/>
      <c r="AD155" s="122"/>
      <c r="AE155" s="122"/>
      <c r="AF155" s="122"/>
      <c r="AG155" s="122"/>
      <c r="AH155" s="122"/>
      <c r="AI155" s="122"/>
      <c r="AJ155" s="122"/>
      <c r="AK155" s="122"/>
      <c r="AL155" s="122"/>
    </row>
    <row r="156" ht="22.5" hidden="1" customHeight="1">
      <c r="A156" s="103" t="s">
        <v>126</v>
      </c>
      <c r="B156" s="104"/>
      <c r="C156" s="105" t="s">
        <v>427</v>
      </c>
      <c r="D156" s="106">
        <v>1828.0</v>
      </c>
      <c r="E156" s="107" t="s">
        <v>95</v>
      </c>
      <c r="F156" s="108" t="s">
        <v>72</v>
      </c>
      <c r="G156" s="109" t="s">
        <v>128</v>
      </c>
      <c r="H156" s="110" t="s">
        <v>31</v>
      </c>
      <c r="I156" s="110" t="s">
        <v>98</v>
      </c>
      <c r="J156" s="111">
        <v>500.0</v>
      </c>
      <c r="K156" s="112">
        <v>286.0</v>
      </c>
      <c r="L156" s="113">
        <v>46133.0</v>
      </c>
      <c r="M156" s="113">
        <v>46135.0</v>
      </c>
      <c r="N156" s="114"/>
      <c r="O156" s="115" t="s">
        <v>99</v>
      </c>
      <c r="P156" s="116"/>
      <c r="Q156" s="107" t="s">
        <v>35</v>
      </c>
      <c r="R156" s="107" t="s">
        <v>133</v>
      </c>
      <c r="S156" s="115" t="s">
        <v>36</v>
      </c>
      <c r="T156" s="115" t="s">
        <v>35</v>
      </c>
      <c r="U156" s="118" t="s">
        <v>37</v>
      </c>
      <c r="V156" s="119"/>
      <c r="W156" s="111" t="s">
        <v>428</v>
      </c>
      <c r="X156" s="120"/>
      <c r="Y156" s="164" t="s">
        <v>190</v>
      </c>
      <c r="Z156" s="130" t="s">
        <v>191</v>
      </c>
      <c r="AA156" s="121"/>
      <c r="AB156" s="122"/>
      <c r="AC156" s="122"/>
      <c r="AD156" s="122"/>
      <c r="AE156" s="122"/>
      <c r="AF156" s="122"/>
      <c r="AG156" s="122"/>
      <c r="AH156" s="122"/>
      <c r="AI156" s="122"/>
      <c r="AJ156" s="122"/>
      <c r="AK156" s="122"/>
      <c r="AL156" s="122"/>
    </row>
    <row r="157" ht="22.5" hidden="1" customHeight="1">
      <c r="A157" s="103" t="s">
        <v>162</v>
      </c>
      <c r="B157" s="104"/>
      <c r="C157" s="256" t="s">
        <v>429</v>
      </c>
      <c r="D157" s="106">
        <v>1839.0</v>
      </c>
      <c r="E157" s="107" t="s">
        <v>164</v>
      </c>
      <c r="F157" s="108" t="s">
        <v>72</v>
      </c>
      <c r="G157" s="109" t="s">
        <v>430</v>
      </c>
      <c r="H157" s="110" t="s">
        <v>31</v>
      </c>
      <c r="I157" s="110" t="s">
        <v>98</v>
      </c>
      <c r="J157" s="111" t="s">
        <v>431</v>
      </c>
      <c r="K157" s="112">
        <v>2934.0</v>
      </c>
      <c r="L157" s="113">
        <v>46134.0</v>
      </c>
      <c r="M157" s="113">
        <v>46146.0</v>
      </c>
      <c r="N157" s="114"/>
      <c r="O157" s="115" t="s">
        <v>99</v>
      </c>
      <c r="P157" s="116"/>
      <c r="Q157" s="167" t="s">
        <v>35</v>
      </c>
      <c r="R157" s="167" t="s">
        <v>133</v>
      </c>
      <c r="S157" s="126" t="s">
        <v>36</v>
      </c>
      <c r="T157" s="126" t="s">
        <v>36</v>
      </c>
      <c r="U157" s="127" t="s">
        <v>37</v>
      </c>
      <c r="V157" s="128"/>
      <c r="W157" s="129" t="s">
        <v>193</v>
      </c>
      <c r="X157" s="257" t="s">
        <v>178</v>
      </c>
      <c r="Y157" s="164" t="s">
        <v>24</v>
      </c>
      <c r="Z157" s="130" t="s">
        <v>25</v>
      </c>
      <c r="AA157" s="121"/>
      <c r="AB157" s="122"/>
      <c r="AC157" s="122"/>
      <c r="AD157" s="122"/>
      <c r="AE157" s="122"/>
      <c r="AF157" s="122"/>
      <c r="AG157" s="122"/>
      <c r="AH157" s="122"/>
      <c r="AI157" s="122"/>
      <c r="AJ157" s="122"/>
      <c r="AK157" s="122"/>
      <c r="AL157" s="122"/>
    </row>
    <row r="158" ht="22.5" hidden="1" customHeight="1">
      <c r="A158" s="103" t="s">
        <v>162</v>
      </c>
      <c r="B158" s="104"/>
      <c r="C158" s="256" t="s">
        <v>432</v>
      </c>
      <c r="D158" s="106">
        <v>1840.0</v>
      </c>
      <c r="E158" s="107" t="s">
        <v>164</v>
      </c>
      <c r="F158" s="108" t="s">
        <v>72</v>
      </c>
      <c r="G158" s="109" t="s">
        <v>430</v>
      </c>
      <c r="H158" s="110" t="s">
        <v>31</v>
      </c>
      <c r="I158" s="110" t="s">
        <v>98</v>
      </c>
      <c r="J158" s="111" t="s">
        <v>431</v>
      </c>
      <c r="K158" s="112">
        <v>2868.0</v>
      </c>
      <c r="L158" s="113">
        <v>46134.0</v>
      </c>
      <c r="M158" s="113">
        <v>46146.0</v>
      </c>
      <c r="N158" s="114"/>
      <c r="O158" s="115" t="s">
        <v>99</v>
      </c>
      <c r="P158" s="116"/>
      <c r="Q158" s="167" t="s">
        <v>35</v>
      </c>
      <c r="R158" s="167" t="s">
        <v>133</v>
      </c>
      <c r="S158" s="126" t="s">
        <v>36</v>
      </c>
      <c r="T158" s="126" t="s">
        <v>36</v>
      </c>
      <c r="U158" s="127" t="s">
        <v>37</v>
      </c>
      <c r="V158" s="128"/>
      <c r="W158" s="129" t="s">
        <v>193</v>
      </c>
      <c r="X158" s="257" t="s">
        <v>178</v>
      </c>
      <c r="Y158" s="164" t="s">
        <v>24</v>
      </c>
      <c r="Z158" s="130" t="s">
        <v>25</v>
      </c>
      <c r="AA158" s="121"/>
      <c r="AB158" s="122"/>
      <c r="AC158" s="122"/>
      <c r="AD158" s="122"/>
      <c r="AE158" s="122"/>
      <c r="AF158" s="122"/>
      <c r="AG158" s="122"/>
      <c r="AH158" s="122"/>
      <c r="AI158" s="122"/>
      <c r="AJ158" s="122"/>
      <c r="AK158" s="122"/>
      <c r="AL158" s="122"/>
    </row>
    <row r="159" ht="22.5" hidden="1" customHeight="1">
      <c r="A159" s="103" t="s">
        <v>162</v>
      </c>
      <c r="B159" s="104"/>
      <c r="C159" s="256" t="s">
        <v>433</v>
      </c>
      <c r="D159" s="106">
        <v>1841.0</v>
      </c>
      <c r="E159" s="107" t="s">
        <v>164</v>
      </c>
      <c r="F159" s="108" t="s">
        <v>30</v>
      </c>
      <c r="G159" s="258" t="s">
        <v>434</v>
      </c>
      <c r="H159" s="110" t="s">
        <v>31</v>
      </c>
      <c r="I159" s="110" t="s">
        <v>98</v>
      </c>
      <c r="J159" s="111" t="s">
        <v>79</v>
      </c>
      <c r="K159" s="112">
        <v>1964.0</v>
      </c>
      <c r="L159" s="113">
        <v>46134.0</v>
      </c>
      <c r="M159" s="113">
        <v>46146.0</v>
      </c>
      <c r="N159" s="114"/>
      <c r="O159" s="115" t="s">
        <v>99</v>
      </c>
      <c r="P159" s="116"/>
      <c r="Q159" s="167" t="s">
        <v>35</v>
      </c>
      <c r="R159" s="167" t="s">
        <v>133</v>
      </c>
      <c r="S159" s="126" t="s">
        <v>35</v>
      </c>
      <c r="T159" s="126" t="s">
        <v>36</v>
      </c>
      <c r="U159" s="127" t="s">
        <v>37</v>
      </c>
      <c r="V159" s="128"/>
      <c r="W159" s="129" t="s">
        <v>193</v>
      </c>
      <c r="X159" s="251" t="s">
        <v>178</v>
      </c>
      <c r="Y159" s="164" t="s">
        <v>24</v>
      </c>
      <c r="Z159" s="130" t="s">
        <v>25</v>
      </c>
      <c r="AA159" s="121"/>
      <c r="AB159" s="122"/>
      <c r="AC159" s="122"/>
      <c r="AD159" s="122"/>
      <c r="AE159" s="122"/>
      <c r="AF159" s="122"/>
      <c r="AG159" s="122"/>
      <c r="AH159" s="122"/>
      <c r="AI159" s="122"/>
      <c r="AJ159" s="122"/>
      <c r="AK159" s="122"/>
      <c r="AL159" s="122"/>
    </row>
    <row r="160" ht="22.5" hidden="1" customHeight="1">
      <c r="A160" s="103" t="s">
        <v>162</v>
      </c>
      <c r="B160" s="104"/>
      <c r="C160" s="256" t="s">
        <v>435</v>
      </c>
      <c r="D160" s="106">
        <v>1842.0</v>
      </c>
      <c r="E160" s="107" t="s">
        <v>164</v>
      </c>
      <c r="F160" s="108" t="s">
        <v>30</v>
      </c>
      <c r="G160" s="258" t="s">
        <v>434</v>
      </c>
      <c r="H160" s="110" t="s">
        <v>31</v>
      </c>
      <c r="I160" s="110" t="s">
        <v>98</v>
      </c>
      <c r="J160" s="111" t="s">
        <v>79</v>
      </c>
      <c r="K160" s="112">
        <v>1864.0</v>
      </c>
      <c r="L160" s="113">
        <v>46134.0</v>
      </c>
      <c r="M160" s="113">
        <v>46146.0</v>
      </c>
      <c r="N160" s="114"/>
      <c r="O160" s="115" t="s">
        <v>99</v>
      </c>
      <c r="P160" s="116"/>
      <c r="Q160" s="167" t="s">
        <v>35</v>
      </c>
      <c r="R160" s="167" t="s">
        <v>133</v>
      </c>
      <c r="S160" s="126" t="s">
        <v>35</v>
      </c>
      <c r="T160" s="126" t="s">
        <v>36</v>
      </c>
      <c r="U160" s="127" t="s">
        <v>37</v>
      </c>
      <c r="V160" s="128"/>
      <c r="W160" s="129" t="s">
        <v>193</v>
      </c>
      <c r="X160" s="251" t="s">
        <v>178</v>
      </c>
      <c r="Y160" s="164" t="s">
        <v>24</v>
      </c>
      <c r="Z160" s="130" t="s">
        <v>25</v>
      </c>
      <c r="AA160" s="121"/>
      <c r="AB160" s="122"/>
      <c r="AC160" s="122"/>
      <c r="AD160" s="122"/>
      <c r="AE160" s="122"/>
      <c r="AF160" s="122"/>
      <c r="AG160" s="122"/>
      <c r="AH160" s="122"/>
      <c r="AI160" s="122"/>
      <c r="AJ160" s="122"/>
      <c r="AK160" s="122"/>
      <c r="AL160" s="122"/>
    </row>
    <row r="161" ht="22.5" hidden="1" customHeight="1">
      <c r="A161" s="192" t="s">
        <v>27</v>
      </c>
      <c r="B161" s="193"/>
      <c r="C161" s="194" t="s">
        <v>436</v>
      </c>
      <c r="D161" s="195">
        <v>1859.0</v>
      </c>
      <c r="E161" s="73" t="s">
        <v>29</v>
      </c>
      <c r="F161" s="74" t="s">
        <v>30</v>
      </c>
      <c r="G161" s="196" t="s">
        <v>81</v>
      </c>
      <c r="H161" s="76" t="s">
        <v>31</v>
      </c>
      <c r="I161" s="76" t="s">
        <v>132</v>
      </c>
      <c r="J161" s="70">
        <v>10000.0</v>
      </c>
      <c r="K161" s="197">
        <v>929.0</v>
      </c>
      <c r="L161" s="78">
        <v>46134.0</v>
      </c>
      <c r="M161" s="78">
        <v>46139.0</v>
      </c>
      <c r="N161" s="198"/>
      <c r="O161" s="80" t="s">
        <v>34</v>
      </c>
      <c r="P161" s="199"/>
      <c r="Q161" s="200"/>
      <c r="R161" s="200"/>
      <c r="S161" s="82" t="s">
        <v>35</v>
      </c>
      <c r="T161" s="82" t="s">
        <v>36</v>
      </c>
      <c r="U161" s="201" t="s">
        <v>37</v>
      </c>
      <c r="V161" s="84"/>
      <c r="W161" s="85" t="s">
        <v>134</v>
      </c>
      <c r="X161" s="202"/>
      <c r="Y161" s="259">
        <v>2.0</v>
      </c>
      <c r="Z161" s="203">
        <f t="shared" ref="Z161:Z163" si="7">J161/2500</f>
        <v>4</v>
      </c>
      <c r="AA161" s="260" t="s">
        <v>437</v>
      </c>
      <c r="AB161" s="88"/>
      <c r="AC161" s="88"/>
      <c r="AD161" s="88"/>
      <c r="AE161" s="88"/>
      <c r="AF161" s="88"/>
      <c r="AG161" s="88"/>
      <c r="AH161" s="88"/>
      <c r="AI161" s="88"/>
      <c r="AJ161" s="88"/>
      <c r="AK161" s="88"/>
      <c r="AL161" s="88"/>
      <c r="AM161" s="89"/>
      <c r="AN161" s="89"/>
      <c r="AO161" s="89"/>
      <c r="AP161" s="89"/>
      <c r="AQ161" s="89"/>
      <c r="AR161" s="89"/>
      <c r="AS161" s="89"/>
      <c r="AT161" s="89"/>
      <c r="AU161" s="89"/>
      <c r="AV161" s="89"/>
      <c r="AW161" s="89"/>
      <c r="AX161" s="89"/>
      <c r="AY161" s="89"/>
      <c r="AZ161" s="89"/>
      <c r="BA161" s="89"/>
      <c r="BB161" s="89"/>
      <c r="BC161" s="89"/>
      <c r="BD161" s="89"/>
      <c r="BE161" s="89"/>
      <c r="BF161" s="89"/>
      <c r="BG161" s="89"/>
      <c r="BH161" s="89"/>
      <c r="BI161" s="89"/>
      <c r="BJ161" s="89"/>
      <c r="BK161" s="89"/>
      <c r="BL161" s="89"/>
      <c r="BM161" s="89"/>
      <c r="BN161" s="89"/>
    </row>
    <row r="162" ht="22.5" hidden="1" customHeight="1">
      <c r="A162" s="192" t="s">
        <v>27</v>
      </c>
      <c r="B162" s="193"/>
      <c r="C162" s="194" t="s">
        <v>438</v>
      </c>
      <c r="D162" s="195">
        <v>1882.0</v>
      </c>
      <c r="E162" s="73" t="s">
        <v>29</v>
      </c>
      <c r="F162" s="74" t="s">
        <v>30</v>
      </c>
      <c r="G162" s="196" t="s">
        <v>332</v>
      </c>
      <c r="H162" s="76" t="s">
        <v>31</v>
      </c>
      <c r="I162" s="76" t="s">
        <v>98</v>
      </c>
      <c r="J162" s="70">
        <v>10000.0</v>
      </c>
      <c r="K162" s="197">
        <v>871.0</v>
      </c>
      <c r="L162" s="78">
        <v>46134.0</v>
      </c>
      <c r="M162" s="78">
        <v>46139.0</v>
      </c>
      <c r="N162" s="198"/>
      <c r="O162" s="80" t="s">
        <v>34</v>
      </c>
      <c r="P162" s="199"/>
      <c r="Q162" s="200"/>
      <c r="R162" s="200"/>
      <c r="S162" s="82" t="s">
        <v>35</v>
      </c>
      <c r="T162" s="82" t="s">
        <v>36</v>
      </c>
      <c r="U162" s="201" t="s">
        <v>37</v>
      </c>
      <c r="V162" s="84"/>
      <c r="W162" s="85" t="s">
        <v>134</v>
      </c>
      <c r="X162" s="202"/>
      <c r="Y162" s="259">
        <v>2.0</v>
      </c>
      <c r="Z162" s="203">
        <f t="shared" si="7"/>
        <v>4</v>
      </c>
      <c r="AA162" s="260" t="s">
        <v>437</v>
      </c>
      <c r="AB162" s="88"/>
      <c r="AC162" s="88"/>
      <c r="AD162" s="88"/>
      <c r="AE162" s="88"/>
      <c r="AF162" s="88"/>
      <c r="AG162" s="88"/>
      <c r="AH162" s="88"/>
      <c r="AI162" s="88"/>
      <c r="AJ162" s="88"/>
      <c r="AK162" s="88"/>
      <c r="AL162" s="88"/>
      <c r="AM162" s="89"/>
      <c r="AN162" s="89"/>
      <c r="AO162" s="89"/>
      <c r="AP162" s="89"/>
      <c r="AQ162" s="89"/>
      <c r="AR162" s="89"/>
      <c r="AS162" s="89"/>
      <c r="AT162" s="89"/>
      <c r="AU162" s="89"/>
      <c r="AV162" s="89"/>
      <c r="AW162" s="89"/>
      <c r="AX162" s="89"/>
      <c r="AY162" s="89"/>
      <c r="AZ162" s="89"/>
      <c r="BA162" s="89"/>
      <c r="BB162" s="89"/>
      <c r="BC162" s="89"/>
      <c r="BD162" s="89"/>
      <c r="BE162" s="89"/>
      <c r="BF162" s="89"/>
      <c r="BG162" s="89"/>
      <c r="BH162" s="89"/>
      <c r="BI162" s="89"/>
      <c r="BJ162" s="89"/>
      <c r="BK162" s="89"/>
      <c r="BL162" s="89"/>
      <c r="BM162" s="89"/>
      <c r="BN162" s="89"/>
    </row>
    <row r="163" ht="22.5" hidden="1" customHeight="1">
      <c r="A163" s="192" t="s">
        <v>27</v>
      </c>
      <c r="B163" s="193"/>
      <c r="C163" s="194" t="s">
        <v>439</v>
      </c>
      <c r="D163" s="195">
        <v>1883.0</v>
      </c>
      <c r="E163" s="73" t="s">
        <v>29</v>
      </c>
      <c r="F163" s="74" t="s">
        <v>30</v>
      </c>
      <c r="G163" s="196" t="s">
        <v>440</v>
      </c>
      <c r="H163" s="76" t="s">
        <v>31</v>
      </c>
      <c r="I163" s="76" t="s">
        <v>98</v>
      </c>
      <c r="J163" s="70">
        <v>10000.0</v>
      </c>
      <c r="K163" s="197">
        <v>826.0</v>
      </c>
      <c r="L163" s="78">
        <v>46134.0</v>
      </c>
      <c r="M163" s="78">
        <v>46139.0</v>
      </c>
      <c r="N163" s="198"/>
      <c r="O163" s="80" t="s">
        <v>34</v>
      </c>
      <c r="P163" s="199"/>
      <c r="Q163" s="200"/>
      <c r="R163" s="200"/>
      <c r="S163" s="82" t="s">
        <v>35</v>
      </c>
      <c r="T163" s="82" t="s">
        <v>36</v>
      </c>
      <c r="U163" s="201" t="s">
        <v>37</v>
      </c>
      <c r="V163" s="84"/>
      <c r="W163" s="85" t="s">
        <v>134</v>
      </c>
      <c r="X163" s="202"/>
      <c r="Y163" s="259">
        <v>1.0</v>
      </c>
      <c r="Z163" s="203">
        <f t="shared" si="7"/>
        <v>4</v>
      </c>
      <c r="AA163" s="260" t="s">
        <v>441</v>
      </c>
      <c r="AB163" s="88"/>
      <c r="AC163" s="88"/>
      <c r="AD163" s="88"/>
      <c r="AE163" s="88"/>
      <c r="AF163" s="88"/>
      <c r="AG163" s="88"/>
      <c r="AH163" s="88"/>
      <c r="AI163" s="88"/>
      <c r="AJ163" s="88"/>
      <c r="AK163" s="88"/>
      <c r="AL163" s="88"/>
      <c r="AM163" s="89"/>
      <c r="AN163" s="89"/>
      <c r="AO163" s="89"/>
      <c r="AP163" s="89"/>
      <c r="AQ163" s="89"/>
      <c r="AR163" s="89"/>
      <c r="AS163" s="89"/>
      <c r="AT163" s="89"/>
      <c r="AU163" s="89"/>
      <c r="AV163" s="89"/>
      <c r="AW163" s="89"/>
      <c r="AX163" s="89"/>
      <c r="AY163" s="89"/>
      <c r="AZ163" s="89"/>
      <c r="BA163" s="89"/>
      <c r="BB163" s="89"/>
      <c r="BC163" s="89"/>
      <c r="BD163" s="89"/>
      <c r="BE163" s="89"/>
      <c r="BF163" s="89"/>
      <c r="BG163" s="89"/>
      <c r="BH163" s="89"/>
      <c r="BI163" s="89"/>
      <c r="BJ163" s="89"/>
      <c r="BK163" s="89"/>
      <c r="BL163" s="89"/>
      <c r="BM163" s="89"/>
      <c r="BN163" s="89"/>
    </row>
    <row r="164" ht="22.5" hidden="1" customHeight="1">
      <c r="A164" s="103" t="s">
        <v>120</v>
      </c>
      <c r="B164" s="104"/>
      <c r="C164" s="105" t="s">
        <v>442</v>
      </c>
      <c r="D164" s="106">
        <v>1741.0</v>
      </c>
      <c r="E164" s="107" t="s">
        <v>95</v>
      </c>
      <c r="F164" s="108" t="s">
        <v>72</v>
      </c>
      <c r="G164" s="109" t="s">
        <v>443</v>
      </c>
      <c r="H164" s="110" t="s">
        <v>31</v>
      </c>
      <c r="I164" s="110" t="s">
        <v>98</v>
      </c>
      <c r="J164" s="111">
        <v>10000.0</v>
      </c>
      <c r="K164" s="112">
        <v>1206.0</v>
      </c>
      <c r="L164" s="113">
        <v>46128.0</v>
      </c>
      <c r="M164" s="113">
        <v>46132.0</v>
      </c>
      <c r="N164" s="114"/>
      <c r="O164" s="115" t="s">
        <v>99</v>
      </c>
      <c r="P164" s="116"/>
      <c r="Q164" s="107" t="s">
        <v>35</v>
      </c>
      <c r="R164" s="107" t="s">
        <v>133</v>
      </c>
      <c r="S164" s="115" t="s">
        <v>36</v>
      </c>
      <c r="T164" s="115" t="s">
        <v>36</v>
      </c>
      <c r="U164" s="118" t="s">
        <v>37</v>
      </c>
      <c r="V164" s="119"/>
      <c r="W164" s="136"/>
      <c r="X164" s="120"/>
      <c r="Y164" s="120"/>
      <c r="Z164" s="121"/>
      <c r="AA164" s="121"/>
      <c r="AB164" s="122"/>
      <c r="AC164" s="122"/>
      <c r="AD164" s="122"/>
      <c r="AE164" s="122"/>
      <c r="AF164" s="122"/>
      <c r="AG164" s="122"/>
      <c r="AH164" s="122"/>
      <c r="AI164" s="122"/>
      <c r="AJ164" s="122"/>
      <c r="AK164" s="122"/>
      <c r="AL164" s="122"/>
    </row>
    <row r="165" ht="22.5" hidden="1" customHeight="1">
      <c r="A165" s="103" t="s">
        <v>126</v>
      </c>
      <c r="B165" s="104"/>
      <c r="C165" s="105" t="s">
        <v>444</v>
      </c>
      <c r="D165" s="106">
        <v>1756.0</v>
      </c>
      <c r="E165" s="107" t="s">
        <v>95</v>
      </c>
      <c r="F165" s="108" t="s">
        <v>72</v>
      </c>
      <c r="G165" s="109" t="s">
        <v>97</v>
      </c>
      <c r="H165" s="110" t="s">
        <v>31</v>
      </c>
      <c r="I165" s="110" t="s">
        <v>98</v>
      </c>
      <c r="J165" s="111">
        <v>100000.0</v>
      </c>
      <c r="K165" s="112">
        <v>3986.0</v>
      </c>
      <c r="L165" s="113">
        <v>46129.0</v>
      </c>
      <c r="M165" s="113">
        <v>46132.0</v>
      </c>
      <c r="N165" s="114"/>
      <c r="O165" s="115" t="s">
        <v>99</v>
      </c>
      <c r="P165" s="116"/>
      <c r="Q165" s="107" t="s">
        <v>35</v>
      </c>
      <c r="R165" s="107" t="s">
        <v>133</v>
      </c>
      <c r="S165" s="115" t="s">
        <v>36</v>
      </c>
      <c r="T165" s="115" t="s">
        <v>36</v>
      </c>
      <c r="U165" s="118" t="s">
        <v>37</v>
      </c>
      <c r="V165" s="119"/>
      <c r="W165" s="111" t="s">
        <v>445</v>
      </c>
      <c r="X165" s="120"/>
      <c r="Y165" s="120"/>
      <c r="Z165" s="121"/>
      <c r="AA165" s="121"/>
      <c r="AB165" s="122"/>
      <c r="AC165" s="122"/>
      <c r="AD165" s="122"/>
      <c r="AE165" s="122"/>
      <c r="AF165" s="122"/>
      <c r="AG165" s="122"/>
      <c r="AH165" s="122"/>
      <c r="AI165" s="122"/>
      <c r="AJ165" s="122"/>
      <c r="AK165" s="122"/>
      <c r="AL165" s="122"/>
    </row>
    <row r="166" ht="22.5" hidden="1" customHeight="1">
      <c r="A166" s="192" t="s">
        <v>27</v>
      </c>
      <c r="B166" s="193"/>
      <c r="C166" s="194" t="s">
        <v>446</v>
      </c>
      <c r="D166" s="195">
        <v>1884.0</v>
      </c>
      <c r="E166" s="73" t="s">
        <v>29</v>
      </c>
      <c r="F166" s="74" t="s">
        <v>30</v>
      </c>
      <c r="G166" s="196" t="s">
        <v>234</v>
      </c>
      <c r="H166" s="76" t="s">
        <v>31</v>
      </c>
      <c r="I166" s="76" t="s">
        <v>132</v>
      </c>
      <c r="J166" s="70">
        <v>20000.0</v>
      </c>
      <c r="K166" s="197">
        <v>2088.0</v>
      </c>
      <c r="L166" s="78">
        <v>46134.0</v>
      </c>
      <c r="M166" s="78">
        <v>46139.0</v>
      </c>
      <c r="N166" s="198"/>
      <c r="O166" s="80" t="s">
        <v>34</v>
      </c>
      <c r="P166" s="199"/>
      <c r="Q166" s="200"/>
      <c r="R166" s="200"/>
      <c r="S166" s="82" t="s">
        <v>35</v>
      </c>
      <c r="T166" s="82" t="s">
        <v>36</v>
      </c>
      <c r="U166" s="201" t="s">
        <v>37</v>
      </c>
      <c r="V166" s="84"/>
      <c r="W166" s="85" t="s">
        <v>134</v>
      </c>
      <c r="X166" s="202"/>
      <c r="Y166" s="259">
        <v>4.0</v>
      </c>
      <c r="Z166" s="203">
        <f>J166/2500</f>
        <v>8</v>
      </c>
      <c r="AA166" s="260" t="s">
        <v>437</v>
      </c>
      <c r="AB166" s="88"/>
      <c r="AC166" s="88"/>
      <c r="AD166" s="88"/>
      <c r="AE166" s="88"/>
      <c r="AF166" s="88"/>
      <c r="AG166" s="88"/>
      <c r="AH166" s="88"/>
      <c r="AI166" s="88"/>
      <c r="AJ166" s="88"/>
      <c r="AK166" s="88"/>
      <c r="AL166" s="88"/>
      <c r="AM166" s="89"/>
      <c r="AN166" s="89"/>
      <c r="AO166" s="89"/>
      <c r="AP166" s="89"/>
      <c r="AQ166" s="89"/>
      <c r="AR166" s="89"/>
      <c r="AS166" s="89"/>
      <c r="AT166" s="89"/>
      <c r="AU166" s="89"/>
      <c r="AV166" s="89"/>
      <c r="AW166" s="89"/>
      <c r="AX166" s="89"/>
      <c r="AY166" s="89"/>
      <c r="AZ166" s="89"/>
      <c r="BA166" s="89"/>
      <c r="BB166" s="89"/>
      <c r="BC166" s="89"/>
      <c r="BD166" s="89"/>
      <c r="BE166" s="89"/>
      <c r="BF166" s="89"/>
      <c r="BG166" s="89"/>
      <c r="BH166" s="89"/>
      <c r="BI166" s="89"/>
      <c r="BJ166" s="89"/>
      <c r="BK166" s="89"/>
      <c r="BL166" s="89"/>
      <c r="BM166" s="89"/>
      <c r="BN166" s="89"/>
    </row>
    <row r="167" ht="22.5" hidden="1" customHeight="1">
      <c r="A167" s="192" t="s">
        <v>27</v>
      </c>
      <c r="B167" s="104"/>
      <c r="C167" s="194" t="s">
        <v>447</v>
      </c>
      <c r="D167" s="106">
        <v>1929.0</v>
      </c>
      <c r="E167" s="107" t="s">
        <v>29</v>
      </c>
      <c r="F167" s="108" t="s">
        <v>30</v>
      </c>
      <c r="G167" s="109" t="s">
        <v>448</v>
      </c>
      <c r="H167" s="110" t="s">
        <v>31</v>
      </c>
      <c r="I167" s="110" t="s">
        <v>261</v>
      </c>
      <c r="J167" s="111">
        <v>300000.0</v>
      </c>
      <c r="K167" s="112">
        <v>4955.0</v>
      </c>
      <c r="L167" s="113">
        <v>46139.0</v>
      </c>
      <c r="M167" s="113">
        <v>46140.0</v>
      </c>
      <c r="N167" s="114"/>
      <c r="O167" s="115" t="s">
        <v>338</v>
      </c>
      <c r="P167" s="116"/>
      <c r="Q167" s="234"/>
      <c r="R167" s="234"/>
      <c r="S167" s="126" t="s">
        <v>35</v>
      </c>
      <c r="T167" s="126" t="s">
        <v>36</v>
      </c>
      <c r="U167" s="127" t="s">
        <v>37</v>
      </c>
      <c r="V167" s="128"/>
      <c r="W167" s="136"/>
      <c r="X167" s="120"/>
      <c r="Y167" s="261">
        <v>46034.0</v>
      </c>
      <c r="Z167" s="130">
        <v>600.0</v>
      </c>
      <c r="AA167" s="130" t="s">
        <v>449</v>
      </c>
      <c r="AB167" s="122"/>
      <c r="AC167" s="122"/>
      <c r="AD167" s="122"/>
      <c r="AE167" s="122"/>
      <c r="AF167" s="122"/>
      <c r="AG167" s="122"/>
      <c r="AH167" s="122"/>
      <c r="AI167" s="122"/>
      <c r="AJ167" s="122"/>
      <c r="AK167" s="122"/>
      <c r="AL167" s="122"/>
    </row>
    <row r="168" ht="22.5" hidden="1" customHeight="1">
      <c r="A168" s="103" t="s">
        <v>155</v>
      </c>
      <c r="B168" s="104"/>
      <c r="C168" s="262" t="s">
        <v>450</v>
      </c>
      <c r="D168" s="106" t="s">
        <v>451</v>
      </c>
      <c r="E168" s="107" t="s">
        <v>157</v>
      </c>
      <c r="F168" s="108" t="s">
        <v>30</v>
      </c>
      <c r="G168" s="109" t="s">
        <v>452</v>
      </c>
      <c r="H168" s="110" t="s">
        <v>31</v>
      </c>
      <c r="I168" s="110" t="s">
        <v>132</v>
      </c>
      <c r="J168" s="111">
        <v>80000.0</v>
      </c>
      <c r="K168" s="112">
        <v>6580.0</v>
      </c>
      <c r="L168" s="113">
        <v>46126.0</v>
      </c>
      <c r="M168" s="113">
        <v>46132.0</v>
      </c>
      <c r="N168" s="114"/>
      <c r="O168" s="115" t="s">
        <v>70</v>
      </c>
      <c r="P168" s="116"/>
      <c r="Q168" s="107" t="s">
        <v>144</v>
      </c>
      <c r="R168" s="107" t="s">
        <v>133</v>
      </c>
      <c r="S168" s="115" t="s">
        <v>35</v>
      </c>
      <c r="T168" s="115" t="s">
        <v>35</v>
      </c>
      <c r="U168" s="118" t="s">
        <v>37</v>
      </c>
      <c r="V168" s="119"/>
      <c r="W168" s="111" t="s">
        <v>159</v>
      </c>
      <c r="X168" s="164" t="s">
        <v>160</v>
      </c>
      <c r="Y168" s="120"/>
      <c r="Z168" s="121"/>
      <c r="AA168" s="121"/>
      <c r="AB168" s="122"/>
      <c r="AC168" s="122"/>
      <c r="AD168" s="122"/>
      <c r="AE168" s="122"/>
      <c r="AF168" s="122"/>
      <c r="AG168" s="122"/>
      <c r="AH168" s="122"/>
      <c r="AI168" s="122"/>
      <c r="AJ168" s="122"/>
      <c r="AK168" s="122"/>
      <c r="AL168" s="122"/>
    </row>
    <row r="169" ht="22.5" hidden="1" customHeight="1">
      <c r="A169" s="103" t="s">
        <v>155</v>
      </c>
      <c r="B169" s="104"/>
      <c r="C169" s="105" t="s">
        <v>453</v>
      </c>
      <c r="D169" s="106" t="s">
        <v>454</v>
      </c>
      <c r="E169" s="107" t="s">
        <v>157</v>
      </c>
      <c r="F169" s="108" t="s">
        <v>68</v>
      </c>
      <c r="G169" s="109" t="s">
        <v>455</v>
      </c>
      <c r="H169" s="110" t="s">
        <v>31</v>
      </c>
      <c r="I169" s="110" t="s">
        <v>98</v>
      </c>
      <c r="J169" s="111" t="s">
        <v>456</v>
      </c>
      <c r="K169" s="112">
        <v>4085.0</v>
      </c>
      <c r="L169" s="113">
        <v>46127.0</v>
      </c>
      <c r="M169" s="113">
        <v>46133.0</v>
      </c>
      <c r="N169" s="114"/>
      <c r="O169" s="115" t="s">
        <v>70</v>
      </c>
      <c r="P169" s="116"/>
      <c r="Q169" s="107" t="s">
        <v>35</v>
      </c>
      <c r="R169" s="107" t="s">
        <v>133</v>
      </c>
      <c r="S169" s="126" t="s">
        <v>36</v>
      </c>
      <c r="T169" s="115" t="s">
        <v>36</v>
      </c>
      <c r="U169" s="118" t="s">
        <v>37</v>
      </c>
      <c r="V169" s="119"/>
      <c r="W169" s="111" t="s">
        <v>159</v>
      </c>
      <c r="X169" s="263" t="s">
        <v>160</v>
      </c>
      <c r="Y169" s="120"/>
      <c r="Z169" s="121"/>
      <c r="AA169" s="121"/>
      <c r="AB169" s="122"/>
      <c r="AC169" s="122"/>
      <c r="AD169" s="122"/>
      <c r="AE169" s="122"/>
      <c r="AF169" s="122"/>
      <c r="AG169" s="122"/>
      <c r="AH169" s="122"/>
      <c r="AI169" s="122"/>
      <c r="AJ169" s="122"/>
      <c r="AK169" s="122"/>
      <c r="AL169" s="122"/>
    </row>
    <row r="170" ht="22.5" hidden="1" customHeight="1">
      <c r="A170" s="103" t="s">
        <v>155</v>
      </c>
      <c r="B170" s="104"/>
      <c r="C170" s="105" t="s">
        <v>457</v>
      </c>
      <c r="D170" s="106" t="s">
        <v>458</v>
      </c>
      <c r="E170" s="107" t="s">
        <v>157</v>
      </c>
      <c r="F170" s="108" t="s">
        <v>68</v>
      </c>
      <c r="G170" s="109" t="s">
        <v>455</v>
      </c>
      <c r="H170" s="110" t="s">
        <v>31</v>
      </c>
      <c r="I170" s="110" t="s">
        <v>98</v>
      </c>
      <c r="J170" s="111" t="s">
        <v>459</v>
      </c>
      <c r="K170" s="112">
        <v>2906.0</v>
      </c>
      <c r="L170" s="113">
        <v>46127.0</v>
      </c>
      <c r="M170" s="113">
        <v>46133.0</v>
      </c>
      <c r="N170" s="114"/>
      <c r="O170" s="115" t="s">
        <v>70</v>
      </c>
      <c r="P170" s="116"/>
      <c r="Q170" s="107" t="s">
        <v>35</v>
      </c>
      <c r="R170" s="107" t="s">
        <v>133</v>
      </c>
      <c r="S170" s="126" t="s">
        <v>36</v>
      </c>
      <c r="T170" s="115" t="s">
        <v>36</v>
      </c>
      <c r="U170" s="118" t="s">
        <v>37</v>
      </c>
      <c r="V170" s="119"/>
      <c r="W170" s="111" t="s">
        <v>159</v>
      </c>
      <c r="X170" s="164" t="s">
        <v>160</v>
      </c>
      <c r="Y170" s="120"/>
      <c r="Z170" s="121"/>
      <c r="AA170" s="121"/>
      <c r="AB170" s="122"/>
      <c r="AC170" s="122"/>
      <c r="AD170" s="122"/>
      <c r="AE170" s="122"/>
      <c r="AF170" s="122"/>
      <c r="AG170" s="122"/>
      <c r="AH170" s="122"/>
      <c r="AI170" s="122"/>
      <c r="AJ170" s="122"/>
      <c r="AK170" s="122"/>
      <c r="AL170" s="122"/>
    </row>
    <row r="171" ht="22.5" hidden="1" customHeight="1">
      <c r="A171" s="103" t="s">
        <v>155</v>
      </c>
      <c r="B171" s="104"/>
      <c r="C171" s="105" t="s">
        <v>460</v>
      </c>
      <c r="D171" s="106" t="s">
        <v>461</v>
      </c>
      <c r="E171" s="107" t="s">
        <v>157</v>
      </c>
      <c r="F171" s="108" t="s">
        <v>30</v>
      </c>
      <c r="G171" s="109" t="s">
        <v>455</v>
      </c>
      <c r="H171" s="110" t="s">
        <v>31</v>
      </c>
      <c r="I171" s="110" t="s">
        <v>98</v>
      </c>
      <c r="J171" s="111" t="s">
        <v>462</v>
      </c>
      <c r="K171" s="112">
        <v>7515.0</v>
      </c>
      <c r="L171" s="113">
        <v>46127.0</v>
      </c>
      <c r="M171" s="113">
        <v>46133.0</v>
      </c>
      <c r="N171" s="114"/>
      <c r="O171" s="115" t="s">
        <v>70</v>
      </c>
      <c r="P171" s="116"/>
      <c r="Q171" s="107" t="s">
        <v>35</v>
      </c>
      <c r="R171" s="107" t="s">
        <v>133</v>
      </c>
      <c r="S171" s="115" t="s">
        <v>36</v>
      </c>
      <c r="T171" s="115" t="s">
        <v>36</v>
      </c>
      <c r="U171" s="118" t="s">
        <v>37</v>
      </c>
      <c r="V171" s="119"/>
      <c r="W171" s="111" t="s">
        <v>463</v>
      </c>
      <c r="X171" s="164" t="s">
        <v>160</v>
      </c>
      <c r="Y171" s="120"/>
      <c r="Z171" s="121"/>
      <c r="AA171" s="121"/>
      <c r="AB171" s="122"/>
      <c r="AC171" s="122"/>
      <c r="AD171" s="122"/>
      <c r="AE171" s="122"/>
      <c r="AF171" s="122"/>
      <c r="AG171" s="122"/>
      <c r="AH171" s="122"/>
      <c r="AI171" s="122"/>
      <c r="AJ171" s="122"/>
      <c r="AK171" s="122"/>
      <c r="AL171" s="122"/>
    </row>
    <row r="172" ht="22.5" hidden="1" customHeight="1">
      <c r="A172" s="103" t="s">
        <v>155</v>
      </c>
      <c r="B172" s="104"/>
      <c r="C172" s="105" t="s">
        <v>464</v>
      </c>
      <c r="D172" s="106" t="s">
        <v>465</v>
      </c>
      <c r="E172" s="107" t="s">
        <v>157</v>
      </c>
      <c r="F172" s="108" t="s">
        <v>30</v>
      </c>
      <c r="G172" s="109" t="s">
        <v>466</v>
      </c>
      <c r="H172" s="110" t="s">
        <v>31</v>
      </c>
      <c r="I172" s="110" t="s">
        <v>98</v>
      </c>
      <c r="J172" s="111" t="s">
        <v>467</v>
      </c>
      <c r="K172" s="112">
        <v>2726.0</v>
      </c>
      <c r="L172" s="113">
        <v>46127.0</v>
      </c>
      <c r="M172" s="113">
        <v>46133.0</v>
      </c>
      <c r="N172" s="114"/>
      <c r="O172" s="115" t="s">
        <v>70</v>
      </c>
      <c r="P172" s="116"/>
      <c r="Q172" s="107" t="s">
        <v>144</v>
      </c>
      <c r="R172" s="107" t="s">
        <v>133</v>
      </c>
      <c r="S172" s="115" t="s">
        <v>36</v>
      </c>
      <c r="T172" s="115" t="s">
        <v>36</v>
      </c>
      <c r="U172" s="118" t="s">
        <v>37</v>
      </c>
      <c r="V172" s="119"/>
      <c r="W172" s="111" t="s">
        <v>159</v>
      </c>
      <c r="X172" s="164" t="s">
        <v>160</v>
      </c>
      <c r="Y172" s="120"/>
      <c r="Z172" s="121"/>
      <c r="AA172" s="121"/>
      <c r="AB172" s="122"/>
      <c r="AC172" s="122"/>
      <c r="AD172" s="122"/>
      <c r="AE172" s="122"/>
      <c r="AF172" s="122"/>
      <c r="AG172" s="122"/>
      <c r="AH172" s="122"/>
      <c r="AI172" s="122"/>
      <c r="AJ172" s="122"/>
      <c r="AK172" s="122"/>
      <c r="AL172" s="122"/>
    </row>
    <row r="173" ht="22.5" hidden="1" customHeight="1">
      <c r="A173" s="103" t="s">
        <v>155</v>
      </c>
      <c r="B173" s="104"/>
      <c r="C173" s="105" t="s">
        <v>468</v>
      </c>
      <c r="D173" s="106" t="s">
        <v>469</v>
      </c>
      <c r="E173" s="107" t="s">
        <v>157</v>
      </c>
      <c r="F173" s="108" t="s">
        <v>68</v>
      </c>
      <c r="G173" s="109" t="s">
        <v>470</v>
      </c>
      <c r="H173" s="110" t="s">
        <v>31</v>
      </c>
      <c r="I173" s="110" t="s">
        <v>98</v>
      </c>
      <c r="J173" s="111" t="s">
        <v>459</v>
      </c>
      <c r="K173" s="112">
        <v>3628.0</v>
      </c>
      <c r="L173" s="113">
        <v>46132.0</v>
      </c>
      <c r="M173" s="113">
        <v>46135.0</v>
      </c>
      <c r="N173" s="114"/>
      <c r="O173" s="115" t="s">
        <v>70</v>
      </c>
      <c r="P173" s="116"/>
      <c r="Q173" s="107" t="s">
        <v>35</v>
      </c>
      <c r="R173" s="107" t="s">
        <v>133</v>
      </c>
      <c r="S173" s="253"/>
      <c r="T173" s="115" t="s">
        <v>36</v>
      </c>
      <c r="U173" s="118" t="s">
        <v>37</v>
      </c>
      <c r="V173" s="119"/>
      <c r="W173" s="264" t="s">
        <v>471</v>
      </c>
      <c r="X173" s="164" t="s">
        <v>472</v>
      </c>
      <c r="Y173" s="120"/>
      <c r="Z173" s="121"/>
      <c r="AA173" s="121"/>
      <c r="AB173" s="122"/>
      <c r="AC173" s="122"/>
      <c r="AD173" s="122"/>
      <c r="AE173" s="122"/>
      <c r="AF173" s="122"/>
      <c r="AG173" s="122"/>
      <c r="AH173" s="122"/>
      <c r="AI173" s="122"/>
      <c r="AJ173" s="122"/>
      <c r="AK173" s="122"/>
      <c r="AL173" s="122"/>
    </row>
    <row r="174" ht="22.5" hidden="1" customHeight="1">
      <c r="A174" s="103" t="s">
        <v>403</v>
      </c>
      <c r="B174" s="104"/>
      <c r="C174" s="105" t="s">
        <v>473</v>
      </c>
      <c r="D174" s="106" t="s">
        <v>474</v>
      </c>
      <c r="E174" s="107" t="s">
        <v>157</v>
      </c>
      <c r="F174" s="108" t="s">
        <v>30</v>
      </c>
      <c r="G174" s="109" t="s">
        <v>475</v>
      </c>
      <c r="H174" s="110" t="s">
        <v>116</v>
      </c>
      <c r="I174" s="110" t="s">
        <v>274</v>
      </c>
      <c r="J174" s="111" t="s">
        <v>476</v>
      </c>
      <c r="K174" s="112">
        <v>364.0</v>
      </c>
      <c r="L174" s="113">
        <v>46132.0</v>
      </c>
      <c r="M174" s="113">
        <v>46134.0</v>
      </c>
      <c r="N174" s="114"/>
      <c r="O174" s="115" t="s">
        <v>99</v>
      </c>
      <c r="P174" s="116"/>
      <c r="Q174" s="107" t="s">
        <v>35</v>
      </c>
      <c r="R174" s="107" t="s">
        <v>133</v>
      </c>
      <c r="S174" s="115" t="s">
        <v>55</v>
      </c>
      <c r="T174" s="115" t="s">
        <v>100</v>
      </c>
      <c r="U174" s="118" t="s">
        <v>37</v>
      </c>
      <c r="V174" s="119"/>
      <c r="W174" s="111" t="s">
        <v>406</v>
      </c>
      <c r="X174" s="164" t="s">
        <v>257</v>
      </c>
      <c r="Y174" s="120"/>
      <c r="Z174" s="121"/>
      <c r="AA174" s="121"/>
      <c r="AB174" s="122"/>
      <c r="AC174" s="122"/>
      <c r="AD174" s="122"/>
      <c r="AE174" s="122"/>
      <c r="AF174" s="122"/>
      <c r="AG174" s="122"/>
      <c r="AH174" s="122"/>
      <c r="AI174" s="122"/>
      <c r="AJ174" s="122"/>
      <c r="AK174" s="122"/>
      <c r="AL174" s="122"/>
    </row>
    <row r="175" ht="22.5" hidden="1" customHeight="1">
      <c r="A175" s="192" t="s">
        <v>27</v>
      </c>
      <c r="B175" s="104"/>
      <c r="C175" s="194" t="s">
        <v>477</v>
      </c>
      <c r="D175" s="106">
        <v>1945.0</v>
      </c>
      <c r="E175" s="107" t="s">
        <v>29</v>
      </c>
      <c r="F175" s="108" t="s">
        <v>30</v>
      </c>
      <c r="G175" s="109" t="s">
        <v>138</v>
      </c>
      <c r="H175" s="110" t="s">
        <v>31</v>
      </c>
      <c r="I175" s="110" t="s">
        <v>132</v>
      </c>
      <c r="J175" s="111">
        <v>10000.0</v>
      </c>
      <c r="K175" s="112">
        <v>689.0</v>
      </c>
      <c r="L175" s="113">
        <v>46134.0</v>
      </c>
      <c r="M175" s="113">
        <v>46139.0</v>
      </c>
      <c r="N175" s="114"/>
      <c r="O175" s="115" t="s">
        <v>34</v>
      </c>
      <c r="P175" s="116"/>
      <c r="Q175" s="167" t="s">
        <v>35</v>
      </c>
      <c r="R175" s="167" t="s">
        <v>133</v>
      </c>
      <c r="S175" s="126" t="s">
        <v>36</v>
      </c>
      <c r="T175" s="126" t="s">
        <v>36</v>
      </c>
      <c r="U175" s="127" t="s">
        <v>37</v>
      </c>
      <c r="V175" s="128"/>
      <c r="W175" s="129" t="s">
        <v>478</v>
      </c>
      <c r="X175" s="120"/>
      <c r="Y175" s="164">
        <v>2.0</v>
      </c>
      <c r="Z175" s="130">
        <v>4.0</v>
      </c>
      <c r="AA175" s="260" t="s">
        <v>437</v>
      </c>
      <c r="AB175" s="122"/>
      <c r="AC175" s="122"/>
      <c r="AD175" s="122"/>
      <c r="AE175" s="122"/>
      <c r="AF175" s="122"/>
      <c r="AG175" s="122"/>
      <c r="AH175" s="122"/>
      <c r="AI175" s="122"/>
      <c r="AJ175" s="122"/>
      <c r="AK175" s="122"/>
      <c r="AL175" s="122"/>
    </row>
    <row r="176" ht="22.5" hidden="1" customHeight="1">
      <c r="A176" s="192" t="s">
        <v>27</v>
      </c>
      <c r="B176" s="104"/>
      <c r="C176" s="194" t="s">
        <v>479</v>
      </c>
      <c r="D176" s="106">
        <v>1954.0</v>
      </c>
      <c r="E176" s="107" t="s">
        <v>29</v>
      </c>
      <c r="F176" s="108" t="s">
        <v>30</v>
      </c>
      <c r="G176" s="109" t="s">
        <v>138</v>
      </c>
      <c r="H176" s="110" t="s">
        <v>31</v>
      </c>
      <c r="I176" s="110" t="s">
        <v>132</v>
      </c>
      <c r="J176" s="111">
        <v>10000.0</v>
      </c>
      <c r="K176" s="112">
        <v>689.0</v>
      </c>
      <c r="L176" s="113">
        <v>46134.0</v>
      </c>
      <c r="M176" s="113">
        <v>46139.0</v>
      </c>
      <c r="N176" s="114"/>
      <c r="O176" s="115" t="s">
        <v>34</v>
      </c>
      <c r="P176" s="116"/>
      <c r="Q176" s="167" t="s">
        <v>35</v>
      </c>
      <c r="R176" s="167" t="s">
        <v>133</v>
      </c>
      <c r="S176" s="126" t="s">
        <v>36</v>
      </c>
      <c r="T176" s="126" t="s">
        <v>36</v>
      </c>
      <c r="U176" s="127" t="s">
        <v>37</v>
      </c>
      <c r="V176" s="128"/>
      <c r="W176" s="129" t="s">
        <v>478</v>
      </c>
      <c r="X176" s="120"/>
      <c r="Y176" s="164">
        <v>2.0</v>
      </c>
      <c r="Z176" s="130">
        <v>4.0</v>
      </c>
      <c r="AA176" s="260" t="s">
        <v>437</v>
      </c>
      <c r="AB176" s="122"/>
      <c r="AC176" s="122"/>
      <c r="AD176" s="122"/>
      <c r="AE176" s="122"/>
      <c r="AF176" s="122"/>
      <c r="AG176" s="122"/>
      <c r="AH176" s="122"/>
      <c r="AI176" s="122"/>
      <c r="AJ176" s="122"/>
      <c r="AK176" s="122"/>
      <c r="AL176" s="122"/>
    </row>
    <row r="177" ht="22.5" hidden="1" customHeight="1">
      <c r="A177" s="103" t="s">
        <v>480</v>
      </c>
      <c r="B177" s="104"/>
      <c r="C177" s="194" t="s">
        <v>481</v>
      </c>
      <c r="D177" s="106">
        <v>1955.0</v>
      </c>
      <c r="E177" s="107" t="s">
        <v>164</v>
      </c>
      <c r="F177" s="108" t="s">
        <v>30</v>
      </c>
      <c r="G177" s="109" t="s">
        <v>482</v>
      </c>
      <c r="H177" s="110" t="s">
        <v>31</v>
      </c>
      <c r="I177" s="110" t="s">
        <v>98</v>
      </c>
      <c r="J177" s="111" t="s">
        <v>84</v>
      </c>
      <c r="K177" s="112">
        <v>1140.0</v>
      </c>
      <c r="L177" s="113">
        <v>46139.0</v>
      </c>
      <c r="M177" s="113">
        <v>46146.0</v>
      </c>
      <c r="N177" s="114"/>
      <c r="O177" s="115" t="s">
        <v>99</v>
      </c>
      <c r="P177" s="116"/>
      <c r="Q177" s="167" t="s">
        <v>35</v>
      </c>
      <c r="R177" s="167" t="s">
        <v>133</v>
      </c>
      <c r="S177" s="126" t="s">
        <v>36</v>
      </c>
      <c r="T177" s="126" t="s">
        <v>36</v>
      </c>
      <c r="U177" s="127" t="s">
        <v>37</v>
      </c>
      <c r="V177" s="128"/>
      <c r="W177" s="129" t="s">
        <v>262</v>
      </c>
      <c r="X177" s="251" t="s">
        <v>178</v>
      </c>
      <c r="Y177" s="164" t="s">
        <v>190</v>
      </c>
      <c r="Z177" s="130" t="s">
        <v>191</v>
      </c>
      <c r="AA177" s="121"/>
      <c r="AB177" s="122"/>
      <c r="AC177" s="122"/>
      <c r="AD177" s="122"/>
      <c r="AE177" s="122"/>
      <c r="AF177" s="122"/>
      <c r="AG177" s="122"/>
      <c r="AH177" s="122"/>
      <c r="AI177" s="122"/>
      <c r="AJ177" s="122"/>
      <c r="AK177" s="122"/>
      <c r="AL177" s="122"/>
    </row>
    <row r="178" ht="22.5" hidden="1" customHeight="1">
      <c r="A178" s="103" t="s">
        <v>162</v>
      </c>
      <c r="B178" s="104"/>
      <c r="C178" s="194" t="s">
        <v>483</v>
      </c>
      <c r="D178" s="106">
        <v>1956.0</v>
      </c>
      <c r="E178" s="107" t="s">
        <v>164</v>
      </c>
      <c r="F178" s="108" t="s">
        <v>30</v>
      </c>
      <c r="G178" s="109" t="s">
        <v>482</v>
      </c>
      <c r="H178" s="110" t="s">
        <v>31</v>
      </c>
      <c r="I178" s="110" t="s">
        <v>98</v>
      </c>
      <c r="J178" s="111" t="s">
        <v>84</v>
      </c>
      <c r="K178" s="112">
        <v>1040.0</v>
      </c>
      <c r="L178" s="113">
        <v>46139.0</v>
      </c>
      <c r="M178" s="113">
        <v>46146.0</v>
      </c>
      <c r="N178" s="114"/>
      <c r="O178" s="115" t="s">
        <v>99</v>
      </c>
      <c r="P178" s="116"/>
      <c r="Q178" s="167" t="s">
        <v>35</v>
      </c>
      <c r="R178" s="167" t="s">
        <v>133</v>
      </c>
      <c r="S178" s="126" t="s">
        <v>36</v>
      </c>
      <c r="T178" s="126" t="s">
        <v>36</v>
      </c>
      <c r="U178" s="127" t="s">
        <v>37</v>
      </c>
      <c r="V178" s="128"/>
      <c r="W178" s="129" t="s">
        <v>262</v>
      </c>
      <c r="X178" s="251" t="s">
        <v>178</v>
      </c>
      <c r="Y178" s="120"/>
      <c r="Z178" s="121"/>
      <c r="AA178" s="121"/>
      <c r="AB178" s="122"/>
      <c r="AC178" s="122"/>
      <c r="AD178" s="122"/>
      <c r="AE178" s="122"/>
      <c r="AF178" s="122"/>
      <c r="AG178" s="122"/>
      <c r="AH178" s="122"/>
      <c r="AI178" s="122"/>
      <c r="AJ178" s="122"/>
      <c r="AK178" s="122"/>
      <c r="AL178" s="122"/>
    </row>
    <row r="179" ht="22.5" hidden="1" customHeight="1">
      <c r="A179" s="103" t="s">
        <v>120</v>
      </c>
      <c r="B179" s="104"/>
      <c r="C179" s="265" t="s">
        <v>484</v>
      </c>
      <c r="D179" s="106">
        <v>1962.0</v>
      </c>
      <c r="E179" s="107" t="s">
        <v>95</v>
      </c>
      <c r="F179" s="108" t="s">
        <v>72</v>
      </c>
      <c r="G179" s="109" t="s">
        <v>485</v>
      </c>
      <c r="H179" s="110" t="s">
        <v>31</v>
      </c>
      <c r="I179" s="110" t="s">
        <v>98</v>
      </c>
      <c r="J179" s="111">
        <v>20000.0</v>
      </c>
      <c r="K179" s="112">
        <v>1270.0</v>
      </c>
      <c r="L179" s="113">
        <v>46140.0</v>
      </c>
      <c r="M179" s="113">
        <v>46146.0</v>
      </c>
      <c r="N179" s="114"/>
      <c r="O179" s="115" t="s">
        <v>99</v>
      </c>
      <c r="P179" s="116"/>
      <c r="Q179" s="107" t="s">
        <v>35</v>
      </c>
      <c r="R179" s="107" t="s">
        <v>133</v>
      </c>
      <c r="S179" s="115" t="s">
        <v>36</v>
      </c>
      <c r="T179" s="115" t="s">
        <v>36</v>
      </c>
      <c r="U179" s="118" t="s">
        <v>37</v>
      </c>
      <c r="V179" s="119"/>
      <c r="W179" s="136"/>
      <c r="X179" s="120"/>
      <c r="Y179" s="164" t="s">
        <v>190</v>
      </c>
      <c r="Z179" s="130" t="s">
        <v>191</v>
      </c>
      <c r="AA179" s="121"/>
      <c r="AB179" s="122"/>
      <c r="AC179" s="122"/>
      <c r="AD179" s="122"/>
      <c r="AE179" s="122"/>
      <c r="AF179" s="122"/>
      <c r="AG179" s="122"/>
      <c r="AH179" s="122"/>
      <c r="AI179" s="122"/>
      <c r="AJ179" s="122"/>
      <c r="AK179" s="122"/>
      <c r="AL179" s="122"/>
    </row>
    <row r="180" ht="22.5" hidden="1" customHeight="1">
      <c r="A180" s="103" t="s">
        <v>486</v>
      </c>
      <c r="B180" s="104"/>
      <c r="C180" s="194" t="s">
        <v>487</v>
      </c>
      <c r="D180" s="106">
        <v>1967.0</v>
      </c>
      <c r="E180" s="107" t="s">
        <v>95</v>
      </c>
      <c r="F180" s="108" t="s">
        <v>96</v>
      </c>
      <c r="G180" s="109" t="s">
        <v>488</v>
      </c>
      <c r="H180" s="110" t="s">
        <v>31</v>
      </c>
      <c r="I180" s="179"/>
      <c r="J180" s="111">
        <v>10.0</v>
      </c>
      <c r="K180" s="112">
        <v>168.0</v>
      </c>
      <c r="L180" s="113">
        <v>46140.0</v>
      </c>
      <c r="M180" s="113">
        <v>46146.0</v>
      </c>
      <c r="N180" s="114"/>
      <c r="O180" s="115" t="s">
        <v>99</v>
      </c>
      <c r="P180" s="116"/>
      <c r="Q180" s="107" t="s">
        <v>35</v>
      </c>
      <c r="R180" s="107" t="s">
        <v>133</v>
      </c>
      <c r="S180" s="115" t="s">
        <v>35</v>
      </c>
      <c r="T180" s="115" t="s">
        <v>100</v>
      </c>
      <c r="U180" s="118" t="s">
        <v>37</v>
      </c>
      <c r="V180" s="119"/>
      <c r="W180" s="136"/>
      <c r="X180" s="120"/>
      <c r="Y180" s="120"/>
      <c r="Z180" s="121"/>
      <c r="AA180" s="121"/>
      <c r="AB180" s="122"/>
      <c r="AC180" s="122"/>
      <c r="AD180" s="122"/>
      <c r="AE180" s="122"/>
      <c r="AF180" s="122"/>
      <c r="AG180" s="122"/>
      <c r="AH180" s="122"/>
      <c r="AI180" s="122"/>
      <c r="AJ180" s="122"/>
      <c r="AK180" s="122"/>
      <c r="AL180" s="122"/>
    </row>
    <row r="181" ht="22.5" hidden="1" customHeight="1">
      <c r="A181" s="103" t="s">
        <v>486</v>
      </c>
      <c r="B181" s="104"/>
      <c r="C181" s="194" t="s">
        <v>489</v>
      </c>
      <c r="D181" s="106">
        <v>1967.0</v>
      </c>
      <c r="E181" s="107" t="s">
        <v>95</v>
      </c>
      <c r="F181" s="108" t="s">
        <v>96</v>
      </c>
      <c r="G181" s="109" t="s">
        <v>490</v>
      </c>
      <c r="H181" s="110" t="s">
        <v>31</v>
      </c>
      <c r="I181" s="179"/>
      <c r="J181" s="111">
        <v>10.0</v>
      </c>
      <c r="K181" s="112">
        <v>168.0</v>
      </c>
      <c r="L181" s="113">
        <v>46140.0</v>
      </c>
      <c r="M181" s="113">
        <v>46146.0</v>
      </c>
      <c r="N181" s="114"/>
      <c r="O181" s="115" t="s">
        <v>99</v>
      </c>
      <c r="P181" s="116"/>
      <c r="Q181" s="107" t="s">
        <v>35</v>
      </c>
      <c r="R181" s="107" t="s">
        <v>133</v>
      </c>
      <c r="S181" s="115" t="s">
        <v>35</v>
      </c>
      <c r="T181" s="115" t="s">
        <v>100</v>
      </c>
      <c r="U181" s="118" t="s">
        <v>37</v>
      </c>
      <c r="V181" s="119"/>
      <c r="W181" s="136"/>
      <c r="X181" s="120"/>
      <c r="Y181" s="120"/>
      <c r="Z181" s="121"/>
      <c r="AA181" s="121"/>
      <c r="AB181" s="122"/>
      <c r="AC181" s="122"/>
      <c r="AD181" s="122"/>
      <c r="AE181" s="122"/>
      <c r="AF181" s="122"/>
      <c r="AG181" s="122"/>
      <c r="AH181" s="122"/>
      <c r="AI181" s="122"/>
      <c r="AJ181" s="122"/>
      <c r="AK181" s="122"/>
      <c r="AL181" s="122"/>
    </row>
    <row r="182" ht="22.5" hidden="1" customHeight="1">
      <c r="A182" s="103" t="s">
        <v>486</v>
      </c>
      <c r="B182" s="104"/>
      <c r="C182" s="194" t="s">
        <v>491</v>
      </c>
      <c r="D182" s="106">
        <v>1967.0</v>
      </c>
      <c r="E182" s="107" t="s">
        <v>95</v>
      </c>
      <c r="F182" s="108" t="s">
        <v>96</v>
      </c>
      <c r="G182" s="109" t="s">
        <v>492</v>
      </c>
      <c r="H182" s="110" t="s">
        <v>31</v>
      </c>
      <c r="I182" s="179"/>
      <c r="J182" s="111">
        <v>10.0</v>
      </c>
      <c r="K182" s="112">
        <v>168.0</v>
      </c>
      <c r="L182" s="113">
        <v>46140.0</v>
      </c>
      <c r="M182" s="113">
        <v>46146.0</v>
      </c>
      <c r="N182" s="114"/>
      <c r="O182" s="115" t="s">
        <v>99</v>
      </c>
      <c r="P182" s="116"/>
      <c r="Q182" s="107" t="s">
        <v>35</v>
      </c>
      <c r="R182" s="107" t="s">
        <v>133</v>
      </c>
      <c r="S182" s="115" t="s">
        <v>35</v>
      </c>
      <c r="T182" s="115" t="s">
        <v>100</v>
      </c>
      <c r="U182" s="118" t="s">
        <v>37</v>
      </c>
      <c r="V182" s="119"/>
      <c r="W182" s="136"/>
      <c r="X182" s="120"/>
      <c r="Y182" s="120"/>
      <c r="Z182" s="121"/>
      <c r="AA182" s="121"/>
      <c r="AB182" s="122"/>
      <c r="AC182" s="122"/>
      <c r="AD182" s="122"/>
      <c r="AE182" s="122"/>
      <c r="AF182" s="122"/>
      <c r="AG182" s="122"/>
      <c r="AH182" s="122"/>
      <c r="AI182" s="122"/>
      <c r="AJ182" s="122"/>
      <c r="AK182" s="122"/>
      <c r="AL182" s="122"/>
    </row>
    <row r="183" ht="22.5" hidden="1" customHeight="1">
      <c r="A183" s="103" t="s">
        <v>241</v>
      </c>
      <c r="B183" s="104"/>
      <c r="C183" s="105" t="s">
        <v>493</v>
      </c>
      <c r="D183" s="190"/>
      <c r="E183" s="107" t="s">
        <v>157</v>
      </c>
      <c r="F183" s="108" t="s">
        <v>30</v>
      </c>
      <c r="G183" s="109" t="s">
        <v>494</v>
      </c>
      <c r="H183" s="110" t="s">
        <v>52</v>
      </c>
      <c r="I183" s="110" t="s">
        <v>274</v>
      </c>
      <c r="J183" s="111" t="s">
        <v>495</v>
      </c>
      <c r="K183" s="135"/>
      <c r="L183" s="113">
        <v>46127.0</v>
      </c>
      <c r="M183" s="113">
        <v>46134.0</v>
      </c>
      <c r="N183" s="114"/>
      <c r="O183" s="115" t="s">
        <v>70</v>
      </c>
      <c r="P183" s="116"/>
      <c r="Q183" s="107" t="s">
        <v>35</v>
      </c>
      <c r="R183" s="107" t="s">
        <v>133</v>
      </c>
      <c r="S183" s="115" t="s">
        <v>55</v>
      </c>
      <c r="T183" s="115" t="s">
        <v>496</v>
      </c>
      <c r="U183" s="118" t="s">
        <v>37</v>
      </c>
      <c r="V183" s="119"/>
      <c r="W183" s="111" t="s">
        <v>497</v>
      </c>
      <c r="X183" s="266" t="s">
        <v>498</v>
      </c>
      <c r="Y183" s="120"/>
      <c r="Z183" s="121"/>
      <c r="AA183" s="121"/>
      <c r="AB183" s="122"/>
      <c r="AC183" s="122"/>
      <c r="AD183" s="122"/>
      <c r="AE183" s="122"/>
      <c r="AF183" s="122"/>
      <c r="AG183" s="122"/>
      <c r="AH183" s="122"/>
      <c r="AI183" s="122"/>
      <c r="AJ183" s="122"/>
      <c r="AK183" s="122"/>
      <c r="AL183" s="122"/>
    </row>
    <row r="184" ht="22.5" hidden="1" customHeight="1">
      <c r="A184" s="103" t="s">
        <v>486</v>
      </c>
      <c r="B184" s="104"/>
      <c r="C184" s="194" t="s">
        <v>499</v>
      </c>
      <c r="D184" s="106">
        <v>1980.0</v>
      </c>
      <c r="E184" s="107" t="s">
        <v>95</v>
      </c>
      <c r="F184" s="108" t="s">
        <v>30</v>
      </c>
      <c r="G184" s="109" t="s">
        <v>128</v>
      </c>
      <c r="H184" s="110" t="s">
        <v>31</v>
      </c>
      <c r="I184" s="110" t="s">
        <v>98</v>
      </c>
      <c r="J184" s="111">
        <v>500.0</v>
      </c>
      <c r="K184" s="112">
        <v>286.0</v>
      </c>
      <c r="L184" s="113">
        <v>46126.0</v>
      </c>
      <c r="M184" s="113">
        <v>46146.0</v>
      </c>
      <c r="N184" s="114"/>
      <c r="O184" s="115" t="s">
        <v>99</v>
      </c>
      <c r="P184" s="116"/>
      <c r="Q184" s="107" t="s">
        <v>35</v>
      </c>
      <c r="R184" s="107" t="s">
        <v>133</v>
      </c>
      <c r="S184" s="115" t="s">
        <v>35</v>
      </c>
      <c r="T184" s="115" t="s">
        <v>36</v>
      </c>
      <c r="U184" s="118" t="s">
        <v>37</v>
      </c>
      <c r="V184" s="119"/>
      <c r="W184" s="111"/>
      <c r="X184" s="120"/>
      <c r="Y184" s="120"/>
      <c r="Z184" s="121"/>
      <c r="AA184" s="121"/>
      <c r="AB184" s="122"/>
      <c r="AC184" s="122"/>
      <c r="AD184" s="122"/>
      <c r="AE184" s="122"/>
      <c r="AF184" s="122"/>
      <c r="AG184" s="122"/>
      <c r="AH184" s="122"/>
      <c r="AI184" s="122"/>
      <c r="AJ184" s="122"/>
      <c r="AK184" s="122"/>
      <c r="AL184" s="122"/>
    </row>
    <row r="185" ht="22.5" hidden="1" customHeight="1">
      <c r="A185" s="103" t="s">
        <v>486</v>
      </c>
      <c r="B185" s="104"/>
      <c r="C185" s="265" t="s">
        <v>500</v>
      </c>
      <c r="D185" s="106">
        <v>1981.0</v>
      </c>
      <c r="E185" s="107" t="s">
        <v>95</v>
      </c>
      <c r="F185" s="108" t="s">
        <v>30</v>
      </c>
      <c r="G185" s="109" t="s">
        <v>501</v>
      </c>
      <c r="H185" s="110" t="s">
        <v>31</v>
      </c>
      <c r="I185" s="110" t="s">
        <v>98</v>
      </c>
      <c r="J185" s="111">
        <v>500.0</v>
      </c>
      <c r="K185" s="112">
        <v>386.0</v>
      </c>
      <c r="L185" s="113">
        <v>46126.0</v>
      </c>
      <c r="M185" s="113">
        <v>46146.0</v>
      </c>
      <c r="N185" s="114"/>
      <c r="O185" s="115" t="s">
        <v>99</v>
      </c>
      <c r="P185" s="116"/>
      <c r="Q185" s="107" t="s">
        <v>35</v>
      </c>
      <c r="R185" s="107" t="s">
        <v>133</v>
      </c>
      <c r="S185" s="115" t="s">
        <v>35</v>
      </c>
      <c r="T185" s="115" t="s">
        <v>35</v>
      </c>
      <c r="U185" s="118" t="s">
        <v>37</v>
      </c>
      <c r="V185" s="119"/>
      <c r="W185" s="111"/>
      <c r="X185" s="267"/>
      <c r="Y185" s="120"/>
      <c r="Z185" s="121"/>
      <c r="AA185" s="121"/>
      <c r="AB185" s="122"/>
      <c r="AC185" s="122"/>
      <c r="AD185" s="122"/>
      <c r="AE185" s="122"/>
      <c r="AF185" s="122"/>
      <c r="AG185" s="122"/>
      <c r="AH185" s="122"/>
      <c r="AI185" s="122"/>
      <c r="AJ185" s="122"/>
      <c r="AK185" s="122"/>
      <c r="AL185" s="122"/>
    </row>
    <row r="186" ht="22.5" hidden="1" customHeight="1">
      <c r="A186" s="103" t="s">
        <v>486</v>
      </c>
      <c r="B186" s="104"/>
      <c r="C186" s="194" t="s">
        <v>502</v>
      </c>
      <c r="D186" s="106">
        <v>1982.0</v>
      </c>
      <c r="E186" s="107" t="s">
        <v>95</v>
      </c>
      <c r="F186" s="108" t="s">
        <v>30</v>
      </c>
      <c r="G186" s="109" t="s">
        <v>501</v>
      </c>
      <c r="H186" s="110" t="s">
        <v>31</v>
      </c>
      <c r="I186" s="110" t="s">
        <v>98</v>
      </c>
      <c r="J186" s="111">
        <v>500.0</v>
      </c>
      <c r="K186" s="112">
        <v>386.0</v>
      </c>
      <c r="L186" s="113">
        <v>46126.0</v>
      </c>
      <c r="M186" s="113">
        <v>46146.0</v>
      </c>
      <c r="N186" s="114"/>
      <c r="O186" s="115" t="s">
        <v>99</v>
      </c>
      <c r="P186" s="116"/>
      <c r="Q186" s="107" t="s">
        <v>35</v>
      </c>
      <c r="R186" s="107" t="s">
        <v>133</v>
      </c>
      <c r="S186" s="115" t="s">
        <v>35</v>
      </c>
      <c r="T186" s="115" t="s">
        <v>35</v>
      </c>
      <c r="U186" s="118" t="s">
        <v>37</v>
      </c>
      <c r="V186" s="119"/>
      <c r="W186" s="111"/>
      <c r="X186" s="267"/>
      <c r="Y186" s="120"/>
      <c r="Z186" s="121"/>
      <c r="AA186" s="121"/>
      <c r="AB186" s="122"/>
      <c r="AC186" s="122"/>
      <c r="AD186" s="122"/>
      <c r="AE186" s="122"/>
      <c r="AF186" s="122"/>
      <c r="AG186" s="122"/>
      <c r="AH186" s="122"/>
      <c r="AI186" s="122"/>
      <c r="AJ186" s="122"/>
      <c r="AK186" s="122"/>
      <c r="AL186" s="122"/>
    </row>
    <row r="187" ht="22.5" hidden="1" customHeight="1">
      <c r="A187" s="103" t="s">
        <v>503</v>
      </c>
      <c r="B187" s="104"/>
      <c r="C187" s="194" t="s">
        <v>504</v>
      </c>
      <c r="D187" s="268" t="s">
        <v>505</v>
      </c>
      <c r="E187" s="107" t="s">
        <v>95</v>
      </c>
      <c r="F187" s="108" t="s">
        <v>96</v>
      </c>
      <c r="G187" s="109" t="s">
        <v>506</v>
      </c>
      <c r="H187" s="269"/>
      <c r="I187" s="179"/>
      <c r="J187" s="111">
        <v>10000.0</v>
      </c>
      <c r="K187" s="112">
        <v>152.0</v>
      </c>
      <c r="L187" s="113">
        <v>46122.0</v>
      </c>
      <c r="M187" s="113">
        <v>46125.0</v>
      </c>
      <c r="N187" s="114"/>
      <c r="O187" s="115" t="s">
        <v>212</v>
      </c>
      <c r="P187" s="116"/>
      <c r="Q187" s="107" t="s">
        <v>35</v>
      </c>
      <c r="R187" s="107" t="s">
        <v>133</v>
      </c>
      <c r="S187" s="115" t="s">
        <v>36</v>
      </c>
      <c r="T187" s="115" t="s">
        <v>35</v>
      </c>
      <c r="U187" s="118" t="s">
        <v>37</v>
      </c>
      <c r="V187" s="119"/>
      <c r="W187" s="111" t="s">
        <v>507</v>
      </c>
      <c r="X187" s="270" t="s">
        <v>508</v>
      </c>
      <c r="Y187" s="120"/>
      <c r="Z187" s="130" t="s">
        <v>400</v>
      </c>
      <c r="AA187" s="121"/>
      <c r="AB187" s="122"/>
      <c r="AC187" s="122"/>
      <c r="AD187" s="122"/>
      <c r="AE187" s="122"/>
      <c r="AF187" s="122"/>
      <c r="AG187" s="122"/>
      <c r="AH187" s="122"/>
      <c r="AI187" s="122"/>
      <c r="AJ187" s="122"/>
      <c r="AK187" s="122"/>
      <c r="AL187" s="122"/>
    </row>
    <row r="188" ht="22.5" hidden="1" customHeight="1">
      <c r="A188" s="103" t="s">
        <v>509</v>
      </c>
      <c r="B188" s="271"/>
      <c r="C188" s="194" t="s">
        <v>285</v>
      </c>
      <c r="D188" s="106">
        <v>2044.0</v>
      </c>
      <c r="E188" s="107" t="s">
        <v>95</v>
      </c>
      <c r="F188" s="108" t="s">
        <v>72</v>
      </c>
      <c r="G188" s="109" t="s">
        <v>286</v>
      </c>
      <c r="H188" s="110" t="s">
        <v>510</v>
      </c>
      <c r="I188" s="110" t="s">
        <v>511</v>
      </c>
      <c r="J188" s="111" t="s">
        <v>512</v>
      </c>
      <c r="K188" s="112">
        <v>13307.0</v>
      </c>
      <c r="L188" s="113">
        <v>46141.0</v>
      </c>
      <c r="M188" s="113">
        <v>46149.0</v>
      </c>
      <c r="N188" s="114"/>
      <c r="O188" s="115" t="s">
        <v>99</v>
      </c>
      <c r="P188" s="116"/>
      <c r="Q188" s="167" t="s">
        <v>35</v>
      </c>
      <c r="R188" s="167" t="s">
        <v>133</v>
      </c>
      <c r="S188" s="126" t="s">
        <v>36</v>
      </c>
      <c r="T188" s="126" t="s">
        <v>36</v>
      </c>
      <c r="U188" s="127" t="s">
        <v>37</v>
      </c>
      <c r="V188" s="128"/>
      <c r="W188" s="129" t="s">
        <v>513</v>
      </c>
      <c r="X188" s="164" t="s">
        <v>514</v>
      </c>
      <c r="Y188" s="164" t="s">
        <v>515</v>
      </c>
      <c r="Z188" s="130" t="s">
        <v>516</v>
      </c>
      <c r="AA188" s="130" t="s">
        <v>516</v>
      </c>
      <c r="AB188" s="122"/>
      <c r="AC188" s="122"/>
      <c r="AD188" s="122"/>
      <c r="AE188" s="122"/>
      <c r="AF188" s="122"/>
      <c r="AG188" s="122"/>
      <c r="AH188" s="122"/>
      <c r="AI188" s="122"/>
      <c r="AJ188" s="122"/>
      <c r="AK188" s="122"/>
      <c r="AL188" s="122"/>
    </row>
    <row r="189" ht="22.5" hidden="1" customHeight="1">
      <c r="A189" s="103" t="s">
        <v>403</v>
      </c>
      <c r="B189" s="104"/>
      <c r="C189" s="265" t="s">
        <v>517</v>
      </c>
      <c r="D189" s="106">
        <v>2049.0</v>
      </c>
      <c r="E189" s="107" t="s">
        <v>157</v>
      </c>
      <c r="F189" s="108" t="s">
        <v>30</v>
      </c>
      <c r="G189" s="109" t="s">
        <v>518</v>
      </c>
      <c r="H189" s="110" t="s">
        <v>31</v>
      </c>
      <c r="I189" s="110" t="s">
        <v>261</v>
      </c>
      <c r="J189" s="111">
        <v>12100.0</v>
      </c>
      <c r="K189" s="112">
        <v>228.0</v>
      </c>
      <c r="L189" s="113">
        <v>46142.0</v>
      </c>
      <c r="M189" s="113">
        <v>46148.0</v>
      </c>
      <c r="N189" s="114"/>
      <c r="O189" s="115" t="s">
        <v>99</v>
      </c>
      <c r="P189" s="116"/>
      <c r="Q189" s="107" t="s">
        <v>35</v>
      </c>
      <c r="R189" s="107" t="s">
        <v>133</v>
      </c>
      <c r="S189" s="115" t="s">
        <v>35</v>
      </c>
      <c r="T189" s="115" t="s">
        <v>36</v>
      </c>
      <c r="U189" s="118" t="s">
        <v>37</v>
      </c>
      <c r="V189" s="119"/>
      <c r="W189" s="136"/>
      <c r="X189" s="263" t="s">
        <v>257</v>
      </c>
      <c r="Y189" s="120"/>
      <c r="Z189" s="121"/>
      <c r="AA189" s="121"/>
      <c r="AB189" s="122"/>
      <c r="AC189" s="122"/>
      <c r="AD189" s="122"/>
      <c r="AE189" s="122"/>
      <c r="AF189" s="122"/>
      <c r="AG189" s="122"/>
      <c r="AH189" s="122"/>
      <c r="AI189" s="122"/>
      <c r="AJ189" s="122"/>
      <c r="AK189" s="122"/>
      <c r="AL189" s="122"/>
    </row>
    <row r="190" ht="22.5" hidden="1" customHeight="1">
      <c r="A190" s="103" t="s">
        <v>519</v>
      </c>
      <c r="B190" s="104"/>
      <c r="C190" s="265" t="s">
        <v>520</v>
      </c>
      <c r="D190" s="106">
        <v>2062.0</v>
      </c>
      <c r="E190" s="107" t="s">
        <v>95</v>
      </c>
      <c r="F190" s="108" t="s">
        <v>30</v>
      </c>
      <c r="G190" s="109" t="s">
        <v>521</v>
      </c>
      <c r="H190" s="110" t="s">
        <v>52</v>
      </c>
      <c r="I190" s="110" t="s">
        <v>274</v>
      </c>
      <c r="J190" s="111">
        <v>1000.0</v>
      </c>
      <c r="K190" s="112">
        <v>313.0</v>
      </c>
      <c r="L190" s="113">
        <v>46141.0</v>
      </c>
      <c r="M190" s="113">
        <v>46149.0</v>
      </c>
      <c r="N190" s="114"/>
      <c r="O190" s="115" t="s">
        <v>34</v>
      </c>
      <c r="P190" s="116"/>
      <c r="Q190" s="107" t="s">
        <v>35</v>
      </c>
      <c r="R190" s="117"/>
      <c r="S190" s="115" t="s">
        <v>55</v>
      </c>
      <c r="T190" s="115" t="s">
        <v>36</v>
      </c>
      <c r="U190" s="118" t="s">
        <v>37</v>
      </c>
      <c r="V190" s="119"/>
      <c r="W190" s="111" t="s">
        <v>522</v>
      </c>
      <c r="X190" s="272" t="s">
        <v>523</v>
      </c>
      <c r="Y190" s="120"/>
      <c r="Z190" s="121"/>
      <c r="AA190" s="121"/>
      <c r="AB190" s="122"/>
      <c r="AC190" s="122"/>
      <c r="AD190" s="122"/>
      <c r="AE190" s="122"/>
      <c r="AF190" s="122"/>
      <c r="AG190" s="122"/>
      <c r="AH190" s="122"/>
      <c r="AI190" s="122"/>
      <c r="AJ190" s="122"/>
      <c r="AK190" s="122"/>
      <c r="AL190" s="122"/>
    </row>
    <row r="191" ht="22.5" hidden="1" customHeight="1">
      <c r="A191" s="103" t="s">
        <v>519</v>
      </c>
      <c r="B191" s="104"/>
      <c r="C191" s="265" t="s">
        <v>524</v>
      </c>
      <c r="D191" s="106">
        <v>2062.0</v>
      </c>
      <c r="E191" s="107" t="s">
        <v>95</v>
      </c>
      <c r="F191" s="108" t="s">
        <v>30</v>
      </c>
      <c r="G191" s="109" t="s">
        <v>521</v>
      </c>
      <c r="H191" s="110" t="s">
        <v>52</v>
      </c>
      <c r="I191" s="110" t="s">
        <v>274</v>
      </c>
      <c r="J191" s="111">
        <v>1000.0</v>
      </c>
      <c r="K191" s="112">
        <v>313.0</v>
      </c>
      <c r="L191" s="113">
        <v>46141.0</v>
      </c>
      <c r="M191" s="113">
        <v>46149.0</v>
      </c>
      <c r="N191" s="114"/>
      <c r="O191" s="115" t="s">
        <v>34</v>
      </c>
      <c r="P191" s="116"/>
      <c r="Q191" s="107" t="s">
        <v>35</v>
      </c>
      <c r="R191" s="117"/>
      <c r="S191" s="115" t="s">
        <v>55</v>
      </c>
      <c r="T191" s="115" t="s">
        <v>36</v>
      </c>
      <c r="U191" s="118" t="s">
        <v>37</v>
      </c>
      <c r="V191" s="119"/>
      <c r="W191" s="111" t="s">
        <v>522</v>
      </c>
      <c r="X191" s="273" t="s">
        <v>523</v>
      </c>
      <c r="Y191" s="120"/>
      <c r="Z191" s="121"/>
      <c r="AA191" s="121"/>
      <c r="AB191" s="122"/>
      <c r="AC191" s="122"/>
      <c r="AD191" s="122"/>
      <c r="AE191" s="122"/>
      <c r="AF191" s="122"/>
      <c r="AG191" s="122"/>
      <c r="AH191" s="122"/>
      <c r="AI191" s="122"/>
      <c r="AJ191" s="122"/>
      <c r="AK191" s="122"/>
      <c r="AL191" s="122"/>
    </row>
    <row r="192" ht="22.5" hidden="1" customHeight="1">
      <c r="A192" s="103" t="s">
        <v>519</v>
      </c>
      <c r="B192" s="104"/>
      <c r="C192" s="265" t="s">
        <v>525</v>
      </c>
      <c r="D192" s="106">
        <v>2062.0</v>
      </c>
      <c r="E192" s="107" t="s">
        <v>95</v>
      </c>
      <c r="F192" s="108" t="s">
        <v>30</v>
      </c>
      <c r="G192" s="109" t="s">
        <v>521</v>
      </c>
      <c r="H192" s="110" t="s">
        <v>52</v>
      </c>
      <c r="I192" s="110" t="s">
        <v>274</v>
      </c>
      <c r="J192" s="111">
        <v>1000.0</v>
      </c>
      <c r="K192" s="112">
        <v>313.0</v>
      </c>
      <c r="L192" s="113">
        <v>46141.0</v>
      </c>
      <c r="M192" s="113">
        <v>46149.0</v>
      </c>
      <c r="N192" s="114"/>
      <c r="O192" s="115" t="s">
        <v>34</v>
      </c>
      <c r="P192" s="116"/>
      <c r="Q192" s="107" t="s">
        <v>35</v>
      </c>
      <c r="R192" s="117"/>
      <c r="S192" s="115" t="s">
        <v>55</v>
      </c>
      <c r="T192" s="115" t="s">
        <v>36</v>
      </c>
      <c r="U192" s="127" t="s">
        <v>37</v>
      </c>
      <c r="V192" s="128"/>
      <c r="W192" s="111" t="s">
        <v>522</v>
      </c>
      <c r="X192" s="273" t="s">
        <v>523</v>
      </c>
      <c r="Y192" s="120"/>
      <c r="Z192" s="121"/>
      <c r="AA192" s="121"/>
      <c r="AB192" s="122"/>
      <c r="AC192" s="122"/>
      <c r="AD192" s="122"/>
      <c r="AE192" s="122"/>
      <c r="AF192" s="122"/>
      <c r="AG192" s="122"/>
      <c r="AH192" s="122"/>
      <c r="AI192" s="122"/>
      <c r="AJ192" s="122"/>
      <c r="AK192" s="122"/>
      <c r="AL192" s="122"/>
    </row>
    <row r="193" ht="22.5" hidden="1" customHeight="1">
      <c r="A193" s="103" t="s">
        <v>519</v>
      </c>
      <c r="B193" s="104"/>
      <c r="C193" s="265" t="s">
        <v>526</v>
      </c>
      <c r="D193" s="106">
        <v>2069.0</v>
      </c>
      <c r="E193" s="107" t="s">
        <v>95</v>
      </c>
      <c r="F193" s="108" t="s">
        <v>30</v>
      </c>
      <c r="G193" s="109" t="s">
        <v>527</v>
      </c>
      <c r="H193" s="110" t="s">
        <v>31</v>
      </c>
      <c r="I193" s="110" t="s">
        <v>98</v>
      </c>
      <c r="J193" s="111">
        <v>4000.0</v>
      </c>
      <c r="K193" s="112">
        <v>910.0</v>
      </c>
      <c r="L193" s="113">
        <v>46141.0</v>
      </c>
      <c r="M193" s="113">
        <v>46149.0</v>
      </c>
      <c r="N193" s="114"/>
      <c r="O193" s="115" t="s">
        <v>70</v>
      </c>
      <c r="P193" s="116"/>
      <c r="Q193" s="167" t="s">
        <v>35</v>
      </c>
      <c r="R193" s="167" t="s">
        <v>133</v>
      </c>
      <c r="S193" s="126" t="s">
        <v>35</v>
      </c>
      <c r="T193" s="126" t="s">
        <v>35</v>
      </c>
      <c r="U193" s="127" t="s">
        <v>37</v>
      </c>
      <c r="V193" s="128"/>
      <c r="W193" s="129"/>
      <c r="X193" s="164" t="s">
        <v>514</v>
      </c>
      <c r="Y193" s="164" t="s">
        <v>516</v>
      </c>
      <c r="Z193" s="130" t="s">
        <v>516</v>
      </c>
      <c r="AA193" s="130" t="s">
        <v>516</v>
      </c>
      <c r="AB193" s="122"/>
      <c r="AC193" s="122"/>
      <c r="AD193" s="122"/>
      <c r="AE193" s="122"/>
      <c r="AF193" s="122"/>
      <c r="AG193" s="122"/>
      <c r="AH193" s="122"/>
      <c r="AI193" s="122"/>
      <c r="AJ193" s="122"/>
      <c r="AK193" s="122"/>
      <c r="AL193" s="122"/>
    </row>
    <row r="194" ht="22.5" hidden="1" customHeight="1">
      <c r="A194" s="103" t="s">
        <v>519</v>
      </c>
      <c r="B194" s="104"/>
      <c r="C194" s="265" t="s">
        <v>528</v>
      </c>
      <c r="D194" s="106">
        <v>2070.0</v>
      </c>
      <c r="E194" s="107" t="s">
        <v>95</v>
      </c>
      <c r="F194" s="108" t="s">
        <v>72</v>
      </c>
      <c r="G194" s="109" t="s">
        <v>529</v>
      </c>
      <c r="H194" s="110" t="s">
        <v>31</v>
      </c>
      <c r="I194" s="110" t="s">
        <v>98</v>
      </c>
      <c r="J194" s="111">
        <v>15000.0</v>
      </c>
      <c r="K194" s="112">
        <v>1208.0</v>
      </c>
      <c r="L194" s="113">
        <v>46146.0</v>
      </c>
      <c r="M194" s="113">
        <v>46147.0</v>
      </c>
      <c r="N194" s="114"/>
      <c r="O194" s="115" t="s">
        <v>34</v>
      </c>
      <c r="P194" s="116"/>
      <c r="Q194" s="107" t="s">
        <v>35</v>
      </c>
      <c r="R194" s="107" t="s">
        <v>133</v>
      </c>
      <c r="S194" s="115" t="s">
        <v>36</v>
      </c>
      <c r="T194" s="115" t="s">
        <v>36</v>
      </c>
      <c r="U194" s="118" t="s">
        <v>37</v>
      </c>
      <c r="V194" s="119"/>
      <c r="W194" s="111" t="s">
        <v>530</v>
      </c>
      <c r="X194" s="164" t="s">
        <v>531</v>
      </c>
      <c r="Y194" s="164" t="s">
        <v>516</v>
      </c>
      <c r="Z194" s="130" t="s">
        <v>516</v>
      </c>
      <c r="AA194" s="130" t="s">
        <v>516</v>
      </c>
      <c r="AB194" s="122"/>
      <c r="AC194" s="122"/>
      <c r="AD194" s="122"/>
      <c r="AE194" s="122"/>
      <c r="AF194" s="122"/>
      <c r="AG194" s="122"/>
      <c r="AH194" s="122"/>
      <c r="AI194" s="122"/>
      <c r="AJ194" s="122"/>
      <c r="AK194" s="122"/>
      <c r="AL194" s="122"/>
    </row>
    <row r="195" ht="22.5" hidden="1" customHeight="1">
      <c r="A195" s="103" t="s">
        <v>419</v>
      </c>
      <c r="B195" s="104"/>
      <c r="C195" s="105" t="s">
        <v>420</v>
      </c>
      <c r="D195" s="106">
        <v>2097.0</v>
      </c>
      <c r="E195" s="107" t="s">
        <v>95</v>
      </c>
      <c r="F195" s="108" t="s">
        <v>68</v>
      </c>
      <c r="G195" s="109" t="s">
        <v>421</v>
      </c>
      <c r="H195" s="110" t="s">
        <v>31</v>
      </c>
      <c r="I195" s="110" t="s">
        <v>261</v>
      </c>
      <c r="J195" s="111">
        <v>2000.0</v>
      </c>
      <c r="K195" s="112">
        <v>464.0</v>
      </c>
      <c r="L195" s="113">
        <v>46147.0</v>
      </c>
      <c r="M195" s="113">
        <v>46150.0</v>
      </c>
      <c r="N195" s="114"/>
      <c r="O195" s="115" t="s">
        <v>70</v>
      </c>
      <c r="P195" s="116"/>
      <c r="Q195" s="107" t="s">
        <v>35</v>
      </c>
      <c r="R195" s="107" t="s">
        <v>133</v>
      </c>
      <c r="S195" s="115" t="s">
        <v>35</v>
      </c>
      <c r="T195" s="115" t="s">
        <v>36</v>
      </c>
      <c r="U195" s="118" t="s">
        <v>37</v>
      </c>
      <c r="V195" s="119"/>
      <c r="W195" s="257" t="s">
        <v>422</v>
      </c>
      <c r="X195" s="164" t="s">
        <v>532</v>
      </c>
      <c r="Y195" s="164" t="s">
        <v>516</v>
      </c>
      <c r="Z195" s="130" t="s">
        <v>533</v>
      </c>
      <c r="AA195" s="130" t="s">
        <v>516</v>
      </c>
      <c r="AB195" s="122"/>
      <c r="AC195" s="122"/>
      <c r="AD195" s="122"/>
      <c r="AE195" s="122"/>
      <c r="AF195" s="122"/>
      <c r="AG195" s="122"/>
      <c r="AH195" s="122"/>
      <c r="AI195" s="122"/>
      <c r="AJ195" s="122"/>
      <c r="AK195" s="122"/>
      <c r="AL195" s="122"/>
    </row>
    <row r="196" ht="22.5" hidden="1" customHeight="1">
      <c r="A196" s="103" t="s">
        <v>155</v>
      </c>
      <c r="B196" s="104"/>
      <c r="C196" s="105" t="s">
        <v>534</v>
      </c>
      <c r="D196" s="106">
        <v>2107.0</v>
      </c>
      <c r="E196" s="107" t="s">
        <v>157</v>
      </c>
      <c r="F196" s="108" t="s">
        <v>30</v>
      </c>
      <c r="G196" s="109" t="s">
        <v>535</v>
      </c>
      <c r="H196" s="110" t="s">
        <v>31</v>
      </c>
      <c r="I196" s="110" t="s">
        <v>98</v>
      </c>
      <c r="J196" s="111">
        <v>2030.0</v>
      </c>
      <c r="K196" s="112">
        <v>568.0</v>
      </c>
      <c r="L196" s="113">
        <v>46147.0</v>
      </c>
      <c r="M196" s="113">
        <v>46150.0</v>
      </c>
      <c r="N196" s="114"/>
      <c r="O196" s="115" t="s">
        <v>70</v>
      </c>
      <c r="P196" s="116"/>
      <c r="Q196" s="107" t="s">
        <v>144</v>
      </c>
      <c r="R196" s="107" t="s">
        <v>133</v>
      </c>
      <c r="S196" s="115" t="s">
        <v>36</v>
      </c>
      <c r="T196" s="115" t="s">
        <v>36</v>
      </c>
      <c r="U196" s="118" t="s">
        <v>37</v>
      </c>
      <c r="V196" s="119"/>
      <c r="W196" s="111" t="s">
        <v>536</v>
      </c>
      <c r="X196" s="164" t="s">
        <v>160</v>
      </c>
      <c r="Y196" s="120"/>
      <c r="Z196" s="121"/>
      <c r="AA196" s="121"/>
      <c r="AB196" s="122"/>
      <c r="AC196" s="122"/>
      <c r="AD196" s="122"/>
      <c r="AE196" s="122"/>
      <c r="AF196" s="122"/>
      <c r="AG196" s="122"/>
      <c r="AH196" s="122"/>
      <c r="AI196" s="122"/>
      <c r="AJ196" s="122"/>
      <c r="AK196" s="122"/>
      <c r="AL196" s="122"/>
    </row>
    <row r="197" ht="22.5" hidden="1" customHeight="1">
      <c r="A197" s="103" t="s">
        <v>537</v>
      </c>
      <c r="B197" s="104"/>
      <c r="C197" s="105" t="s">
        <v>538</v>
      </c>
      <c r="D197" s="106">
        <v>2109.0</v>
      </c>
      <c r="E197" s="107" t="s">
        <v>95</v>
      </c>
      <c r="F197" s="274"/>
      <c r="G197" s="191"/>
      <c r="H197" s="179"/>
      <c r="I197" s="179"/>
      <c r="J197" s="111">
        <v>10000.0</v>
      </c>
      <c r="K197" s="112">
        <v>370.0</v>
      </c>
      <c r="L197" s="113">
        <v>46147.0</v>
      </c>
      <c r="M197" s="113">
        <v>46149.0</v>
      </c>
      <c r="N197" s="114"/>
      <c r="O197" s="115" t="s">
        <v>99</v>
      </c>
      <c r="P197" s="116"/>
      <c r="Q197" s="107" t="s">
        <v>35</v>
      </c>
      <c r="R197" s="107" t="s">
        <v>133</v>
      </c>
      <c r="S197" s="115" t="s">
        <v>36</v>
      </c>
      <c r="T197" s="115" t="s">
        <v>36</v>
      </c>
      <c r="U197" s="118" t="s">
        <v>37</v>
      </c>
      <c r="V197" s="119"/>
      <c r="W197" s="111" t="s">
        <v>539</v>
      </c>
      <c r="X197" s="164" t="s">
        <v>514</v>
      </c>
      <c r="Y197" s="164" t="s">
        <v>515</v>
      </c>
      <c r="Z197" s="130" t="s">
        <v>516</v>
      </c>
      <c r="AA197" s="130" t="s">
        <v>516</v>
      </c>
      <c r="AB197" s="122"/>
      <c r="AC197" s="122"/>
      <c r="AD197" s="122"/>
      <c r="AE197" s="122"/>
      <c r="AF197" s="122"/>
      <c r="AG197" s="122"/>
      <c r="AH197" s="122"/>
      <c r="AI197" s="122"/>
      <c r="AJ197" s="122"/>
      <c r="AK197" s="122"/>
      <c r="AL197" s="122"/>
    </row>
    <row r="198" ht="22.5" hidden="1" customHeight="1">
      <c r="A198" s="275" t="s">
        <v>540</v>
      </c>
      <c r="B198" s="104"/>
      <c r="C198" s="194" t="s">
        <v>541</v>
      </c>
      <c r="D198" s="106">
        <v>2112.0</v>
      </c>
      <c r="E198" s="107" t="s">
        <v>51</v>
      </c>
      <c r="F198" s="108" t="s">
        <v>30</v>
      </c>
      <c r="G198" s="109" t="s">
        <v>542</v>
      </c>
      <c r="H198" s="110" t="s">
        <v>116</v>
      </c>
      <c r="I198" s="110" t="s">
        <v>274</v>
      </c>
      <c r="J198" s="111">
        <v>2000.0</v>
      </c>
      <c r="K198" s="112">
        <v>152.0</v>
      </c>
      <c r="L198" s="113">
        <v>46135.0</v>
      </c>
      <c r="M198" s="113">
        <v>46148.0</v>
      </c>
      <c r="N198" s="114"/>
      <c r="O198" s="115" t="s">
        <v>54</v>
      </c>
      <c r="P198" s="116"/>
      <c r="Q198" s="167" t="s">
        <v>35</v>
      </c>
      <c r="R198" s="167" t="s">
        <v>133</v>
      </c>
      <c r="S198" s="126" t="s">
        <v>55</v>
      </c>
      <c r="T198" s="126" t="s">
        <v>100</v>
      </c>
      <c r="U198" s="127" t="s">
        <v>37</v>
      </c>
      <c r="V198" s="128"/>
      <c r="W198" s="129"/>
      <c r="X198" s="276" t="s">
        <v>543</v>
      </c>
      <c r="Y198" s="120"/>
      <c r="Z198" s="121"/>
      <c r="AA198" s="121"/>
      <c r="AB198" s="122"/>
      <c r="AC198" s="122"/>
      <c r="AD198" s="122"/>
      <c r="AE198" s="122"/>
      <c r="AF198" s="122"/>
      <c r="AG198" s="122"/>
      <c r="AH198" s="122"/>
      <c r="AI198" s="122"/>
      <c r="AJ198" s="122"/>
      <c r="AK198" s="122"/>
      <c r="AL198" s="122"/>
    </row>
    <row r="199" ht="22.5" hidden="1" customHeight="1">
      <c r="A199" s="275" t="s">
        <v>540</v>
      </c>
      <c r="B199" s="104"/>
      <c r="C199" s="194" t="s">
        <v>541</v>
      </c>
      <c r="D199" s="106">
        <v>2113.0</v>
      </c>
      <c r="E199" s="107" t="s">
        <v>51</v>
      </c>
      <c r="F199" s="108" t="s">
        <v>30</v>
      </c>
      <c r="G199" s="109" t="s">
        <v>544</v>
      </c>
      <c r="H199" s="110" t="s">
        <v>116</v>
      </c>
      <c r="I199" s="110" t="s">
        <v>274</v>
      </c>
      <c r="J199" s="111">
        <v>2000.0</v>
      </c>
      <c r="K199" s="112">
        <v>266.0</v>
      </c>
      <c r="L199" s="113">
        <v>46135.0</v>
      </c>
      <c r="M199" s="113">
        <v>46148.0</v>
      </c>
      <c r="N199" s="114"/>
      <c r="O199" s="115" t="s">
        <v>54</v>
      </c>
      <c r="P199" s="116"/>
      <c r="Q199" s="167" t="s">
        <v>35</v>
      </c>
      <c r="R199" s="167" t="s">
        <v>133</v>
      </c>
      <c r="S199" s="126" t="s">
        <v>55</v>
      </c>
      <c r="T199" s="126" t="s">
        <v>100</v>
      </c>
      <c r="U199" s="127" t="s">
        <v>37</v>
      </c>
      <c r="V199" s="128"/>
      <c r="W199" s="129"/>
      <c r="X199" s="276" t="s">
        <v>543</v>
      </c>
      <c r="Y199" s="120"/>
      <c r="Z199" s="121"/>
      <c r="AA199" s="121"/>
      <c r="AB199" s="122"/>
      <c r="AC199" s="122"/>
      <c r="AD199" s="122"/>
      <c r="AE199" s="122"/>
      <c r="AF199" s="122"/>
      <c r="AG199" s="122"/>
      <c r="AH199" s="122"/>
      <c r="AI199" s="122"/>
      <c r="AJ199" s="122"/>
      <c r="AK199" s="122"/>
      <c r="AL199" s="122"/>
    </row>
    <row r="200" ht="22.5" hidden="1" customHeight="1">
      <c r="A200" s="103" t="s">
        <v>545</v>
      </c>
      <c r="B200" s="104"/>
      <c r="C200" s="194" t="s">
        <v>546</v>
      </c>
      <c r="D200" s="106" t="s">
        <v>547</v>
      </c>
      <c r="E200" s="107" t="s">
        <v>29</v>
      </c>
      <c r="F200" s="108" t="s">
        <v>96</v>
      </c>
      <c r="G200" s="109" t="s">
        <v>548</v>
      </c>
      <c r="H200" s="110" t="s">
        <v>31</v>
      </c>
      <c r="I200" s="110" t="s">
        <v>311</v>
      </c>
      <c r="J200" s="277">
        <v>767042.0</v>
      </c>
      <c r="K200" s="112">
        <v>734.0</v>
      </c>
      <c r="L200" s="113">
        <v>46140.0</v>
      </c>
      <c r="M200" s="113">
        <v>46142.0</v>
      </c>
      <c r="N200" s="114"/>
      <c r="O200" s="115" t="s">
        <v>99</v>
      </c>
      <c r="P200" s="116"/>
      <c r="Q200" s="234"/>
      <c r="R200" s="167" t="s">
        <v>133</v>
      </c>
      <c r="S200" s="126" t="s">
        <v>36</v>
      </c>
      <c r="T200" s="126" t="s">
        <v>36</v>
      </c>
      <c r="U200" s="127" t="s">
        <v>37</v>
      </c>
      <c r="V200" s="128"/>
      <c r="W200" s="136"/>
      <c r="X200" s="164" t="s">
        <v>549</v>
      </c>
      <c r="Y200" s="120"/>
      <c r="Z200" s="121"/>
      <c r="AA200" s="121"/>
      <c r="AB200" s="122"/>
      <c r="AC200" s="122"/>
      <c r="AD200" s="122"/>
      <c r="AE200" s="122"/>
      <c r="AF200" s="122"/>
      <c r="AG200" s="122"/>
      <c r="AH200" s="122"/>
      <c r="AI200" s="122"/>
      <c r="AJ200" s="122"/>
      <c r="AK200" s="122"/>
      <c r="AL200" s="122"/>
    </row>
    <row r="201" ht="22.5" hidden="1" customHeight="1">
      <c r="A201" s="103" t="s">
        <v>155</v>
      </c>
      <c r="B201" s="104"/>
      <c r="C201" s="265" t="s">
        <v>550</v>
      </c>
      <c r="D201" s="106">
        <v>2127.0</v>
      </c>
      <c r="E201" s="107" t="s">
        <v>157</v>
      </c>
      <c r="F201" s="108" t="s">
        <v>30</v>
      </c>
      <c r="G201" s="109" t="s">
        <v>551</v>
      </c>
      <c r="H201" s="110" t="s">
        <v>31</v>
      </c>
      <c r="I201" s="110" t="s">
        <v>98</v>
      </c>
      <c r="J201" s="111">
        <v>10000.0</v>
      </c>
      <c r="K201" s="112">
        <v>1707.0</v>
      </c>
      <c r="L201" s="113">
        <v>46146.0</v>
      </c>
      <c r="M201" s="113">
        <v>46149.0</v>
      </c>
      <c r="N201" s="114"/>
      <c r="O201" s="115" t="s">
        <v>70</v>
      </c>
      <c r="P201" s="116"/>
      <c r="Q201" s="107" t="s">
        <v>144</v>
      </c>
      <c r="R201" s="107" t="s">
        <v>133</v>
      </c>
      <c r="S201" s="115" t="s">
        <v>36</v>
      </c>
      <c r="T201" s="115" t="s">
        <v>36</v>
      </c>
      <c r="U201" s="118" t="s">
        <v>37</v>
      </c>
      <c r="V201" s="119"/>
      <c r="W201" s="111" t="s">
        <v>536</v>
      </c>
      <c r="X201" s="164" t="s">
        <v>160</v>
      </c>
      <c r="Y201" s="120"/>
      <c r="Z201" s="121"/>
      <c r="AA201" s="121"/>
      <c r="AB201" s="122"/>
      <c r="AC201" s="122"/>
      <c r="AD201" s="122"/>
      <c r="AE201" s="122"/>
      <c r="AF201" s="122"/>
      <c r="AG201" s="122"/>
      <c r="AH201" s="122"/>
      <c r="AI201" s="122"/>
      <c r="AJ201" s="122"/>
      <c r="AK201" s="122"/>
      <c r="AL201" s="122"/>
    </row>
    <row r="202" ht="22.5" hidden="1" customHeight="1">
      <c r="A202" s="103" t="s">
        <v>509</v>
      </c>
      <c r="B202" s="271"/>
      <c r="C202" s="265" t="s">
        <v>552</v>
      </c>
      <c r="D202" s="106">
        <v>2129.0</v>
      </c>
      <c r="E202" s="107" t="s">
        <v>95</v>
      </c>
      <c r="F202" s="108" t="s">
        <v>72</v>
      </c>
      <c r="G202" s="109" t="s">
        <v>291</v>
      </c>
      <c r="H202" s="110" t="s">
        <v>31</v>
      </c>
      <c r="I202" s="110" t="s">
        <v>261</v>
      </c>
      <c r="J202" s="111" t="s">
        <v>197</v>
      </c>
      <c r="K202" s="112">
        <v>267.0</v>
      </c>
      <c r="L202" s="113">
        <v>46141.0</v>
      </c>
      <c r="M202" s="113">
        <v>46149.0</v>
      </c>
      <c r="N202" s="114"/>
      <c r="O202" s="115" t="s">
        <v>99</v>
      </c>
      <c r="P202" s="116"/>
      <c r="Q202" s="167" t="s">
        <v>35</v>
      </c>
      <c r="R202" s="167" t="s">
        <v>133</v>
      </c>
      <c r="S202" s="126" t="s">
        <v>36</v>
      </c>
      <c r="T202" s="126" t="s">
        <v>36</v>
      </c>
      <c r="U202" s="127" t="s">
        <v>37</v>
      </c>
      <c r="V202" s="128"/>
      <c r="W202" s="129" t="s">
        <v>513</v>
      </c>
      <c r="X202" s="164" t="s">
        <v>514</v>
      </c>
      <c r="Y202" s="164" t="s">
        <v>515</v>
      </c>
      <c r="Z202" s="130" t="s">
        <v>516</v>
      </c>
      <c r="AA202" s="130" t="s">
        <v>516</v>
      </c>
      <c r="AB202" s="122"/>
      <c r="AC202" s="122"/>
      <c r="AD202" s="122"/>
      <c r="AE202" s="122"/>
      <c r="AF202" s="122"/>
      <c r="AG202" s="122"/>
      <c r="AH202" s="122"/>
      <c r="AI202" s="122"/>
      <c r="AJ202" s="122"/>
      <c r="AK202" s="122"/>
      <c r="AL202" s="122"/>
    </row>
    <row r="203" ht="22.5" hidden="1" customHeight="1">
      <c r="A203" s="103" t="s">
        <v>509</v>
      </c>
      <c r="B203" s="271"/>
      <c r="C203" s="194" t="s">
        <v>553</v>
      </c>
      <c r="D203" s="106">
        <v>2130.0</v>
      </c>
      <c r="E203" s="107" t="s">
        <v>95</v>
      </c>
      <c r="F203" s="108" t="s">
        <v>72</v>
      </c>
      <c r="G203" s="109" t="s">
        <v>291</v>
      </c>
      <c r="H203" s="110" t="s">
        <v>31</v>
      </c>
      <c r="I203" s="110" t="s">
        <v>261</v>
      </c>
      <c r="J203" s="111" t="s">
        <v>77</v>
      </c>
      <c r="K203" s="112">
        <v>420.0</v>
      </c>
      <c r="L203" s="113">
        <v>46141.0</v>
      </c>
      <c r="M203" s="113">
        <v>46149.0</v>
      </c>
      <c r="N203" s="114"/>
      <c r="O203" s="115" t="s">
        <v>99</v>
      </c>
      <c r="P203" s="116"/>
      <c r="Q203" s="167" t="s">
        <v>35</v>
      </c>
      <c r="R203" s="167" t="s">
        <v>133</v>
      </c>
      <c r="S203" s="126" t="s">
        <v>36</v>
      </c>
      <c r="T203" s="126" t="s">
        <v>36</v>
      </c>
      <c r="U203" s="127" t="s">
        <v>37</v>
      </c>
      <c r="V203" s="128"/>
      <c r="W203" s="129" t="s">
        <v>513</v>
      </c>
      <c r="X203" s="164" t="s">
        <v>514</v>
      </c>
      <c r="Y203" s="164" t="s">
        <v>515</v>
      </c>
      <c r="Z203" s="130" t="s">
        <v>516</v>
      </c>
      <c r="AA203" s="130" t="s">
        <v>516</v>
      </c>
      <c r="AB203" s="122"/>
      <c r="AC203" s="122"/>
      <c r="AD203" s="122"/>
      <c r="AE203" s="122"/>
      <c r="AF203" s="122"/>
      <c r="AG203" s="122"/>
      <c r="AH203" s="122"/>
      <c r="AI203" s="122"/>
      <c r="AJ203" s="122"/>
      <c r="AK203" s="122"/>
      <c r="AL203" s="122"/>
    </row>
    <row r="204" ht="22.5" hidden="1" customHeight="1">
      <c r="A204" s="103" t="s">
        <v>509</v>
      </c>
      <c r="B204" s="271"/>
      <c r="C204" s="194" t="s">
        <v>554</v>
      </c>
      <c r="D204" s="106">
        <v>2131.0</v>
      </c>
      <c r="E204" s="107" t="s">
        <v>95</v>
      </c>
      <c r="F204" s="108" t="s">
        <v>72</v>
      </c>
      <c r="G204" s="109" t="s">
        <v>291</v>
      </c>
      <c r="H204" s="110" t="s">
        <v>31</v>
      </c>
      <c r="I204" s="110" t="s">
        <v>261</v>
      </c>
      <c r="J204" s="111" t="s">
        <v>207</v>
      </c>
      <c r="K204" s="112">
        <v>725.0</v>
      </c>
      <c r="L204" s="113">
        <v>46141.0</v>
      </c>
      <c r="M204" s="113">
        <v>46149.0</v>
      </c>
      <c r="N204" s="114"/>
      <c r="O204" s="115" t="s">
        <v>99</v>
      </c>
      <c r="P204" s="116"/>
      <c r="Q204" s="167" t="s">
        <v>35</v>
      </c>
      <c r="R204" s="167" t="s">
        <v>133</v>
      </c>
      <c r="S204" s="126" t="s">
        <v>36</v>
      </c>
      <c r="T204" s="126" t="s">
        <v>36</v>
      </c>
      <c r="U204" s="127" t="s">
        <v>37</v>
      </c>
      <c r="V204" s="128"/>
      <c r="W204" s="129" t="s">
        <v>513</v>
      </c>
      <c r="X204" s="164" t="s">
        <v>514</v>
      </c>
      <c r="Y204" s="164" t="s">
        <v>515</v>
      </c>
      <c r="Z204" s="130" t="s">
        <v>516</v>
      </c>
      <c r="AA204" s="130" t="s">
        <v>516</v>
      </c>
      <c r="AB204" s="122"/>
      <c r="AC204" s="122"/>
      <c r="AD204" s="122"/>
      <c r="AE204" s="122"/>
      <c r="AF204" s="122"/>
      <c r="AG204" s="122"/>
      <c r="AH204" s="122"/>
      <c r="AI204" s="122"/>
      <c r="AJ204" s="122"/>
      <c r="AK204" s="122"/>
      <c r="AL204" s="122"/>
    </row>
    <row r="205" ht="22.5" hidden="1" customHeight="1">
      <c r="A205" s="103" t="s">
        <v>509</v>
      </c>
      <c r="B205" s="271"/>
      <c r="C205" s="194" t="s">
        <v>555</v>
      </c>
      <c r="D205" s="106">
        <v>2132.0</v>
      </c>
      <c r="E205" s="107" t="s">
        <v>95</v>
      </c>
      <c r="F205" s="108" t="s">
        <v>72</v>
      </c>
      <c r="G205" s="109" t="s">
        <v>291</v>
      </c>
      <c r="H205" s="110" t="s">
        <v>31</v>
      </c>
      <c r="I205" s="110" t="s">
        <v>261</v>
      </c>
      <c r="J205" s="111" t="s">
        <v>207</v>
      </c>
      <c r="K205" s="112">
        <v>725.0</v>
      </c>
      <c r="L205" s="113">
        <v>46141.0</v>
      </c>
      <c r="M205" s="113">
        <v>46149.0</v>
      </c>
      <c r="N205" s="114"/>
      <c r="O205" s="115" t="s">
        <v>99</v>
      </c>
      <c r="P205" s="116"/>
      <c r="Q205" s="167" t="s">
        <v>35</v>
      </c>
      <c r="R205" s="167" t="s">
        <v>133</v>
      </c>
      <c r="S205" s="126" t="s">
        <v>36</v>
      </c>
      <c r="T205" s="126" t="s">
        <v>36</v>
      </c>
      <c r="U205" s="127" t="s">
        <v>37</v>
      </c>
      <c r="V205" s="128"/>
      <c r="W205" s="129" t="s">
        <v>513</v>
      </c>
      <c r="X205" s="164" t="s">
        <v>514</v>
      </c>
      <c r="Y205" s="164" t="s">
        <v>515</v>
      </c>
      <c r="Z205" s="130" t="s">
        <v>516</v>
      </c>
      <c r="AA205" s="130" t="s">
        <v>516</v>
      </c>
      <c r="AB205" s="122"/>
      <c r="AC205" s="122"/>
      <c r="AD205" s="122"/>
      <c r="AE205" s="122"/>
      <c r="AF205" s="122"/>
      <c r="AG205" s="122"/>
      <c r="AH205" s="122"/>
      <c r="AI205" s="122"/>
      <c r="AJ205" s="122"/>
      <c r="AK205" s="122"/>
      <c r="AL205" s="122"/>
    </row>
    <row r="206" ht="22.5" hidden="1" customHeight="1">
      <c r="A206" s="103" t="s">
        <v>509</v>
      </c>
      <c r="B206" s="271"/>
      <c r="C206" s="194" t="s">
        <v>556</v>
      </c>
      <c r="D206" s="106">
        <v>2133.0</v>
      </c>
      <c r="E206" s="107" t="s">
        <v>95</v>
      </c>
      <c r="F206" s="108" t="s">
        <v>72</v>
      </c>
      <c r="G206" s="109" t="s">
        <v>291</v>
      </c>
      <c r="H206" s="110" t="s">
        <v>31</v>
      </c>
      <c r="I206" s="110" t="s">
        <v>261</v>
      </c>
      <c r="J206" s="111">
        <v>40000.0</v>
      </c>
      <c r="K206" s="112">
        <v>1334.0</v>
      </c>
      <c r="L206" s="113">
        <v>46141.0</v>
      </c>
      <c r="M206" s="113">
        <v>46149.0</v>
      </c>
      <c r="N206" s="114"/>
      <c r="O206" s="115" t="s">
        <v>99</v>
      </c>
      <c r="P206" s="116"/>
      <c r="Q206" s="167" t="s">
        <v>35</v>
      </c>
      <c r="R206" s="167" t="s">
        <v>133</v>
      </c>
      <c r="S206" s="126" t="s">
        <v>36</v>
      </c>
      <c r="T206" s="126" t="s">
        <v>36</v>
      </c>
      <c r="U206" s="127" t="s">
        <v>37</v>
      </c>
      <c r="V206" s="128"/>
      <c r="W206" s="129" t="s">
        <v>513</v>
      </c>
      <c r="X206" s="164" t="s">
        <v>514</v>
      </c>
      <c r="Y206" s="164" t="s">
        <v>515</v>
      </c>
      <c r="Z206" s="130" t="s">
        <v>516</v>
      </c>
      <c r="AA206" s="130" t="s">
        <v>516</v>
      </c>
      <c r="AB206" s="122"/>
      <c r="AC206" s="122"/>
      <c r="AD206" s="122"/>
      <c r="AE206" s="122"/>
      <c r="AF206" s="122"/>
      <c r="AG206" s="122"/>
      <c r="AH206" s="122"/>
      <c r="AI206" s="122"/>
      <c r="AJ206" s="122"/>
      <c r="AK206" s="122"/>
      <c r="AL206" s="122"/>
    </row>
    <row r="207" ht="22.5" hidden="1" customHeight="1">
      <c r="A207" s="103" t="s">
        <v>509</v>
      </c>
      <c r="B207" s="271"/>
      <c r="C207" s="194" t="s">
        <v>557</v>
      </c>
      <c r="D207" s="106">
        <v>2134.0</v>
      </c>
      <c r="E207" s="107" t="s">
        <v>95</v>
      </c>
      <c r="F207" s="108" t="s">
        <v>72</v>
      </c>
      <c r="G207" s="109" t="s">
        <v>291</v>
      </c>
      <c r="H207" s="110" t="s">
        <v>31</v>
      </c>
      <c r="I207" s="110" t="s">
        <v>261</v>
      </c>
      <c r="J207" s="111" t="s">
        <v>77</v>
      </c>
      <c r="K207" s="112">
        <v>420.0</v>
      </c>
      <c r="L207" s="113">
        <v>46141.0</v>
      </c>
      <c r="M207" s="113">
        <v>46149.0</v>
      </c>
      <c r="N207" s="114"/>
      <c r="O207" s="115" t="s">
        <v>99</v>
      </c>
      <c r="P207" s="116"/>
      <c r="Q207" s="167" t="s">
        <v>35</v>
      </c>
      <c r="R207" s="167" t="s">
        <v>133</v>
      </c>
      <c r="S207" s="126" t="s">
        <v>36</v>
      </c>
      <c r="T207" s="126" t="s">
        <v>36</v>
      </c>
      <c r="U207" s="127" t="s">
        <v>37</v>
      </c>
      <c r="V207" s="128"/>
      <c r="W207" s="129" t="s">
        <v>513</v>
      </c>
      <c r="X207" s="164" t="s">
        <v>514</v>
      </c>
      <c r="Y207" s="164" t="s">
        <v>515</v>
      </c>
      <c r="Z207" s="130" t="s">
        <v>516</v>
      </c>
      <c r="AA207" s="130" t="s">
        <v>516</v>
      </c>
      <c r="AB207" s="122"/>
      <c r="AC207" s="122"/>
      <c r="AD207" s="122"/>
      <c r="AE207" s="122"/>
      <c r="AF207" s="122"/>
      <c r="AG207" s="122"/>
      <c r="AH207" s="122"/>
      <c r="AI207" s="122"/>
      <c r="AJ207" s="122"/>
      <c r="AK207" s="122"/>
      <c r="AL207" s="122"/>
    </row>
    <row r="208" ht="22.5" hidden="1" customHeight="1">
      <c r="A208" s="103" t="s">
        <v>509</v>
      </c>
      <c r="B208" s="271"/>
      <c r="C208" s="194" t="s">
        <v>558</v>
      </c>
      <c r="D208" s="106">
        <v>2135.0</v>
      </c>
      <c r="E208" s="107" t="s">
        <v>95</v>
      </c>
      <c r="F208" s="108" t="s">
        <v>72</v>
      </c>
      <c r="G208" s="109" t="s">
        <v>291</v>
      </c>
      <c r="H208" s="110" t="s">
        <v>31</v>
      </c>
      <c r="I208" s="110" t="s">
        <v>261</v>
      </c>
      <c r="J208" s="111" t="s">
        <v>207</v>
      </c>
      <c r="K208" s="112">
        <v>725.0</v>
      </c>
      <c r="L208" s="113">
        <v>46141.0</v>
      </c>
      <c r="M208" s="113">
        <v>46149.0</v>
      </c>
      <c r="N208" s="114"/>
      <c r="O208" s="115" t="s">
        <v>99</v>
      </c>
      <c r="P208" s="116"/>
      <c r="Q208" s="167" t="s">
        <v>35</v>
      </c>
      <c r="R208" s="167" t="s">
        <v>133</v>
      </c>
      <c r="S208" s="126" t="s">
        <v>36</v>
      </c>
      <c r="T208" s="126" t="s">
        <v>36</v>
      </c>
      <c r="U208" s="127" t="s">
        <v>37</v>
      </c>
      <c r="V208" s="128"/>
      <c r="W208" s="129" t="s">
        <v>513</v>
      </c>
      <c r="X208" s="164" t="s">
        <v>514</v>
      </c>
      <c r="Y208" s="164" t="s">
        <v>515</v>
      </c>
      <c r="Z208" s="130" t="s">
        <v>516</v>
      </c>
      <c r="AA208" s="130" t="s">
        <v>516</v>
      </c>
      <c r="AB208" s="122"/>
      <c r="AC208" s="122"/>
      <c r="AD208" s="122"/>
      <c r="AE208" s="122"/>
      <c r="AF208" s="122"/>
      <c r="AG208" s="122"/>
      <c r="AH208" s="122"/>
      <c r="AI208" s="122"/>
      <c r="AJ208" s="122"/>
      <c r="AK208" s="122"/>
      <c r="AL208" s="122"/>
    </row>
    <row r="209" ht="22.5" hidden="1" customHeight="1">
      <c r="A209" s="103" t="s">
        <v>509</v>
      </c>
      <c r="B209" s="271"/>
      <c r="C209" s="194" t="s">
        <v>559</v>
      </c>
      <c r="D209" s="106">
        <v>2136.0</v>
      </c>
      <c r="E209" s="107" t="s">
        <v>95</v>
      </c>
      <c r="F209" s="108" t="s">
        <v>72</v>
      </c>
      <c r="G209" s="109" t="s">
        <v>291</v>
      </c>
      <c r="H209" s="110" t="s">
        <v>31</v>
      </c>
      <c r="I209" s="110" t="s">
        <v>261</v>
      </c>
      <c r="J209" s="111" t="s">
        <v>172</v>
      </c>
      <c r="K209" s="112">
        <v>1029.0</v>
      </c>
      <c r="L209" s="113">
        <v>46141.0</v>
      </c>
      <c r="M209" s="113">
        <v>46149.0</v>
      </c>
      <c r="N209" s="114"/>
      <c r="O209" s="115" t="s">
        <v>99</v>
      </c>
      <c r="P209" s="116"/>
      <c r="Q209" s="167" t="s">
        <v>35</v>
      </c>
      <c r="R209" s="167" t="s">
        <v>133</v>
      </c>
      <c r="S209" s="126" t="s">
        <v>36</v>
      </c>
      <c r="T209" s="126" t="s">
        <v>36</v>
      </c>
      <c r="U209" s="127" t="s">
        <v>37</v>
      </c>
      <c r="V209" s="128"/>
      <c r="W209" s="129" t="s">
        <v>513</v>
      </c>
      <c r="X209" s="164" t="s">
        <v>514</v>
      </c>
      <c r="Y209" s="164" t="s">
        <v>515</v>
      </c>
      <c r="Z209" s="130" t="s">
        <v>516</v>
      </c>
      <c r="AA209" s="130" t="s">
        <v>516</v>
      </c>
      <c r="AB209" s="122"/>
      <c r="AC209" s="122"/>
      <c r="AD209" s="122"/>
      <c r="AE209" s="122"/>
      <c r="AF209" s="122"/>
      <c r="AG209" s="122"/>
      <c r="AH209" s="122"/>
      <c r="AI209" s="122"/>
      <c r="AJ209" s="122"/>
      <c r="AK209" s="122"/>
      <c r="AL209" s="122"/>
    </row>
    <row r="210" ht="22.5" hidden="1" customHeight="1">
      <c r="A210" s="103" t="s">
        <v>509</v>
      </c>
      <c r="B210" s="271"/>
      <c r="C210" s="194" t="s">
        <v>560</v>
      </c>
      <c r="D210" s="106">
        <v>2137.0</v>
      </c>
      <c r="E210" s="107" t="s">
        <v>95</v>
      </c>
      <c r="F210" s="108" t="s">
        <v>72</v>
      </c>
      <c r="G210" s="109" t="s">
        <v>291</v>
      </c>
      <c r="H210" s="110" t="s">
        <v>31</v>
      </c>
      <c r="I210" s="110" t="s">
        <v>261</v>
      </c>
      <c r="J210" s="111" t="s">
        <v>187</v>
      </c>
      <c r="K210" s="112">
        <v>572.0</v>
      </c>
      <c r="L210" s="113">
        <v>46141.0</v>
      </c>
      <c r="M210" s="113">
        <v>46149.0</v>
      </c>
      <c r="N210" s="114"/>
      <c r="O210" s="115" t="s">
        <v>99</v>
      </c>
      <c r="P210" s="116"/>
      <c r="Q210" s="167" t="s">
        <v>35</v>
      </c>
      <c r="R210" s="167" t="s">
        <v>133</v>
      </c>
      <c r="S210" s="126" t="s">
        <v>36</v>
      </c>
      <c r="T210" s="126" t="s">
        <v>36</v>
      </c>
      <c r="U210" s="127" t="s">
        <v>37</v>
      </c>
      <c r="V210" s="128"/>
      <c r="W210" s="129" t="s">
        <v>513</v>
      </c>
      <c r="X210" s="164" t="s">
        <v>514</v>
      </c>
      <c r="Y210" s="164" t="s">
        <v>515</v>
      </c>
      <c r="Z210" s="130" t="s">
        <v>516</v>
      </c>
      <c r="AA210" s="130" t="s">
        <v>516</v>
      </c>
      <c r="AB210" s="122"/>
      <c r="AC210" s="122"/>
      <c r="AD210" s="122"/>
      <c r="AE210" s="122"/>
      <c r="AF210" s="122"/>
      <c r="AG210" s="122"/>
      <c r="AH210" s="122"/>
      <c r="AI210" s="122"/>
      <c r="AJ210" s="122"/>
      <c r="AK210" s="122"/>
      <c r="AL210" s="122"/>
    </row>
    <row r="211" ht="22.5" hidden="1" customHeight="1">
      <c r="A211" s="103" t="s">
        <v>509</v>
      </c>
      <c r="B211" s="271"/>
      <c r="C211" s="194" t="s">
        <v>561</v>
      </c>
      <c r="D211" s="106">
        <v>2138.0</v>
      </c>
      <c r="E211" s="107" t="s">
        <v>95</v>
      </c>
      <c r="F211" s="108" t="s">
        <v>72</v>
      </c>
      <c r="G211" s="109" t="s">
        <v>291</v>
      </c>
      <c r="H211" s="110" t="s">
        <v>31</v>
      </c>
      <c r="I211" s="110" t="s">
        <v>261</v>
      </c>
      <c r="J211" s="111" t="s">
        <v>187</v>
      </c>
      <c r="K211" s="112">
        <v>572.0</v>
      </c>
      <c r="L211" s="113">
        <v>46141.0</v>
      </c>
      <c r="M211" s="113">
        <v>46149.0</v>
      </c>
      <c r="N211" s="114"/>
      <c r="O211" s="115" t="s">
        <v>99</v>
      </c>
      <c r="P211" s="116"/>
      <c r="Q211" s="167" t="s">
        <v>35</v>
      </c>
      <c r="R211" s="167" t="s">
        <v>133</v>
      </c>
      <c r="S211" s="126" t="s">
        <v>36</v>
      </c>
      <c r="T211" s="126" t="s">
        <v>36</v>
      </c>
      <c r="U211" s="127" t="s">
        <v>37</v>
      </c>
      <c r="V211" s="128"/>
      <c r="W211" s="129" t="s">
        <v>513</v>
      </c>
      <c r="X211" s="164" t="s">
        <v>514</v>
      </c>
      <c r="Y211" s="164" t="s">
        <v>515</v>
      </c>
      <c r="Z211" s="130" t="s">
        <v>516</v>
      </c>
      <c r="AA211" s="130" t="s">
        <v>516</v>
      </c>
      <c r="AB211" s="122"/>
      <c r="AC211" s="122"/>
      <c r="AD211" s="122"/>
      <c r="AE211" s="122"/>
      <c r="AF211" s="122"/>
      <c r="AG211" s="122"/>
      <c r="AH211" s="122"/>
      <c r="AI211" s="122"/>
      <c r="AJ211" s="122"/>
      <c r="AK211" s="122"/>
      <c r="AL211" s="122"/>
    </row>
    <row r="212" ht="22.5" hidden="1" customHeight="1">
      <c r="A212" s="103" t="s">
        <v>509</v>
      </c>
      <c r="B212" s="271"/>
      <c r="C212" s="194" t="s">
        <v>562</v>
      </c>
      <c r="D212" s="106">
        <v>2139.0</v>
      </c>
      <c r="E212" s="107" t="s">
        <v>95</v>
      </c>
      <c r="F212" s="108" t="s">
        <v>72</v>
      </c>
      <c r="G212" s="109" t="s">
        <v>291</v>
      </c>
      <c r="H212" s="110" t="s">
        <v>31</v>
      </c>
      <c r="I212" s="110" t="s">
        <v>261</v>
      </c>
      <c r="J212" s="111">
        <v>15000.0</v>
      </c>
      <c r="K212" s="112">
        <v>572.0</v>
      </c>
      <c r="L212" s="113">
        <v>46141.0</v>
      </c>
      <c r="M212" s="113">
        <v>46149.0</v>
      </c>
      <c r="N212" s="114"/>
      <c r="O212" s="115" t="s">
        <v>99</v>
      </c>
      <c r="P212" s="116"/>
      <c r="Q212" s="167" t="s">
        <v>35</v>
      </c>
      <c r="R212" s="167" t="s">
        <v>133</v>
      </c>
      <c r="S212" s="126" t="s">
        <v>36</v>
      </c>
      <c r="T212" s="126" t="s">
        <v>36</v>
      </c>
      <c r="U212" s="127" t="s">
        <v>37</v>
      </c>
      <c r="V212" s="128"/>
      <c r="W212" s="129" t="s">
        <v>513</v>
      </c>
      <c r="X212" s="164" t="s">
        <v>514</v>
      </c>
      <c r="Y212" s="164" t="s">
        <v>515</v>
      </c>
      <c r="Z212" s="130" t="s">
        <v>516</v>
      </c>
      <c r="AA212" s="130" t="s">
        <v>516</v>
      </c>
      <c r="AB212" s="122"/>
      <c r="AC212" s="122"/>
      <c r="AD212" s="122"/>
      <c r="AE212" s="122"/>
      <c r="AF212" s="122"/>
      <c r="AG212" s="122"/>
      <c r="AH212" s="122"/>
      <c r="AI212" s="122"/>
      <c r="AJ212" s="122"/>
      <c r="AK212" s="122"/>
      <c r="AL212" s="122"/>
    </row>
    <row r="213" ht="22.5" hidden="1" customHeight="1">
      <c r="A213" s="103" t="s">
        <v>509</v>
      </c>
      <c r="B213" s="271"/>
      <c r="C213" s="194" t="s">
        <v>563</v>
      </c>
      <c r="D213" s="106">
        <v>2140.0</v>
      </c>
      <c r="E213" s="107" t="s">
        <v>95</v>
      </c>
      <c r="F213" s="108" t="s">
        <v>72</v>
      </c>
      <c r="G213" s="109" t="s">
        <v>291</v>
      </c>
      <c r="H213" s="110" t="s">
        <v>31</v>
      </c>
      <c r="I213" s="110" t="s">
        <v>261</v>
      </c>
      <c r="J213" s="111">
        <v>45000.0</v>
      </c>
      <c r="K213" s="112">
        <v>1487.0</v>
      </c>
      <c r="L213" s="113">
        <v>46141.0</v>
      </c>
      <c r="M213" s="113">
        <v>46149.0</v>
      </c>
      <c r="N213" s="114"/>
      <c r="O213" s="115" t="s">
        <v>99</v>
      </c>
      <c r="P213" s="116"/>
      <c r="Q213" s="167" t="s">
        <v>35</v>
      </c>
      <c r="R213" s="167" t="s">
        <v>133</v>
      </c>
      <c r="S213" s="126" t="s">
        <v>36</v>
      </c>
      <c r="T213" s="126" t="s">
        <v>36</v>
      </c>
      <c r="U213" s="127" t="s">
        <v>37</v>
      </c>
      <c r="V213" s="128"/>
      <c r="W213" s="129" t="s">
        <v>513</v>
      </c>
      <c r="X213" s="164" t="s">
        <v>514</v>
      </c>
      <c r="Y213" s="164" t="s">
        <v>515</v>
      </c>
      <c r="Z213" s="130" t="s">
        <v>516</v>
      </c>
      <c r="AA213" s="130" t="s">
        <v>516</v>
      </c>
      <c r="AB213" s="122"/>
      <c r="AC213" s="122"/>
      <c r="AD213" s="122"/>
      <c r="AE213" s="122"/>
      <c r="AF213" s="122"/>
      <c r="AG213" s="122"/>
      <c r="AH213" s="122"/>
      <c r="AI213" s="122"/>
      <c r="AJ213" s="122"/>
      <c r="AK213" s="122"/>
      <c r="AL213" s="122"/>
    </row>
    <row r="214" ht="22.5" hidden="1" customHeight="1">
      <c r="A214" s="103" t="s">
        <v>509</v>
      </c>
      <c r="B214" s="271"/>
      <c r="C214" s="194" t="s">
        <v>564</v>
      </c>
      <c r="D214" s="106">
        <v>2141.0</v>
      </c>
      <c r="E214" s="107" t="s">
        <v>95</v>
      </c>
      <c r="F214" s="108" t="s">
        <v>72</v>
      </c>
      <c r="G214" s="109" t="s">
        <v>291</v>
      </c>
      <c r="H214" s="110" t="s">
        <v>31</v>
      </c>
      <c r="I214" s="110" t="s">
        <v>261</v>
      </c>
      <c r="J214" s="111" t="s">
        <v>187</v>
      </c>
      <c r="K214" s="112">
        <v>572.0</v>
      </c>
      <c r="L214" s="113">
        <v>46141.0</v>
      </c>
      <c r="M214" s="113">
        <v>46149.0</v>
      </c>
      <c r="N214" s="114"/>
      <c r="O214" s="115" t="s">
        <v>99</v>
      </c>
      <c r="P214" s="116"/>
      <c r="Q214" s="167" t="s">
        <v>35</v>
      </c>
      <c r="R214" s="167" t="s">
        <v>133</v>
      </c>
      <c r="S214" s="126" t="s">
        <v>36</v>
      </c>
      <c r="T214" s="126" t="s">
        <v>36</v>
      </c>
      <c r="U214" s="127" t="s">
        <v>37</v>
      </c>
      <c r="V214" s="128"/>
      <c r="W214" s="129" t="s">
        <v>513</v>
      </c>
      <c r="X214" s="164" t="s">
        <v>514</v>
      </c>
      <c r="Y214" s="164" t="s">
        <v>515</v>
      </c>
      <c r="Z214" s="130" t="s">
        <v>516</v>
      </c>
      <c r="AA214" s="130" t="s">
        <v>516</v>
      </c>
      <c r="AB214" s="122"/>
      <c r="AC214" s="122"/>
      <c r="AD214" s="122"/>
      <c r="AE214" s="122"/>
      <c r="AF214" s="122"/>
      <c r="AG214" s="122"/>
      <c r="AH214" s="122"/>
      <c r="AI214" s="122"/>
      <c r="AJ214" s="122"/>
      <c r="AK214" s="122"/>
      <c r="AL214" s="122"/>
    </row>
    <row r="215" ht="22.5" hidden="1" customHeight="1">
      <c r="A215" s="103" t="s">
        <v>509</v>
      </c>
      <c r="B215" s="271"/>
      <c r="C215" s="194" t="s">
        <v>565</v>
      </c>
      <c r="D215" s="106">
        <v>2142.0</v>
      </c>
      <c r="E215" s="107" t="s">
        <v>95</v>
      </c>
      <c r="F215" s="108" t="s">
        <v>72</v>
      </c>
      <c r="G215" s="109" t="s">
        <v>291</v>
      </c>
      <c r="H215" s="110" t="s">
        <v>31</v>
      </c>
      <c r="I215" s="110" t="s">
        <v>261</v>
      </c>
      <c r="J215" s="111" t="s">
        <v>77</v>
      </c>
      <c r="K215" s="112">
        <v>420.0</v>
      </c>
      <c r="L215" s="113">
        <v>46141.0</v>
      </c>
      <c r="M215" s="113">
        <v>46149.0</v>
      </c>
      <c r="N215" s="114"/>
      <c r="O215" s="115" t="s">
        <v>99</v>
      </c>
      <c r="P215" s="116"/>
      <c r="Q215" s="167" t="s">
        <v>35</v>
      </c>
      <c r="R215" s="167" t="s">
        <v>133</v>
      </c>
      <c r="S215" s="126" t="s">
        <v>36</v>
      </c>
      <c r="T215" s="126" t="s">
        <v>36</v>
      </c>
      <c r="U215" s="127" t="s">
        <v>37</v>
      </c>
      <c r="V215" s="128"/>
      <c r="W215" s="129" t="s">
        <v>513</v>
      </c>
      <c r="X215" s="164" t="s">
        <v>514</v>
      </c>
      <c r="Y215" s="164" t="s">
        <v>515</v>
      </c>
      <c r="Z215" s="130" t="s">
        <v>516</v>
      </c>
      <c r="AA215" s="130" t="s">
        <v>516</v>
      </c>
      <c r="AB215" s="122"/>
      <c r="AC215" s="122"/>
      <c r="AD215" s="122"/>
      <c r="AE215" s="122"/>
      <c r="AF215" s="122"/>
      <c r="AG215" s="122"/>
      <c r="AH215" s="122"/>
      <c r="AI215" s="122"/>
      <c r="AJ215" s="122"/>
      <c r="AK215" s="122"/>
      <c r="AL215" s="122"/>
    </row>
    <row r="216" ht="22.5" hidden="1" customHeight="1">
      <c r="A216" s="103" t="s">
        <v>509</v>
      </c>
      <c r="B216" s="104"/>
      <c r="C216" s="265" t="s">
        <v>566</v>
      </c>
      <c r="D216" s="106">
        <v>2143.0</v>
      </c>
      <c r="E216" s="107" t="s">
        <v>95</v>
      </c>
      <c r="F216" s="108" t="s">
        <v>30</v>
      </c>
      <c r="G216" s="109" t="s">
        <v>291</v>
      </c>
      <c r="H216" s="110" t="s">
        <v>31</v>
      </c>
      <c r="I216" s="110" t="s">
        <v>261</v>
      </c>
      <c r="J216" s="111">
        <v>10000.0</v>
      </c>
      <c r="K216" s="112">
        <v>420.0</v>
      </c>
      <c r="L216" s="113">
        <v>46142.0</v>
      </c>
      <c r="M216" s="113">
        <v>46149.0</v>
      </c>
      <c r="N216" s="114"/>
      <c r="O216" s="115" t="s">
        <v>99</v>
      </c>
      <c r="P216" s="116"/>
      <c r="Q216" s="107" t="s">
        <v>35</v>
      </c>
      <c r="R216" s="107" t="s">
        <v>133</v>
      </c>
      <c r="S216" s="115" t="s">
        <v>36</v>
      </c>
      <c r="T216" s="115" t="s">
        <v>36</v>
      </c>
      <c r="U216" s="118" t="s">
        <v>37</v>
      </c>
      <c r="V216" s="119"/>
      <c r="W216" s="129" t="s">
        <v>513</v>
      </c>
      <c r="X216" s="164" t="s">
        <v>514</v>
      </c>
      <c r="Y216" s="120"/>
      <c r="Z216" s="121"/>
      <c r="AA216" s="121"/>
      <c r="AB216" s="122"/>
      <c r="AC216" s="122"/>
      <c r="AD216" s="122"/>
      <c r="AE216" s="122"/>
      <c r="AF216" s="122"/>
      <c r="AG216" s="122"/>
      <c r="AH216" s="122"/>
      <c r="AI216" s="122"/>
      <c r="AJ216" s="122"/>
      <c r="AK216" s="122"/>
      <c r="AL216" s="122"/>
    </row>
    <row r="217" ht="22.5" hidden="1" customHeight="1">
      <c r="A217" s="103" t="s">
        <v>509</v>
      </c>
      <c r="B217" s="104"/>
      <c r="C217" s="265" t="s">
        <v>567</v>
      </c>
      <c r="D217" s="106">
        <v>2144.0</v>
      </c>
      <c r="E217" s="107" t="s">
        <v>95</v>
      </c>
      <c r="F217" s="108" t="s">
        <v>72</v>
      </c>
      <c r="G217" s="109" t="s">
        <v>291</v>
      </c>
      <c r="H217" s="110" t="s">
        <v>31</v>
      </c>
      <c r="I217" s="110" t="s">
        <v>261</v>
      </c>
      <c r="J217" s="111">
        <v>10000.0</v>
      </c>
      <c r="K217" s="112">
        <v>420.0</v>
      </c>
      <c r="L217" s="113">
        <v>46142.0</v>
      </c>
      <c r="M217" s="113">
        <v>46149.0</v>
      </c>
      <c r="N217" s="114"/>
      <c r="O217" s="115" t="s">
        <v>99</v>
      </c>
      <c r="P217" s="116"/>
      <c r="Q217" s="107" t="s">
        <v>35</v>
      </c>
      <c r="R217" s="107" t="s">
        <v>133</v>
      </c>
      <c r="S217" s="115" t="s">
        <v>36</v>
      </c>
      <c r="T217" s="115" t="s">
        <v>36</v>
      </c>
      <c r="U217" s="118" t="s">
        <v>37</v>
      </c>
      <c r="V217" s="119"/>
      <c r="W217" s="129" t="s">
        <v>513</v>
      </c>
      <c r="X217" s="164" t="s">
        <v>514</v>
      </c>
      <c r="Y217" s="120"/>
      <c r="Z217" s="121"/>
      <c r="AA217" s="121"/>
      <c r="AB217" s="122"/>
      <c r="AC217" s="122"/>
      <c r="AD217" s="122"/>
      <c r="AE217" s="122"/>
      <c r="AF217" s="122"/>
      <c r="AG217" s="122"/>
      <c r="AH217" s="122"/>
      <c r="AI217" s="122"/>
      <c r="AJ217" s="122"/>
      <c r="AK217" s="122"/>
      <c r="AL217" s="122"/>
    </row>
    <row r="218" ht="22.5" hidden="1" customHeight="1">
      <c r="A218" s="103" t="s">
        <v>568</v>
      </c>
      <c r="B218" s="104"/>
      <c r="C218" s="194" t="s">
        <v>569</v>
      </c>
      <c r="D218" s="106">
        <v>2149.0</v>
      </c>
      <c r="E218" s="107" t="s">
        <v>51</v>
      </c>
      <c r="F218" s="108" t="s">
        <v>30</v>
      </c>
      <c r="G218" s="109" t="s">
        <v>570</v>
      </c>
      <c r="H218" s="110" t="s">
        <v>31</v>
      </c>
      <c r="I218" s="110" t="s">
        <v>132</v>
      </c>
      <c r="J218" s="111" t="s">
        <v>79</v>
      </c>
      <c r="K218" s="112">
        <v>3504.0</v>
      </c>
      <c r="L218" s="113">
        <v>46142.0</v>
      </c>
      <c r="M218" s="113">
        <v>46156.0</v>
      </c>
      <c r="N218" s="114"/>
      <c r="O218" s="115" t="s">
        <v>54</v>
      </c>
      <c r="P218" s="116"/>
      <c r="Q218" s="167" t="s">
        <v>35</v>
      </c>
      <c r="R218" s="167" t="s">
        <v>133</v>
      </c>
      <c r="S218" s="126" t="s">
        <v>36</v>
      </c>
      <c r="T218" s="126" t="s">
        <v>36</v>
      </c>
      <c r="U218" s="127" t="s">
        <v>37</v>
      </c>
      <c r="V218" s="128"/>
      <c r="W218" s="129"/>
      <c r="X218" s="164" t="s">
        <v>571</v>
      </c>
      <c r="Y218" s="164" t="s">
        <v>516</v>
      </c>
      <c r="Z218" s="130"/>
      <c r="AA218" s="130" t="s">
        <v>516</v>
      </c>
      <c r="AB218" s="122"/>
      <c r="AC218" s="122"/>
      <c r="AD218" s="122"/>
      <c r="AE218" s="122"/>
      <c r="AF218" s="122"/>
      <c r="AG218" s="122"/>
      <c r="AH218" s="122"/>
      <c r="AI218" s="122"/>
      <c r="AJ218" s="122"/>
      <c r="AK218" s="122"/>
      <c r="AL218" s="122"/>
    </row>
    <row r="219" ht="22.5" hidden="1" customHeight="1">
      <c r="A219" s="103" t="s">
        <v>155</v>
      </c>
      <c r="B219" s="104"/>
      <c r="C219" s="105" t="s">
        <v>572</v>
      </c>
      <c r="D219" s="106">
        <v>2168.0</v>
      </c>
      <c r="E219" s="107" t="s">
        <v>157</v>
      </c>
      <c r="F219" s="108" t="s">
        <v>30</v>
      </c>
      <c r="G219" s="109" t="s">
        <v>573</v>
      </c>
      <c r="H219" s="110" t="s">
        <v>31</v>
      </c>
      <c r="I219" s="110" t="s">
        <v>98</v>
      </c>
      <c r="J219" s="111">
        <v>10000.0</v>
      </c>
      <c r="K219" s="112">
        <v>1739.0</v>
      </c>
      <c r="L219" s="113">
        <v>46148.0</v>
      </c>
      <c r="M219" s="113">
        <v>46153.0</v>
      </c>
      <c r="N219" s="114"/>
      <c r="O219" s="115" t="s">
        <v>70</v>
      </c>
      <c r="P219" s="116"/>
      <c r="Q219" s="107" t="s">
        <v>144</v>
      </c>
      <c r="R219" s="107" t="s">
        <v>133</v>
      </c>
      <c r="S219" s="115" t="s">
        <v>36</v>
      </c>
      <c r="T219" s="115" t="s">
        <v>36</v>
      </c>
      <c r="U219" s="118" t="s">
        <v>37</v>
      </c>
      <c r="V219" s="119"/>
      <c r="W219" s="111" t="s">
        <v>536</v>
      </c>
      <c r="X219" s="164" t="s">
        <v>160</v>
      </c>
      <c r="Y219" s="120"/>
      <c r="Z219" s="121"/>
      <c r="AA219" s="121"/>
      <c r="AB219" s="122"/>
      <c r="AC219" s="122"/>
      <c r="AD219" s="122"/>
      <c r="AE219" s="122"/>
      <c r="AF219" s="122"/>
      <c r="AG219" s="122"/>
      <c r="AH219" s="122"/>
      <c r="AI219" s="122"/>
      <c r="AJ219" s="122"/>
      <c r="AK219" s="122"/>
      <c r="AL219" s="122"/>
    </row>
    <row r="220" ht="22.5" hidden="1" customHeight="1">
      <c r="A220" s="278" t="s">
        <v>574</v>
      </c>
      <c r="B220" s="206"/>
      <c r="C220" s="207" t="s">
        <v>148</v>
      </c>
      <c r="D220" s="208">
        <v>2181.0</v>
      </c>
      <c r="E220" s="209" t="s">
        <v>29</v>
      </c>
      <c r="F220" s="210" t="s">
        <v>72</v>
      </c>
      <c r="G220" s="279" t="s">
        <v>332</v>
      </c>
      <c r="H220" s="212" t="s">
        <v>31</v>
      </c>
      <c r="I220" s="212" t="s">
        <v>98</v>
      </c>
      <c r="J220" s="213">
        <v>20000.0</v>
      </c>
      <c r="K220" s="214">
        <v>1526.0</v>
      </c>
      <c r="L220" s="215">
        <v>46149.0</v>
      </c>
      <c r="M220" s="215">
        <v>46154.0</v>
      </c>
      <c r="N220" s="216"/>
      <c r="O220" s="280" t="s">
        <v>34</v>
      </c>
      <c r="P220" s="218"/>
      <c r="Q220" s="220" t="s">
        <v>35</v>
      </c>
      <c r="R220" s="219"/>
      <c r="S220" s="221" t="s">
        <v>36</v>
      </c>
      <c r="T220" s="221" t="s">
        <v>36</v>
      </c>
      <c r="U220" s="222" t="s">
        <v>37</v>
      </c>
      <c r="V220" s="223"/>
      <c r="W220" s="281"/>
      <c r="X220" s="225"/>
      <c r="Y220" s="225">
        <f t="shared" ref="Y220:Y222" si="8">Z220/2</f>
        <v>4</v>
      </c>
      <c r="Z220" s="226">
        <f t="shared" ref="Z220:Z224" si="9">J220/2500</f>
        <v>8</v>
      </c>
      <c r="AA220" s="282" t="s">
        <v>575</v>
      </c>
      <c r="AB220" s="184"/>
      <c r="AC220" s="184"/>
      <c r="AD220" s="184"/>
      <c r="AE220" s="184"/>
      <c r="AF220" s="184"/>
      <c r="AG220" s="184"/>
      <c r="AH220" s="184"/>
      <c r="AI220" s="184"/>
      <c r="AJ220" s="184"/>
      <c r="AK220" s="184"/>
      <c r="AL220" s="184"/>
      <c r="AM220" s="185"/>
      <c r="AN220" s="185"/>
      <c r="AO220" s="185"/>
      <c r="AP220" s="185"/>
      <c r="AQ220" s="185"/>
      <c r="AR220" s="185"/>
      <c r="AS220" s="185"/>
      <c r="AT220" s="185"/>
      <c r="AU220" s="185"/>
      <c r="AV220" s="185"/>
      <c r="AW220" s="185"/>
      <c r="AX220" s="185"/>
      <c r="AY220" s="185"/>
      <c r="AZ220" s="185"/>
      <c r="BA220" s="185"/>
      <c r="BB220" s="185"/>
      <c r="BC220" s="185"/>
      <c r="BD220" s="185"/>
      <c r="BE220" s="185"/>
      <c r="BF220" s="185"/>
      <c r="BG220" s="185"/>
      <c r="BH220" s="185"/>
      <c r="BI220" s="185"/>
      <c r="BJ220" s="185"/>
      <c r="BK220" s="185"/>
      <c r="BL220" s="185"/>
      <c r="BM220" s="185"/>
      <c r="BN220" s="185"/>
    </row>
    <row r="221" ht="22.5" hidden="1" customHeight="1">
      <c r="A221" s="283" t="s">
        <v>574</v>
      </c>
      <c r="B221" s="193"/>
      <c r="C221" s="194" t="s">
        <v>576</v>
      </c>
      <c r="D221" s="195">
        <v>2182.0</v>
      </c>
      <c r="E221" s="73" t="s">
        <v>29</v>
      </c>
      <c r="F221" s="74" t="s">
        <v>72</v>
      </c>
      <c r="G221" s="196" t="s">
        <v>138</v>
      </c>
      <c r="H221" s="76" t="s">
        <v>31</v>
      </c>
      <c r="I221" s="76" t="s">
        <v>132</v>
      </c>
      <c r="J221" s="70">
        <v>10000.0</v>
      </c>
      <c r="K221" s="197">
        <v>739.0</v>
      </c>
      <c r="L221" s="78">
        <v>46149.0</v>
      </c>
      <c r="M221" s="78">
        <v>46154.0</v>
      </c>
      <c r="N221" s="198"/>
      <c r="O221" s="284" t="s">
        <v>34</v>
      </c>
      <c r="P221" s="199"/>
      <c r="Q221" s="52" t="s">
        <v>35</v>
      </c>
      <c r="R221" s="200"/>
      <c r="S221" s="82" t="s">
        <v>36</v>
      </c>
      <c r="T221" s="82" t="s">
        <v>36</v>
      </c>
      <c r="U221" s="201" t="s">
        <v>37</v>
      </c>
      <c r="V221" s="84"/>
      <c r="W221" s="285"/>
      <c r="X221" s="202"/>
      <c r="Y221" s="202">
        <f t="shared" si="8"/>
        <v>2</v>
      </c>
      <c r="Z221" s="203">
        <f t="shared" si="9"/>
        <v>4</v>
      </c>
      <c r="AA221" s="286" t="s">
        <v>575</v>
      </c>
      <c r="AB221" s="88"/>
      <c r="AC221" s="88"/>
      <c r="AD221" s="88"/>
      <c r="AE221" s="88"/>
      <c r="AF221" s="88"/>
      <c r="AG221" s="88"/>
      <c r="AH221" s="88"/>
      <c r="AI221" s="88"/>
      <c r="AJ221" s="88"/>
      <c r="AK221" s="88"/>
      <c r="AL221" s="88"/>
      <c r="AM221" s="89"/>
      <c r="AN221" s="89"/>
      <c r="AO221" s="89"/>
      <c r="AP221" s="89"/>
      <c r="AQ221" s="89"/>
      <c r="AR221" s="89"/>
      <c r="AS221" s="89"/>
      <c r="AT221" s="89"/>
      <c r="AU221" s="89"/>
      <c r="AV221" s="89"/>
      <c r="AW221" s="89"/>
      <c r="AX221" s="89"/>
      <c r="AY221" s="89"/>
      <c r="AZ221" s="89"/>
      <c r="BA221" s="89"/>
      <c r="BB221" s="89"/>
      <c r="BC221" s="89"/>
      <c r="BD221" s="89"/>
      <c r="BE221" s="89"/>
      <c r="BF221" s="89"/>
      <c r="BG221" s="89"/>
      <c r="BH221" s="89"/>
      <c r="BI221" s="89"/>
      <c r="BJ221" s="89"/>
      <c r="BK221" s="89"/>
      <c r="BL221" s="89"/>
      <c r="BM221" s="89"/>
      <c r="BN221" s="89"/>
    </row>
    <row r="222" ht="22.5" hidden="1" customHeight="1">
      <c r="A222" s="283" t="s">
        <v>574</v>
      </c>
      <c r="B222" s="193"/>
      <c r="C222" s="194" t="s">
        <v>112</v>
      </c>
      <c r="D222" s="195">
        <v>2183.0</v>
      </c>
      <c r="E222" s="73" t="s">
        <v>29</v>
      </c>
      <c r="F222" s="74" t="s">
        <v>72</v>
      </c>
      <c r="G222" s="196" t="s">
        <v>138</v>
      </c>
      <c r="H222" s="76" t="s">
        <v>31</v>
      </c>
      <c r="I222" s="76" t="s">
        <v>132</v>
      </c>
      <c r="J222" s="70">
        <v>50000.0</v>
      </c>
      <c r="K222" s="197">
        <v>2300.0</v>
      </c>
      <c r="L222" s="78">
        <v>46149.0</v>
      </c>
      <c r="M222" s="78">
        <v>46154.0</v>
      </c>
      <c r="N222" s="198"/>
      <c r="O222" s="80" t="s">
        <v>34</v>
      </c>
      <c r="P222" s="199"/>
      <c r="Q222" s="52" t="s">
        <v>35</v>
      </c>
      <c r="R222" s="200"/>
      <c r="S222" s="82" t="s">
        <v>36</v>
      </c>
      <c r="T222" s="82" t="s">
        <v>36</v>
      </c>
      <c r="U222" s="201" t="s">
        <v>37</v>
      </c>
      <c r="V222" s="84"/>
      <c r="W222" s="285"/>
      <c r="X222" s="202"/>
      <c r="Y222" s="202">
        <f t="shared" si="8"/>
        <v>10</v>
      </c>
      <c r="Z222" s="203">
        <f t="shared" si="9"/>
        <v>20</v>
      </c>
      <c r="AA222" s="286" t="s">
        <v>577</v>
      </c>
      <c r="AB222" s="88"/>
      <c r="AC222" s="88"/>
      <c r="AD222" s="88"/>
      <c r="AE222" s="88"/>
      <c r="AF222" s="88"/>
      <c r="AG222" s="88"/>
      <c r="AH222" s="88"/>
      <c r="AI222" s="88"/>
      <c r="AJ222" s="88"/>
      <c r="AK222" s="88"/>
      <c r="AL222" s="88"/>
      <c r="AM222" s="89"/>
      <c r="AN222" s="89"/>
      <c r="AO222" s="89"/>
      <c r="AP222" s="89"/>
      <c r="AQ222" s="89"/>
      <c r="AR222" s="89"/>
      <c r="AS222" s="89"/>
      <c r="AT222" s="89"/>
      <c r="AU222" s="89"/>
      <c r="AV222" s="89"/>
      <c r="AW222" s="89"/>
      <c r="AX222" s="89"/>
      <c r="AY222" s="89"/>
      <c r="AZ222" s="89"/>
      <c r="BA222" s="89"/>
      <c r="BB222" s="89"/>
      <c r="BC222" s="89"/>
      <c r="BD222" s="89"/>
      <c r="BE222" s="89"/>
      <c r="BF222" s="89"/>
      <c r="BG222" s="89"/>
      <c r="BH222" s="89"/>
      <c r="BI222" s="89"/>
      <c r="BJ222" s="89"/>
      <c r="BK222" s="89"/>
      <c r="BL222" s="89"/>
      <c r="BM222" s="89"/>
      <c r="BN222" s="89"/>
    </row>
    <row r="223" ht="22.5" hidden="1" customHeight="1">
      <c r="A223" s="278" t="s">
        <v>574</v>
      </c>
      <c r="B223" s="206"/>
      <c r="C223" s="207" t="s">
        <v>578</v>
      </c>
      <c r="D223" s="208">
        <v>2184.0</v>
      </c>
      <c r="E223" s="209" t="s">
        <v>29</v>
      </c>
      <c r="F223" s="210" t="s">
        <v>72</v>
      </c>
      <c r="G223" s="211" t="s">
        <v>579</v>
      </c>
      <c r="H223" s="212" t="s">
        <v>31</v>
      </c>
      <c r="I223" s="212" t="s">
        <v>98</v>
      </c>
      <c r="J223" s="213">
        <v>10000.0</v>
      </c>
      <c r="K223" s="214">
        <v>625.0</v>
      </c>
      <c r="L223" s="215">
        <v>46148.0</v>
      </c>
      <c r="M223" s="215">
        <v>46154.0</v>
      </c>
      <c r="N223" s="216"/>
      <c r="O223" s="217" t="s">
        <v>34</v>
      </c>
      <c r="P223" s="218"/>
      <c r="Q223" s="220" t="s">
        <v>35</v>
      </c>
      <c r="R223" s="220" t="s">
        <v>133</v>
      </c>
      <c r="S223" s="221" t="s">
        <v>36</v>
      </c>
      <c r="T223" s="221" t="s">
        <v>36</v>
      </c>
      <c r="U223" s="222" t="s">
        <v>37</v>
      </c>
      <c r="V223" s="223"/>
      <c r="W223" s="281"/>
      <c r="X223" s="225"/>
      <c r="Y223" s="287">
        <v>1.0</v>
      </c>
      <c r="Z223" s="288">
        <f t="shared" si="9"/>
        <v>4</v>
      </c>
      <c r="AA223" s="289" t="s">
        <v>580</v>
      </c>
      <c r="AB223" s="184"/>
      <c r="AC223" s="184"/>
      <c r="AD223" s="184"/>
      <c r="AE223" s="184"/>
      <c r="AF223" s="184"/>
      <c r="AG223" s="184"/>
      <c r="AH223" s="184"/>
      <c r="AI223" s="184"/>
      <c r="AJ223" s="184"/>
      <c r="AK223" s="184"/>
      <c r="AL223" s="184"/>
      <c r="AM223" s="185"/>
      <c r="AN223" s="185"/>
      <c r="AO223" s="185"/>
      <c r="AP223" s="185"/>
      <c r="AQ223" s="185"/>
      <c r="AR223" s="185"/>
      <c r="AS223" s="185"/>
      <c r="AT223" s="185"/>
      <c r="AU223" s="185"/>
      <c r="AV223" s="185"/>
      <c r="AW223" s="185"/>
      <c r="AX223" s="185"/>
      <c r="AY223" s="185"/>
      <c r="AZ223" s="185"/>
      <c r="BA223" s="185"/>
      <c r="BB223" s="185"/>
      <c r="BC223" s="185"/>
      <c r="BD223" s="185"/>
      <c r="BE223" s="185"/>
      <c r="BF223" s="185"/>
      <c r="BG223" s="185"/>
      <c r="BH223" s="185"/>
      <c r="BI223" s="185"/>
      <c r="BJ223" s="185"/>
      <c r="BK223" s="185"/>
      <c r="BL223" s="185"/>
      <c r="BM223" s="185"/>
      <c r="BN223" s="185"/>
    </row>
    <row r="224" ht="22.5" hidden="1" customHeight="1">
      <c r="A224" s="278" t="s">
        <v>574</v>
      </c>
      <c r="B224" s="206"/>
      <c r="C224" s="207" t="s">
        <v>181</v>
      </c>
      <c r="D224" s="208">
        <v>2185.0</v>
      </c>
      <c r="E224" s="209" t="s">
        <v>29</v>
      </c>
      <c r="F224" s="210" t="s">
        <v>72</v>
      </c>
      <c r="G224" s="211" t="s">
        <v>138</v>
      </c>
      <c r="H224" s="212" t="s">
        <v>31</v>
      </c>
      <c r="I224" s="212" t="s">
        <v>132</v>
      </c>
      <c r="J224" s="213">
        <v>10000.0</v>
      </c>
      <c r="K224" s="214">
        <v>689.0</v>
      </c>
      <c r="L224" s="215">
        <v>46148.0</v>
      </c>
      <c r="M224" s="215">
        <v>46154.0</v>
      </c>
      <c r="N224" s="216"/>
      <c r="O224" s="217" t="s">
        <v>34</v>
      </c>
      <c r="P224" s="218"/>
      <c r="Q224" s="220" t="s">
        <v>35</v>
      </c>
      <c r="R224" s="219"/>
      <c r="S224" s="221" t="s">
        <v>36</v>
      </c>
      <c r="T224" s="221" t="s">
        <v>36</v>
      </c>
      <c r="U224" s="222" t="s">
        <v>37</v>
      </c>
      <c r="V224" s="223"/>
      <c r="W224" s="281"/>
      <c r="X224" s="225"/>
      <c r="Y224" s="225">
        <f>Z224/2</f>
        <v>2</v>
      </c>
      <c r="Z224" s="226">
        <f t="shared" si="9"/>
        <v>4</v>
      </c>
      <c r="AA224" s="282" t="s">
        <v>575</v>
      </c>
      <c r="AB224" s="184"/>
      <c r="AC224" s="184"/>
      <c r="AD224" s="184"/>
      <c r="AE224" s="184"/>
      <c r="AF224" s="184"/>
      <c r="AG224" s="184"/>
      <c r="AH224" s="184"/>
      <c r="AI224" s="184"/>
      <c r="AJ224" s="184"/>
      <c r="AK224" s="184"/>
      <c r="AL224" s="184"/>
      <c r="AM224" s="185"/>
      <c r="AN224" s="185"/>
      <c r="AO224" s="185"/>
      <c r="AP224" s="185"/>
      <c r="AQ224" s="185"/>
      <c r="AR224" s="185"/>
      <c r="AS224" s="185"/>
      <c r="AT224" s="185"/>
      <c r="AU224" s="185"/>
      <c r="AV224" s="185"/>
      <c r="AW224" s="185"/>
      <c r="AX224" s="185"/>
      <c r="AY224" s="185"/>
      <c r="AZ224" s="185"/>
      <c r="BA224" s="185"/>
      <c r="BB224" s="185"/>
      <c r="BC224" s="185"/>
      <c r="BD224" s="185"/>
      <c r="BE224" s="185"/>
      <c r="BF224" s="185"/>
      <c r="BG224" s="185"/>
      <c r="BH224" s="185"/>
      <c r="BI224" s="185"/>
      <c r="BJ224" s="185"/>
      <c r="BK224" s="185"/>
      <c r="BL224" s="185"/>
      <c r="BM224" s="185"/>
      <c r="BN224" s="185"/>
    </row>
    <row r="225" ht="22.5" hidden="1" customHeight="1">
      <c r="A225" s="103" t="s">
        <v>581</v>
      </c>
      <c r="B225" s="104"/>
      <c r="C225" s="194" t="s">
        <v>582</v>
      </c>
      <c r="D225" s="106" t="s">
        <v>583</v>
      </c>
      <c r="E225" s="107" t="s">
        <v>29</v>
      </c>
      <c r="F225" s="108" t="s">
        <v>30</v>
      </c>
      <c r="G225" s="109" t="s">
        <v>584</v>
      </c>
      <c r="H225" s="110" t="s">
        <v>52</v>
      </c>
      <c r="I225" s="110" t="s">
        <v>274</v>
      </c>
      <c r="J225" s="111">
        <v>400.0</v>
      </c>
      <c r="K225" s="112">
        <v>176.0</v>
      </c>
      <c r="L225" s="113">
        <v>46146.0</v>
      </c>
      <c r="M225" s="113">
        <v>46147.0</v>
      </c>
      <c r="N225" s="114"/>
      <c r="O225" s="115" t="s">
        <v>34</v>
      </c>
      <c r="P225" s="116"/>
      <c r="Q225" s="234"/>
      <c r="R225" s="167" t="s">
        <v>133</v>
      </c>
      <c r="S225" s="126" t="s">
        <v>36</v>
      </c>
      <c r="T225" s="126" t="s">
        <v>36</v>
      </c>
      <c r="U225" s="127" t="s">
        <v>37</v>
      </c>
      <c r="V225" s="128"/>
      <c r="W225" s="136"/>
      <c r="X225" s="120"/>
      <c r="Y225" s="120"/>
      <c r="Z225" s="121"/>
      <c r="AA225" s="121"/>
      <c r="AB225" s="122"/>
      <c r="AC225" s="122"/>
      <c r="AD225" s="122"/>
      <c r="AE225" s="122"/>
      <c r="AF225" s="122"/>
      <c r="AG225" s="122"/>
      <c r="AH225" s="122"/>
      <c r="AI225" s="122"/>
      <c r="AJ225" s="122"/>
      <c r="AK225" s="122"/>
      <c r="AL225" s="122"/>
    </row>
    <row r="226" ht="22.5" hidden="1" customHeight="1">
      <c r="A226" s="278" t="s">
        <v>574</v>
      </c>
      <c r="B226" s="206"/>
      <c r="C226" s="207" t="s">
        <v>323</v>
      </c>
      <c r="D226" s="208">
        <v>2186.0</v>
      </c>
      <c r="E226" s="209" t="s">
        <v>29</v>
      </c>
      <c r="F226" s="210" t="s">
        <v>72</v>
      </c>
      <c r="G226" s="211" t="s">
        <v>138</v>
      </c>
      <c r="H226" s="212" t="s">
        <v>31</v>
      </c>
      <c r="I226" s="212" t="s">
        <v>132</v>
      </c>
      <c r="J226" s="213">
        <v>10000.0</v>
      </c>
      <c r="K226" s="214">
        <v>689.0</v>
      </c>
      <c r="L226" s="215">
        <v>46148.0</v>
      </c>
      <c r="M226" s="215">
        <v>46154.0</v>
      </c>
      <c r="N226" s="216"/>
      <c r="O226" s="217" t="s">
        <v>34</v>
      </c>
      <c r="P226" s="218"/>
      <c r="Q226" s="220" t="s">
        <v>35</v>
      </c>
      <c r="R226" s="219"/>
      <c r="S226" s="221" t="s">
        <v>36</v>
      </c>
      <c r="T226" s="221" t="s">
        <v>36</v>
      </c>
      <c r="U226" s="222" t="s">
        <v>37</v>
      </c>
      <c r="V226" s="223"/>
      <c r="W226" s="281"/>
      <c r="X226" s="225"/>
      <c r="Y226" s="225">
        <f t="shared" ref="Y226:Y230" si="10">Z226/2</f>
        <v>2</v>
      </c>
      <c r="Z226" s="226">
        <f t="shared" ref="Z226:Z230" si="11">J226/2500</f>
        <v>4</v>
      </c>
      <c r="AA226" s="282" t="s">
        <v>575</v>
      </c>
      <c r="AB226" s="184"/>
      <c r="AC226" s="184"/>
      <c r="AD226" s="184"/>
      <c r="AE226" s="184"/>
      <c r="AF226" s="184"/>
      <c r="AG226" s="184"/>
      <c r="AH226" s="184"/>
      <c r="AI226" s="184"/>
      <c r="AJ226" s="184"/>
      <c r="AK226" s="184"/>
      <c r="AL226" s="184"/>
      <c r="AM226" s="185"/>
      <c r="AN226" s="185"/>
      <c r="AO226" s="185"/>
      <c r="AP226" s="185"/>
      <c r="AQ226" s="185"/>
      <c r="AR226" s="185"/>
      <c r="AS226" s="185"/>
      <c r="AT226" s="185"/>
      <c r="AU226" s="185"/>
      <c r="AV226" s="185"/>
      <c r="AW226" s="185"/>
      <c r="AX226" s="185"/>
      <c r="AY226" s="185"/>
      <c r="AZ226" s="185"/>
      <c r="BA226" s="185"/>
      <c r="BB226" s="185"/>
      <c r="BC226" s="185"/>
      <c r="BD226" s="185"/>
      <c r="BE226" s="185"/>
      <c r="BF226" s="185"/>
      <c r="BG226" s="185"/>
      <c r="BH226" s="185"/>
      <c r="BI226" s="185"/>
      <c r="BJ226" s="185"/>
      <c r="BK226" s="185"/>
      <c r="BL226" s="185"/>
      <c r="BM226" s="185"/>
      <c r="BN226" s="185"/>
    </row>
    <row r="227" ht="22.5" hidden="1" customHeight="1">
      <c r="A227" s="278" t="s">
        <v>574</v>
      </c>
      <c r="B227" s="206"/>
      <c r="C227" s="207" t="s">
        <v>585</v>
      </c>
      <c r="D227" s="208">
        <v>2187.0</v>
      </c>
      <c r="E227" s="209" t="s">
        <v>29</v>
      </c>
      <c r="F227" s="210" t="s">
        <v>72</v>
      </c>
      <c r="G227" s="211" t="s">
        <v>138</v>
      </c>
      <c r="H227" s="212" t="s">
        <v>31</v>
      </c>
      <c r="I227" s="212" t="s">
        <v>132</v>
      </c>
      <c r="J227" s="213">
        <v>10000.0</v>
      </c>
      <c r="K227" s="214">
        <v>689.0</v>
      </c>
      <c r="L227" s="215">
        <v>46148.0</v>
      </c>
      <c r="M227" s="215">
        <v>46154.0</v>
      </c>
      <c r="N227" s="216"/>
      <c r="O227" s="217" t="s">
        <v>34</v>
      </c>
      <c r="P227" s="218"/>
      <c r="Q227" s="220" t="s">
        <v>35</v>
      </c>
      <c r="R227" s="219"/>
      <c r="S227" s="221" t="s">
        <v>36</v>
      </c>
      <c r="T227" s="221" t="s">
        <v>36</v>
      </c>
      <c r="U227" s="222" t="s">
        <v>37</v>
      </c>
      <c r="V227" s="223"/>
      <c r="W227" s="281"/>
      <c r="X227" s="225"/>
      <c r="Y227" s="225">
        <f t="shared" si="10"/>
        <v>2</v>
      </c>
      <c r="Z227" s="226">
        <f t="shared" si="11"/>
        <v>4</v>
      </c>
      <c r="AA227" s="282" t="s">
        <v>575</v>
      </c>
      <c r="AB227" s="184"/>
      <c r="AC227" s="184"/>
      <c r="AD227" s="184"/>
      <c r="AE227" s="184"/>
      <c r="AF227" s="184"/>
      <c r="AG227" s="184"/>
      <c r="AH227" s="184"/>
      <c r="AI227" s="184"/>
      <c r="AJ227" s="184"/>
      <c r="AK227" s="184"/>
      <c r="AL227" s="184"/>
      <c r="AM227" s="185"/>
      <c r="AN227" s="185"/>
      <c r="AO227" s="185"/>
      <c r="AP227" s="185"/>
      <c r="AQ227" s="185"/>
      <c r="AR227" s="185"/>
      <c r="AS227" s="185"/>
      <c r="AT227" s="185"/>
      <c r="AU227" s="185"/>
      <c r="AV227" s="185"/>
      <c r="AW227" s="185"/>
      <c r="AX227" s="185"/>
      <c r="AY227" s="185"/>
      <c r="AZ227" s="185"/>
      <c r="BA227" s="185"/>
      <c r="BB227" s="185"/>
      <c r="BC227" s="185"/>
      <c r="BD227" s="185"/>
      <c r="BE227" s="185"/>
      <c r="BF227" s="185"/>
      <c r="BG227" s="185"/>
      <c r="BH227" s="185"/>
      <c r="BI227" s="185"/>
      <c r="BJ227" s="185"/>
      <c r="BK227" s="185"/>
      <c r="BL227" s="185"/>
      <c r="BM227" s="185"/>
      <c r="BN227" s="185"/>
    </row>
    <row r="228" ht="22.5" hidden="1" customHeight="1">
      <c r="A228" s="278" t="s">
        <v>574</v>
      </c>
      <c r="B228" s="206"/>
      <c r="C228" s="207" t="s">
        <v>586</v>
      </c>
      <c r="D228" s="208">
        <v>2188.0</v>
      </c>
      <c r="E228" s="209" t="s">
        <v>29</v>
      </c>
      <c r="F228" s="210" t="s">
        <v>72</v>
      </c>
      <c r="G228" s="211" t="s">
        <v>138</v>
      </c>
      <c r="H228" s="212" t="s">
        <v>31</v>
      </c>
      <c r="I228" s="212" t="s">
        <v>132</v>
      </c>
      <c r="J228" s="213">
        <v>20000.0</v>
      </c>
      <c r="K228" s="214">
        <v>1063.0</v>
      </c>
      <c r="L228" s="215">
        <v>46148.0</v>
      </c>
      <c r="M228" s="215">
        <v>46154.0</v>
      </c>
      <c r="N228" s="216"/>
      <c r="O228" s="217" t="s">
        <v>34</v>
      </c>
      <c r="P228" s="218"/>
      <c r="Q228" s="220" t="s">
        <v>35</v>
      </c>
      <c r="R228" s="219"/>
      <c r="S228" s="221" t="s">
        <v>36</v>
      </c>
      <c r="T228" s="221" t="s">
        <v>36</v>
      </c>
      <c r="U228" s="222" t="s">
        <v>37</v>
      </c>
      <c r="V228" s="223"/>
      <c r="W228" s="281"/>
      <c r="X228" s="225"/>
      <c r="Y228" s="225">
        <f t="shared" si="10"/>
        <v>4</v>
      </c>
      <c r="Z228" s="226">
        <f t="shared" si="11"/>
        <v>8</v>
      </c>
      <c r="AA228" s="282" t="s">
        <v>575</v>
      </c>
      <c r="AB228" s="184"/>
      <c r="AC228" s="184"/>
      <c r="AD228" s="184"/>
      <c r="AE228" s="184"/>
      <c r="AF228" s="184"/>
      <c r="AG228" s="184"/>
      <c r="AH228" s="184"/>
      <c r="AI228" s="184"/>
      <c r="AJ228" s="184"/>
      <c r="AK228" s="184"/>
      <c r="AL228" s="184"/>
      <c r="AM228" s="185"/>
      <c r="AN228" s="185"/>
      <c r="AO228" s="185"/>
      <c r="AP228" s="185"/>
      <c r="AQ228" s="185"/>
      <c r="AR228" s="185"/>
      <c r="AS228" s="185"/>
      <c r="AT228" s="185"/>
      <c r="AU228" s="185"/>
      <c r="AV228" s="185"/>
      <c r="AW228" s="185"/>
      <c r="AX228" s="185"/>
      <c r="AY228" s="185"/>
      <c r="AZ228" s="185"/>
      <c r="BA228" s="185"/>
      <c r="BB228" s="185"/>
      <c r="BC228" s="185"/>
      <c r="BD228" s="185"/>
      <c r="BE228" s="185"/>
      <c r="BF228" s="185"/>
      <c r="BG228" s="185"/>
      <c r="BH228" s="185"/>
      <c r="BI228" s="185"/>
      <c r="BJ228" s="185"/>
      <c r="BK228" s="185"/>
      <c r="BL228" s="185"/>
      <c r="BM228" s="185"/>
      <c r="BN228" s="185"/>
    </row>
    <row r="229" ht="22.5" hidden="1" customHeight="1">
      <c r="A229" s="278" t="s">
        <v>574</v>
      </c>
      <c r="B229" s="206"/>
      <c r="C229" s="207" t="s">
        <v>587</v>
      </c>
      <c r="D229" s="208">
        <v>2189.0</v>
      </c>
      <c r="E229" s="290" t="s">
        <v>29</v>
      </c>
      <c r="F229" s="210" t="s">
        <v>72</v>
      </c>
      <c r="G229" s="211" t="s">
        <v>138</v>
      </c>
      <c r="H229" s="291" t="s">
        <v>31</v>
      </c>
      <c r="I229" s="291" t="s">
        <v>132</v>
      </c>
      <c r="J229" s="213">
        <v>20000.0</v>
      </c>
      <c r="K229" s="214">
        <v>1063.0</v>
      </c>
      <c r="L229" s="215">
        <v>46148.0</v>
      </c>
      <c r="M229" s="215">
        <v>46154.0</v>
      </c>
      <c r="N229" s="216"/>
      <c r="O229" s="280" t="s">
        <v>34</v>
      </c>
      <c r="P229" s="218"/>
      <c r="Q229" s="292" t="s">
        <v>35</v>
      </c>
      <c r="R229" s="219"/>
      <c r="S229" s="293" t="s">
        <v>36</v>
      </c>
      <c r="T229" s="293" t="s">
        <v>36</v>
      </c>
      <c r="U229" s="222" t="s">
        <v>37</v>
      </c>
      <c r="V229" s="294"/>
      <c r="W229" s="295"/>
      <c r="X229" s="225"/>
      <c r="Y229" s="225">
        <f t="shared" si="10"/>
        <v>4</v>
      </c>
      <c r="Z229" s="226">
        <f t="shared" si="11"/>
        <v>8</v>
      </c>
      <c r="AA229" s="282" t="s">
        <v>575</v>
      </c>
      <c r="AB229" s="184"/>
      <c r="AC229" s="184"/>
      <c r="AD229" s="184"/>
      <c r="AE229" s="184"/>
      <c r="AF229" s="184"/>
      <c r="AG229" s="184"/>
      <c r="AH229" s="184"/>
      <c r="AI229" s="184"/>
      <c r="AJ229" s="184"/>
      <c r="AK229" s="184"/>
      <c r="AL229" s="184"/>
      <c r="AM229" s="185"/>
      <c r="AN229" s="185"/>
      <c r="AO229" s="185"/>
      <c r="AP229" s="185"/>
      <c r="AQ229" s="185"/>
      <c r="AR229" s="185"/>
      <c r="AS229" s="185"/>
      <c r="AT229" s="185"/>
      <c r="AU229" s="185"/>
      <c r="AV229" s="185"/>
      <c r="AW229" s="185"/>
      <c r="AX229" s="185"/>
      <c r="AY229" s="185"/>
      <c r="AZ229" s="185"/>
      <c r="BA229" s="185"/>
      <c r="BB229" s="185"/>
      <c r="BC229" s="185"/>
      <c r="BD229" s="185"/>
      <c r="BE229" s="185"/>
      <c r="BF229" s="185"/>
      <c r="BG229" s="185"/>
      <c r="BH229" s="185"/>
      <c r="BI229" s="185"/>
      <c r="BJ229" s="185"/>
      <c r="BK229" s="185"/>
      <c r="BL229" s="185"/>
      <c r="BM229" s="185"/>
      <c r="BN229" s="185"/>
    </row>
    <row r="230" ht="22.5" hidden="1" customHeight="1">
      <c r="A230" s="283" t="s">
        <v>574</v>
      </c>
      <c r="B230" s="193"/>
      <c r="C230" s="194" t="s">
        <v>588</v>
      </c>
      <c r="D230" s="195">
        <v>2192.0</v>
      </c>
      <c r="E230" s="296" t="s">
        <v>29</v>
      </c>
      <c r="F230" s="74" t="s">
        <v>72</v>
      </c>
      <c r="G230" s="297" t="s">
        <v>308</v>
      </c>
      <c r="H230" s="76" t="s">
        <v>31</v>
      </c>
      <c r="I230" s="76" t="s">
        <v>132</v>
      </c>
      <c r="J230" s="70">
        <v>42500.0</v>
      </c>
      <c r="K230" s="197">
        <v>1720.0</v>
      </c>
      <c r="L230" s="78">
        <v>46149.0</v>
      </c>
      <c r="M230" s="78">
        <v>46154.0</v>
      </c>
      <c r="N230" s="198"/>
      <c r="O230" s="284" t="s">
        <v>34</v>
      </c>
      <c r="P230" s="199"/>
      <c r="Q230" s="52" t="s">
        <v>35</v>
      </c>
      <c r="R230" s="200"/>
      <c r="S230" s="82" t="s">
        <v>35</v>
      </c>
      <c r="T230" s="82" t="s">
        <v>36</v>
      </c>
      <c r="U230" s="201" t="s">
        <v>37</v>
      </c>
      <c r="V230" s="84"/>
      <c r="W230" s="85"/>
      <c r="X230" s="202"/>
      <c r="Y230" s="202">
        <f t="shared" si="10"/>
        <v>8.5</v>
      </c>
      <c r="Z230" s="203">
        <f t="shared" si="11"/>
        <v>17</v>
      </c>
      <c r="AA230" s="286" t="s">
        <v>575</v>
      </c>
      <c r="AB230" s="88"/>
      <c r="AC230" s="88"/>
      <c r="AD230" s="88"/>
      <c r="AE230" s="88"/>
      <c r="AF230" s="88"/>
      <c r="AG230" s="88"/>
      <c r="AH230" s="88"/>
      <c r="AI230" s="88"/>
      <c r="AJ230" s="88"/>
      <c r="AK230" s="88"/>
      <c r="AL230" s="88"/>
      <c r="AM230" s="89"/>
      <c r="AN230" s="89"/>
      <c r="AO230" s="89"/>
      <c r="AP230" s="89"/>
      <c r="AQ230" s="89"/>
      <c r="AR230" s="89"/>
      <c r="AS230" s="89"/>
      <c r="AT230" s="89"/>
      <c r="AU230" s="89"/>
      <c r="AV230" s="89"/>
      <c r="AW230" s="89"/>
      <c r="AX230" s="89"/>
      <c r="AY230" s="89"/>
      <c r="AZ230" s="89"/>
      <c r="BA230" s="89"/>
      <c r="BB230" s="89"/>
      <c r="BC230" s="89"/>
      <c r="BD230" s="89"/>
      <c r="BE230" s="89"/>
      <c r="BF230" s="89"/>
      <c r="BG230" s="89"/>
      <c r="BH230" s="89"/>
      <c r="BI230" s="89"/>
      <c r="BJ230" s="89"/>
      <c r="BK230" s="89"/>
      <c r="BL230" s="89"/>
      <c r="BM230" s="89"/>
      <c r="BN230" s="89"/>
    </row>
    <row r="231" ht="22.5" hidden="1" customHeight="1">
      <c r="A231" s="103" t="s">
        <v>589</v>
      </c>
      <c r="B231" s="104"/>
      <c r="C231" s="105" t="s">
        <v>590</v>
      </c>
      <c r="D231" s="106">
        <v>2202.0</v>
      </c>
      <c r="E231" s="107" t="s">
        <v>95</v>
      </c>
      <c r="F231" s="108" t="s">
        <v>30</v>
      </c>
      <c r="G231" s="109" t="s">
        <v>591</v>
      </c>
      <c r="H231" s="110" t="s">
        <v>31</v>
      </c>
      <c r="I231" s="110" t="s">
        <v>132</v>
      </c>
      <c r="J231" s="111">
        <v>15000.0</v>
      </c>
      <c r="K231" s="112">
        <v>1812.0</v>
      </c>
      <c r="L231" s="113">
        <v>46149.0</v>
      </c>
      <c r="M231" s="113">
        <v>46155.0</v>
      </c>
      <c r="N231" s="114"/>
      <c r="O231" s="115" t="s">
        <v>70</v>
      </c>
      <c r="P231" s="116"/>
      <c r="Q231" s="107" t="s">
        <v>35</v>
      </c>
      <c r="R231" s="107" t="s">
        <v>133</v>
      </c>
      <c r="S231" s="115" t="s">
        <v>36</v>
      </c>
      <c r="T231" s="115" t="s">
        <v>36</v>
      </c>
      <c r="U231" s="118" t="s">
        <v>37</v>
      </c>
      <c r="V231" s="119"/>
      <c r="W231" s="136"/>
      <c r="X231" s="164" t="s">
        <v>288</v>
      </c>
      <c r="Y231" s="164" t="s">
        <v>516</v>
      </c>
      <c r="Z231" s="130" t="s">
        <v>516</v>
      </c>
      <c r="AA231" s="121"/>
      <c r="AB231" s="122"/>
      <c r="AC231" s="122"/>
      <c r="AD231" s="122"/>
      <c r="AE231" s="122"/>
      <c r="AF231" s="122"/>
      <c r="AG231" s="122"/>
      <c r="AH231" s="122"/>
      <c r="AI231" s="122"/>
      <c r="AJ231" s="122"/>
      <c r="AK231" s="122"/>
      <c r="AL231" s="122"/>
    </row>
    <row r="232" ht="22.5" hidden="1" customHeight="1">
      <c r="A232" s="103" t="s">
        <v>155</v>
      </c>
      <c r="B232" s="104"/>
      <c r="C232" s="105" t="s">
        <v>592</v>
      </c>
      <c r="D232" s="106">
        <v>2209.0</v>
      </c>
      <c r="E232" s="107" t="s">
        <v>157</v>
      </c>
      <c r="F232" s="108" t="s">
        <v>30</v>
      </c>
      <c r="G232" s="109" t="s">
        <v>593</v>
      </c>
      <c r="H232" s="110" t="s">
        <v>31</v>
      </c>
      <c r="I232" s="110" t="s">
        <v>98</v>
      </c>
      <c r="J232" s="111">
        <v>10000.0</v>
      </c>
      <c r="K232" s="112">
        <v>1757.0</v>
      </c>
      <c r="L232" s="113">
        <v>46150.0</v>
      </c>
      <c r="M232" s="113">
        <v>46154.0</v>
      </c>
      <c r="N232" s="114"/>
      <c r="O232" s="115" t="s">
        <v>70</v>
      </c>
      <c r="P232" s="116"/>
      <c r="Q232" s="107" t="s">
        <v>144</v>
      </c>
      <c r="R232" s="107" t="s">
        <v>133</v>
      </c>
      <c r="S232" s="115" t="s">
        <v>36</v>
      </c>
      <c r="T232" s="115" t="s">
        <v>36</v>
      </c>
      <c r="U232" s="118" t="s">
        <v>37</v>
      </c>
      <c r="V232" s="119"/>
      <c r="W232" s="111" t="s">
        <v>536</v>
      </c>
      <c r="X232" s="164" t="s">
        <v>160</v>
      </c>
      <c r="Y232" s="120"/>
      <c r="Z232" s="121"/>
      <c r="AA232" s="121"/>
      <c r="AB232" s="122"/>
      <c r="AC232" s="122"/>
      <c r="AD232" s="122"/>
      <c r="AE232" s="122"/>
      <c r="AF232" s="122"/>
      <c r="AG232" s="122"/>
      <c r="AH232" s="122"/>
      <c r="AI232" s="122"/>
      <c r="AJ232" s="122"/>
      <c r="AK232" s="122"/>
      <c r="AL232" s="122"/>
    </row>
    <row r="233" ht="22.5" hidden="1" customHeight="1">
      <c r="A233" s="103" t="s">
        <v>594</v>
      </c>
      <c r="B233" s="104"/>
      <c r="C233" s="124" t="s">
        <v>595</v>
      </c>
      <c r="D233" s="106">
        <v>2212.0</v>
      </c>
      <c r="E233" s="107" t="s">
        <v>29</v>
      </c>
      <c r="F233" s="108" t="s">
        <v>72</v>
      </c>
      <c r="G233" s="109" t="s">
        <v>596</v>
      </c>
      <c r="H233" s="110" t="s">
        <v>31</v>
      </c>
      <c r="I233" s="110" t="s">
        <v>98</v>
      </c>
      <c r="J233" s="111">
        <v>40000.0</v>
      </c>
      <c r="K233" s="112">
        <v>2478.0</v>
      </c>
      <c r="L233" s="113">
        <v>46150.0</v>
      </c>
      <c r="M233" s="113">
        <v>46154.0</v>
      </c>
      <c r="N233" s="114"/>
      <c r="O233" s="115" t="s">
        <v>54</v>
      </c>
      <c r="P233" s="116"/>
      <c r="Q233" s="234"/>
      <c r="R233" s="167" t="s">
        <v>215</v>
      </c>
      <c r="S233" s="126" t="s">
        <v>36</v>
      </c>
      <c r="T233" s="126" t="s">
        <v>36</v>
      </c>
      <c r="U233" s="127" t="s">
        <v>37</v>
      </c>
      <c r="V233" s="128"/>
      <c r="W233" s="136"/>
      <c r="X233" s="120"/>
      <c r="Y233" s="164" t="s">
        <v>516</v>
      </c>
      <c r="Z233" s="121"/>
      <c r="AA233" s="121"/>
      <c r="AB233" s="122"/>
      <c r="AC233" s="122"/>
      <c r="AD233" s="122"/>
      <c r="AE233" s="122"/>
      <c r="AF233" s="122"/>
      <c r="AG233" s="122"/>
      <c r="AH233" s="122"/>
      <c r="AI233" s="122"/>
      <c r="AJ233" s="122"/>
      <c r="AK233" s="122"/>
      <c r="AL233" s="122"/>
    </row>
    <row r="234" ht="22.5" hidden="1" customHeight="1">
      <c r="A234" s="103" t="s">
        <v>519</v>
      </c>
      <c r="B234" s="104"/>
      <c r="C234" s="265" t="s">
        <v>597</v>
      </c>
      <c r="D234" s="106" t="s">
        <v>598</v>
      </c>
      <c r="E234" s="107" t="s">
        <v>95</v>
      </c>
      <c r="F234" s="108" t="s">
        <v>30</v>
      </c>
      <c r="G234" s="109" t="s">
        <v>599</v>
      </c>
      <c r="H234" s="110" t="s">
        <v>31</v>
      </c>
      <c r="I234" s="110" t="s">
        <v>98</v>
      </c>
      <c r="J234" s="111">
        <v>3000.0</v>
      </c>
      <c r="K234" s="112">
        <v>1060.0</v>
      </c>
      <c r="L234" s="113">
        <v>46141.0</v>
      </c>
      <c r="M234" s="113">
        <v>46149.0</v>
      </c>
      <c r="N234" s="114"/>
      <c r="O234" s="115" t="s">
        <v>34</v>
      </c>
      <c r="P234" s="116"/>
      <c r="Q234" s="107" t="s">
        <v>35</v>
      </c>
      <c r="R234" s="117"/>
      <c r="S234" s="115" t="s">
        <v>35</v>
      </c>
      <c r="T234" s="115" t="s">
        <v>35</v>
      </c>
      <c r="U234" s="118" t="s">
        <v>37</v>
      </c>
      <c r="V234" s="119"/>
      <c r="W234" s="111" t="s">
        <v>522</v>
      </c>
      <c r="X234" s="273" t="s">
        <v>523</v>
      </c>
      <c r="Y234" s="120"/>
      <c r="Z234" s="121"/>
      <c r="AA234" s="121"/>
      <c r="AB234" s="122"/>
      <c r="AC234" s="122"/>
      <c r="AD234" s="122"/>
      <c r="AE234" s="122"/>
      <c r="AF234" s="122"/>
      <c r="AG234" s="122"/>
      <c r="AH234" s="122"/>
      <c r="AI234" s="122"/>
      <c r="AJ234" s="122"/>
      <c r="AK234" s="122"/>
      <c r="AL234" s="122"/>
    </row>
    <row r="235" ht="22.5" hidden="1" customHeight="1">
      <c r="A235" s="298" t="s">
        <v>519</v>
      </c>
      <c r="B235" s="104"/>
      <c r="C235" s="265" t="s">
        <v>600</v>
      </c>
      <c r="D235" s="106" t="s">
        <v>598</v>
      </c>
      <c r="E235" s="107" t="s">
        <v>95</v>
      </c>
      <c r="F235" s="108" t="s">
        <v>30</v>
      </c>
      <c r="G235" s="109" t="s">
        <v>599</v>
      </c>
      <c r="H235" s="110" t="s">
        <v>31</v>
      </c>
      <c r="I235" s="110" t="s">
        <v>98</v>
      </c>
      <c r="J235" s="111">
        <v>3000.0</v>
      </c>
      <c r="K235" s="112"/>
      <c r="L235" s="113">
        <v>46141.0</v>
      </c>
      <c r="M235" s="113">
        <v>46149.0</v>
      </c>
      <c r="N235" s="114"/>
      <c r="O235" s="115" t="s">
        <v>34</v>
      </c>
      <c r="P235" s="116"/>
      <c r="Q235" s="107" t="s">
        <v>35</v>
      </c>
      <c r="R235" s="117"/>
      <c r="S235" s="115" t="s">
        <v>35</v>
      </c>
      <c r="T235" s="115" t="s">
        <v>35</v>
      </c>
      <c r="U235" s="118" t="s">
        <v>37</v>
      </c>
      <c r="V235" s="119"/>
      <c r="W235" s="111" t="s">
        <v>522</v>
      </c>
      <c r="X235" s="273" t="s">
        <v>523</v>
      </c>
      <c r="Y235" s="120"/>
      <c r="Z235" s="121"/>
      <c r="AA235" s="121"/>
      <c r="AB235" s="122"/>
      <c r="AC235" s="122"/>
      <c r="AD235" s="122"/>
      <c r="AE235" s="122"/>
      <c r="AF235" s="122"/>
      <c r="AG235" s="122"/>
      <c r="AH235" s="122"/>
      <c r="AI235" s="122"/>
      <c r="AJ235" s="122"/>
      <c r="AK235" s="122"/>
      <c r="AL235" s="122"/>
    </row>
    <row r="236" ht="22.5" hidden="1" customHeight="1">
      <c r="A236" s="298" t="s">
        <v>519</v>
      </c>
      <c r="B236" s="104"/>
      <c r="C236" s="265" t="s">
        <v>601</v>
      </c>
      <c r="D236" s="106" t="s">
        <v>602</v>
      </c>
      <c r="E236" s="107" t="s">
        <v>95</v>
      </c>
      <c r="F236" s="108" t="s">
        <v>30</v>
      </c>
      <c r="G236" s="109" t="s">
        <v>599</v>
      </c>
      <c r="H236" s="110" t="s">
        <v>31</v>
      </c>
      <c r="I236" s="110" t="s">
        <v>98</v>
      </c>
      <c r="J236" s="111">
        <v>6000.0</v>
      </c>
      <c r="K236" s="112">
        <v>1060.0</v>
      </c>
      <c r="L236" s="113">
        <v>46141.0</v>
      </c>
      <c r="M236" s="113">
        <v>46149.0</v>
      </c>
      <c r="N236" s="114"/>
      <c r="O236" s="115" t="s">
        <v>34</v>
      </c>
      <c r="P236" s="116"/>
      <c r="Q236" s="107" t="s">
        <v>35</v>
      </c>
      <c r="R236" s="117"/>
      <c r="S236" s="115" t="s">
        <v>35</v>
      </c>
      <c r="T236" s="115" t="s">
        <v>35</v>
      </c>
      <c r="U236" s="118" t="s">
        <v>37</v>
      </c>
      <c r="V236" s="119"/>
      <c r="W236" s="111" t="s">
        <v>522</v>
      </c>
      <c r="X236" s="273" t="s">
        <v>523</v>
      </c>
      <c r="Y236" s="120"/>
      <c r="Z236" s="121"/>
      <c r="AA236" s="121"/>
      <c r="AB236" s="122"/>
      <c r="AC236" s="122"/>
      <c r="AD236" s="122"/>
      <c r="AE236" s="122"/>
      <c r="AF236" s="122"/>
      <c r="AG236" s="122"/>
      <c r="AH236" s="122"/>
      <c r="AI236" s="122"/>
      <c r="AJ236" s="122"/>
      <c r="AK236" s="122"/>
      <c r="AL236" s="122"/>
    </row>
    <row r="237" ht="22.5" hidden="1" customHeight="1">
      <c r="A237" s="298" t="s">
        <v>519</v>
      </c>
      <c r="B237" s="104"/>
      <c r="C237" s="265" t="s">
        <v>603</v>
      </c>
      <c r="D237" s="106" t="s">
        <v>604</v>
      </c>
      <c r="E237" s="107" t="s">
        <v>95</v>
      </c>
      <c r="F237" s="108" t="s">
        <v>30</v>
      </c>
      <c r="G237" s="109" t="s">
        <v>605</v>
      </c>
      <c r="H237" s="110" t="s">
        <v>31</v>
      </c>
      <c r="I237" s="110" t="s">
        <v>98</v>
      </c>
      <c r="J237" s="111">
        <v>7000.0</v>
      </c>
      <c r="K237" s="112">
        <v>1665.0</v>
      </c>
      <c r="L237" s="113">
        <v>46141.0</v>
      </c>
      <c r="M237" s="113">
        <v>46149.0</v>
      </c>
      <c r="N237" s="114"/>
      <c r="O237" s="115" t="s">
        <v>70</v>
      </c>
      <c r="P237" s="116"/>
      <c r="Q237" s="167" t="s">
        <v>35</v>
      </c>
      <c r="R237" s="167" t="s">
        <v>133</v>
      </c>
      <c r="S237" s="126" t="s">
        <v>35</v>
      </c>
      <c r="T237" s="126" t="s">
        <v>35</v>
      </c>
      <c r="U237" s="127" t="s">
        <v>37</v>
      </c>
      <c r="V237" s="128"/>
      <c r="W237" s="129"/>
      <c r="X237" s="164" t="s">
        <v>514</v>
      </c>
      <c r="Y237" s="164" t="s">
        <v>516</v>
      </c>
      <c r="Z237" s="130" t="s">
        <v>516</v>
      </c>
      <c r="AA237" s="130" t="s">
        <v>516</v>
      </c>
      <c r="AB237" s="122"/>
      <c r="AC237" s="122"/>
      <c r="AD237" s="122"/>
      <c r="AE237" s="122"/>
      <c r="AF237" s="122"/>
      <c r="AG237" s="122"/>
      <c r="AH237" s="122"/>
      <c r="AI237" s="122"/>
      <c r="AJ237" s="122"/>
      <c r="AK237" s="122"/>
      <c r="AL237" s="122"/>
    </row>
    <row r="238" ht="22.5" hidden="1" customHeight="1">
      <c r="A238" s="298" t="s">
        <v>519</v>
      </c>
      <c r="B238" s="104"/>
      <c r="C238" s="265" t="s">
        <v>606</v>
      </c>
      <c r="D238" s="106" t="s">
        <v>607</v>
      </c>
      <c r="E238" s="107" t="s">
        <v>95</v>
      </c>
      <c r="F238" s="108" t="s">
        <v>30</v>
      </c>
      <c r="G238" s="109" t="s">
        <v>605</v>
      </c>
      <c r="H238" s="110" t="s">
        <v>31</v>
      </c>
      <c r="I238" s="110" t="s">
        <v>98</v>
      </c>
      <c r="J238" s="111">
        <v>3500.0</v>
      </c>
      <c r="K238" s="112">
        <v>915.0</v>
      </c>
      <c r="L238" s="113">
        <v>46141.0</v>
      </c>
      <c r="M238" s="113">
        <v>46149.0</v>
      </c>
      <c r="N238" s="114"/>
      <c r="O238" s="115" t="s">
        <v>70</v>
      </c>
      <c r="P238" s="116"/>
      <c r="Q238" s="167" t="s">
        <v>35</v>
      </c>
      <c r="R238" s="167" t="s">
        <v>133</v>
      </c>
      <c r="S238" s="126" t="s">
        <v>35</v>
      </c>
      <c r="T238" s="126" t="s">
        <v>35</v>
      </c>
      <c r="U238" s="127" t="s">
        <v>37</v>
      </c>
      <c r="V238" s="128"/>
      <c r="W238" s="129"/>
      <c r="X238" s="164" t="s">
        <v>514</v>
      </c>
      <c r="Y238" s="164" t="s">
        <v>516</v>
      </c>
      <c r="Z238" s="130" t="s">
        <v>516</v>
      </c>
      <c r="AA238" s="130" t="s">
        <v>516</v>
      </c>
      <c r="AB238" s="122"/>
      <c r="AC238" s="122"/>
      <c r="AD238" s="122"/>
      <c r="AE238" s="122"/>
      <c r="AF238" s="122"/>
      <c r="AG238" s="122"/>
      <c r="AH238" s="122"/>
      <c r="AI238" s="122"/>
      <c r="AJ238" s="122"/>
      <c r="AK238" s="122"/>
      <c r="AL238" s="122"/>
    </row>
    <row r="239" ht="22.5" hidden="1" customHeight="1">
      <c r="A239" s="298" t="s">
        <v>519</v>
      </c>
      <c r="B239" s="104"/>
      <c r="C239" s="265" t="s">
        <v>608</v>
      </c>
      <c r="D239" s="106" t="s">
        <v>609</v>
      </c>
      <c r="E239" s="107" t="s">
        <v>95</v>
      </c>
      <c r="F239" s="108" t="s">
        <v>30</v>
      </c>
      <c r="G239" s="109" t="s">
        <v>605</v>
      </c>
      <c r="H239" s="110" t="s">
        <v>31</v>
      </c>
      <c r="I239" s="110" t="s">
        <v>98</v>
      </c>
      <c r="J239" s="111">
        <v>3500.0</v>
      </c>
      <c r="K239" s="112">
        <v>915.0</v>
      </c>
      <c r="L239" s="113">
        <v>46141.0</v>
      </c>
      <c r="M239" s="113">
        <v>46149.0</v>
      </c>
      <c r="N239" s="114"/>
      <c r="O239" s="115" t="s">
        <v>70</v>
      </c>
      <c r="P239" s="116"/>
      <c r="Q239" s="167" t="s">
        <v>35</v>
      </c>
      <c r="R239" s="167" t="s">
        <v>133</v>
      </c>
      <c r="S239" s="126" t="s">
        <v>35</v>
      </c>
      <c r="T239" s="126" t="s">
        <v>35</v>
      </c>
      <c r="U239" s="127" t="s">
        <v>37</v>
      </c>
      <c r="V239" s="128"/>
      <c r="W239" s="129"/>
      <c r="X239" s="164" t="s">
        <v>514</v>
      </c>
      <c r="Y239" s="164" t="s">
        <v>516</v>
      </c>
      <c r="Z239" s="130" t="s">
        <v>516</v>
      </c>
      <c r="AA239" s="130" t="s">
        <v>516</v>
      </c>
      <c r="AB239" s="122"/>
      <c r="AC239" s="122"/>
      <c r="AD239" s="122"/>
      <c r="AE239" s="122"/>
      <c r="AF239" s="122"/>
      <c r="AG239" s="122"/>
      <c r="AH239" s="122"/>
      <c r="AI239" s="122"/>
      <c r="AJ239" s="122"/>
      <c r="AK239" s="122"/>
      <c r="AL239" s="122"/>
    </row>
    <row r="240" ht="22.5" hidden="1" customHeight="1">
      <c r="A240" s="298" t="s">
        <v>610</v>
      </c>
      <c r="B240" s="104"/>
      <c r="C240" s="105" t="s">
        <v>611</v>
      </c>
      <c r="D240" s="106">
        <v>2220.0</v>
      </c>
      <c r="E240" s="107" t="s">
        <v>95</v>
      </c>
      <c r="F240" s="108" t="s">
        <v>72</v>
      </c>
      <c r="G240" s="109" t="s">
        <v>97</v>
      </c>
      <c r="H240" s="110" t="s">
        <v>31</v>
      </c>
      <c r="I240" s="179"/>
      <c r="J240" s="111">
        <v>100000.0</v>
      </c>
      <c r="K240" s="112">
        <v>3986.0</v>
      </c>
      <c r="L240" s="113">
        <v>46150.0</v>
      </c>
      <c r="M240" s="113">
        <v>46154.0</v>
      </c>
      <c r="N240" s="114"/>
      <c r="O240" s="115" t="s">
        <v>99</v>
      </c>
      <c r="P240" s="116"/>
      <c r="Q240" s="107" t="s">
        <v>35</v>
      </c>
      <c r="R240" s="107" t="s">
        <v>133</v>
      </c>
      <c r="S240" s="115" t="s">
        <v>36</v>
      </c>
      <c r="T240" s="115" t="s">
        <v>36</v>
      </c>
      <c r="U240" s="118" t="s">
        <v>37</v>
      </c>
      <c r="V240" s="119"/>
      <c r="W240" s="111" t="s">
        <v>612</v>
      </c>
      <c r="X240" s="120"/>
      <c r="Y240" s="164" t="s">
        <v>516</v>
      </c>
      <c r="Z240" s="130" t="s">
        <v>516</v>
      </c>
      <c r="AA240" s="121"/>
      <c r="AB240" s="122"/>
      <c r="AC240" s="122"/>
      <c r="AD240" s="122"/>
      <c r="AE240" s="122"/>
      <c r="AF240" s="122"/>
      <c r="AG240" s="122"/>
      <c r="AH240" s="122"/>
      <c r="AI240" s="122"/>
      <c r="AJ240" s="122"/>
      <c r="AK240" s="122"/>
      <c r="AL240" s="122"/>
    </row>
    <row r="241" ht="22.5" hidden="1" customHeight="1">
      <c r="A241" s="299" t="s">
        <v>574</v>
      </c>
      <c r="B241" s="193"/>
      <c r="C241" s="194" t="s">
        <v>613</v>
      </c>
      <c r="D241" s="195">
        <v>2221.0</v>
      </c>
      <c r="E241" s="73" t="s">
        <v>29</v>
      </c>
      <c r="F241" s="74" t="s">
        <v>30</v>
      </c>
      <c r="G241" s="196" t="s">
        <v>347</v>
      </c>
      <c r="H241" s="76" t="s">
        <v>31</v>
      </c>
      <c r="I241" s="76" t="s">
        <v>132</v>
      </c>
      <c r="J241" s="70">
        <v>150000.0</v>
      </c>
      <c r="K241" s="197">
        <v>4280.0</v>
      </c>
      <c r="L241" s="78">
        <v>46149.0</v>
      </c>
      <c r="M241" s="78">
        <v>46154.0</v>
      </c>
      <c r="N241" s="198"/>
      <c r="O241" s="284" t="s">
        <v>34</v>
      </c>
      <c r="P241" s="199"/>
      <c r="Q241" s="52" t="s">
        <v>35</v>
      </c>
      <c r="R241" s="200"/>
      <c r="S241" s="82" t="s">
        <v>35</v>
      </c>
      <c r="T241" s="82" t="s">
        <v>36</v>
      </c>
      <c r="U241" s="201" t="s">
        <v>37</v>
      </c>
      <c r="V241" s="84"/>
      <c r="W241" s="85"/>
      <c r="X241" s="202"/>
      <c r="Y241" s="259">
        <v>30.0</v>
      </c>
      <c r="Z241" s="203">
        <f>J241/2500</f>
        <v>60</v>
      </c>
      <c r="AA241" s="286" t="s">
        <v>575</v>
      </c>
      <c r="AB241" s="88"/>
      <c r="AC241" s="88"/>
      <c r="AD241" s="88"/>
      <c r="AE241" s="88"/>
      <c r="AF241" s="88"/>
      <c r="AG241" s="88"/>
      <c r="AH241" s="88"/>
      <c r="AI241" s="88"/>
      <c r="AJ241" s="88"/>
      <c r="AK241" s="88"/>
      <c r="AL241" s="88"/>
      <c r="AM241" s="89"/>
      <c r="AN241" s="89"/>
      <c r="AO241" s="89"/>
      <c r="AP241" s="89"/>
      <c r="AQ241" s="89"/>
      <c r="AR241" s="89"/>
      <c r="AS241" s="89"/>
      <c r="AT241" s="89"/>
      <c r="AU241" s="89"/>
      <c r="AV241" s="89"/>
      <c r="AW241" s="89"/>
      <c r="AX241" s="89"/>
      <c r="AY241" s="89"/>
      <c r="AZ241" s="89"/>
      <c r="BA241" s="89"/>
      <c r="BB241" s="89"/>
      <c r="BC241" s="89"/>
      <c r="BD241" s="89"/>
      <c r="BE241" s="89"/>
      <c r="BF241" s="89"/>
      <c r="BG241" s="89"/>
      <c r="BH241" s="89"/>
      <c r="BI241" s="89"/>
      <c r="BJ241" s="89"/>
      <c r="BK241" s="89"/>
      <c r="BL241" s="89"/>
      <c r="BM241" s="89"/>
      <c r="BN241" s="89"/>
    </row>
    <row r="242" ht="22.5" hidden="1" customHeight="1">
      <c r="A242" s="300" t="s">
        <v>574</v>
      </c>
      <c r="B242" s="206"/>
      <c r="C242" s="207" t="s">
        <v>614</v>
      </c>
      <c r="D242" s="208">
        <v>2225.0</v>
      </c>
      <c r="E242" s="209" t="s">
        <v>29</v>
      </c>
      <c r="F242" s="210" t="s">
        <v>30</v>
      </c>
      <c r="G242" s="211" t="s">
        <v>138</v>
      </c>
      <c r="H242" s="212" t="s">
        <v>31</v>
      </c>
      <c r="I242" s="212" t="s">
        <v>132</v>
      </c>
      <c r="J242" s="213">
        <v>10000.0</v>
      </c>
      <c r="K242" s="214">
        <v>689.0</v>
      </c>
      <c r="L242" s="215">
        <v>46148.0</v>
      </c>
      <c r="M242" s="215">
        <v>46154.0</v>
      </c>
      <c r="N242" s="216"/>
      <c r="O242" s="217" t="s">
        <v>34</v>
      </c>
      <c r="P242" s="218"/>
      <c r="Q242" s="220" t="s">
        <v>35</v>
      </c>
      <c r="R242" s="219"/>
      <c r="S242" s="221" t="s">
        <v>35</v>
      </c>
      <c r="T242" s="221" t="s">
        <v>36</v>
      </c>
      <c r="U242" s="222" t="s">
        <v>37</v>
      </c>
      <c r="V242" s="223"/>
      <c r="W242" s="224" t="s">
        <v>615</v>
      </c>
      <c r="X242" s="225"/>
      <c r="Y242" s="229" t="s">
        <v>516</v>
      </c>
      <c r="Z242" s="229" t="s">
        <v>516</v>
      </c>
      <c r="AA242" s="226"/>
      <c r="AB242" s="184"/>
      <c r="AC242" s="184"/>
      <c r="AD242" s="184"/>
      <c r="AE242" s="184"/>
      <c r="AF242" s="184"/>
      <c r="AG242" s="184"/>
      <c r="AH242" s="184"/>
      <c r="AI242" s="184"/>
      <c r="AJ242" s="184"/>
      <c r="AK242" s="184"/>
      <c r="AL242" s="184"/>
      <c r="AM242" s="185"/>
      <c r="AN242" s="185"/>
      <c r="AO242" s="185"/>
      <c r="AP242" s="185"/>
      <c r="AQ242" s="185"/>
      <c r="AR242" s="185"/>
      <c r="AS242" s="185"/>
      <c r="AT242" s="185"/>
      <c r="AU242" s="185"/>
      <c r="AV242" s="185"/>
      <c r="AW242" s="185"/>
      <c r="AX242" s="185"/>
      <c r="AY242" s="185"/>
      <c r="AZ242" s="185"/>
      <c r="BA242" s="185"/>
      <c r="BB242" s="185"/>
      <c r="BC242" s="185"/>
      <c r="BD242" s="185"/>
      <c r="BE242" s="185"/>
      <c r="BF242" s="185"/>
      <c r="BG242" s="185"/>
      <c r="BH242" s="185"/>
      <c r="BI242" s="185"/>
      <c r="BJ242" s="185"/>
      <c r="BK242" s="185"/>
      <c r="BL242" s="185"/>
      <c r="BM242" s="185"/>
      <c r="BN242" s="185"/>
    </row>
    <row r="243" ht="22.5" hidden="1" customHeight="1">
      <c r="A243" s="300" t="s">
        <v>574</v>
      </c>
      <c r="B243" s="206"/>
      <c r="C243" s="207" t="s">
        <v>616</v>
      </c>
      <c r="D243" s="208">
        <v>2226.0</v>
      </c>
      <c r="E243" s="209" t="s">
        <v>29</v>
      </c>
      <c r="F243" s="210" t="s">
        <v>30</v>
      </c>
      <c r="G243" s="211" t="s">
        <v>138</v>
      </c>
      <c r="H243" s="212" t="s">
        <v>31</v>
      </c>
      <c r="I243" s="212" t="s">
        <v>132</v>
      </c>
      <c r="J243" s="213">
        <v>10000.0</v>
      </c>
      <c r="K243" s="214">
        <v>689.0</v>
      </c>
      <c r="L243" s="215">
        <v>46148.0</v>
      </c>
      <c r="M243" s="215">
        <v>46154.0</v>
      </c>
      <c r="N243" s="216"/>
      <c r="O243" s="217" t="s">
        <v>34</v>
      </c>
      <c r="P243" s="218"/>
      <c r="Q243" s="220" t="s">
        <v>35</v>
      </c>
      <c r="R243" s="219"/>
      <c r="S243" s="221" t="s">
        <v>35</v>
      </c>
      <c r="T243" s="221" t="s">
        <v>36</v>
      </c>
      <c r="U243" s="222" t="s">
        <v>37</v>
      </c>
      <c r="V243" s="223"/>
      <c r="W243" s="224" t="s">
        <v>615</v>
      </c>
      <c r="X243" s="225"/>
      <c r="Y243" s="229" t="s">
        <v>516</v>
      </c>
      <c r="Z243" s="229" t="s">
        <v>516</v>
      </c>
      <c r="AA243" s="226"/>
      <c r="AB243" s="184"/>
      <c r="AC243" s="184"/>
      <c r="AD243" s="184"/>
      <c r="AE243" s="184"/>
      <c r="AF243" s="184"/>
      <c r="AG243" s="184"/>
      <c r="AH243" s="184"/>
      <c r="AI243" s="184"/>
      <c r="AJ243" s="184"/>
      <c r="AK243" s="184"/>
      <c r="AL243" s="184"/>
      <c r="AM243" s="185"/>
      <c r="AN243" s="185"/>
      <c r="AO243" s="185"/>
      <c r="AP243" s="185"/>
      <c r="AQ243" s="185"/>
      <c r="AR243" s="185"/>
      <c r="AS243" s="185"/>
      <c r="AT243" s="185"/>
      <c r="AU243" s="185"/>
      <c r="AV243" s="185"/>
      <c r="AW243" s="185"/>
      <c r="AX243" s="185"/>
      <c r="AY243" s="185"/>
      <c r="AZ243" s="185"/>
      <c r="BA243" s="185"/>
      <c r="BB243" s="185"/>
      <c r="BC243" s="185"/>
      <c r="BD243" s="185"/>
      <c r="BE243" s="185"/>
      <c r="BF243" s="185"/>
      <c r="BG243" s="185"/>
      <c r="BH243" s="185"/>
      <c r="BI243" s="185"/>
      <c r="BJ243" s="185"/>
      <c r="BK243" s="185"/>
      <c r="BL243" s="185"/>
      <c r="BM243" s="185"/>
      <c r="BN243" s="185"/>
    </row>
    <row r="244" ht="22.5" hidden="1" customHeight="1">
      <c r="A244" s="298" t="s">
        <v>617</v>
      </c>
      <c r="B244" s="104"/>
      <c r="C244" s="124" t="s">
        <v>618</v>
      </c>
      <c r="D244" s="106">
        <v>2222.0</v>
      </c>
      <c r="E244" s="107" t="s">
        <v>29</v>
      </c>
      <c r="F244" s="108" t="s">
        <v>30</v>
      </c>
      <c r="G244" s="109" t="s">
        <v>619</v>
      </c>
      <c r="H244" s="110" t="s">
        <v>31</v>
      </c>
      <c r="I244" s="110" t="s">
        <v>132</v>
      </c>
      <c r="J244" s="111">
        <v>30000.0</v>
      </c>
      <c r="K244" s="112">
        <v>1596.0</v>
      </c>
      <c r="L244" s="113">
        <v>46149.0</v>
      </c>
      <c r="M244" s="113">
        <v>46155.0</v>
      </c>
      <c r="N244" s="114"/>
      <c r="O244" s="301" t="s">
        <v>34</v>
      </c>
      <c r="P244" s="116"/>
      <c r="Q244" s="167" t="s">
        <v>35</v>
      </c>
      <c r="R244" s="234"/>
      <c r="S244" s="126" t="s">
        <v>35</v>
      </c>
      <c r="T244" s="126" t="s">
        <v>35</v>
      </c>
      <c r="U244" s="127" t="s">
        <v>37</v>
      </c>
      <c r="V244" s="128"/>
      <c r="W244" s="136"/>
      <c r="X244" s="120"/>
      <c r="Y244" s="120"/>
      <c r="Z244" s="130"/>
      <c r="AA244" s="302" t="s">
        <v>620</v>
      </c>
      <c r="AB244" s="122"/>
      <c r="AC244" s="122"/>
      <c r="AD244" s="122"/>
      <c r="AE244" s="122"/>
      <c r="AF244" s="122"/>
      <c r="AG244" s="122"/>
      <c r="AH244" s="122"/>
      <c r="AI244" s="122"/>
      <c r="AJ244" s="122"/>
      <c r="AK244" s="122"/>
      <c r="AL244" s="122"/>
    </row>
    <row r="245" ht="22.5" hidden="1" customHeight="1">
      <c r="A245" s="298" t="s">
        <v>384</v>
      </c>
      <c r="B245" s="104"/>
      <c r="C245" s="105" t="s">
        <v>621</v>
      </c>
      <c r="D245" s="106">
        <v>2234.0</v>
      </c>
      <c r="E245" s="107" t="s">
        <v>157</v>
      </c>
      <c r="F245" s="108" t="s">
        <v>72</v>
      </c>
      <c r="G245" s="109" t="s">
        <v>386</v>
      </c>
      <c r="H245" s="110" t="s">
        <v>31</v>
      </c>
      <c r="I245" s="110" t="s">
        <v>311</v>
      </c>
      <c r="J245" s="111">
        <v>20000.0</v>
      </c>
      <c r="K245" s="112">
        <v>397.0</v>
      </c>
      <c r="L245" s="113">
        <v>46154.0</v>
      </c>
      <c r="M245" s="113">
        <v>46156.0</v>
      </c>
      <c r="N245" s="114"/>
      <c r="O245" s="115" t="s">
        <v>99</v>
      </c>
      <c r="P245" s="116"/>
      <c r="Q245" s="107" t="s">
        <v>35</v>
      </c>
      <c r="R245" s="107" t="s">
        <v>133</v>
      </c>
      <c r="S245" s="115" t="s">
        <v>36</v>
      </c>
      <c r="T245" s="115" t="s">
        <v>36</v>
      </c>
      <c r="U245" s="118" t="s">
        <v>37</v>
      </c>
      <c r="V245" s="119"/>
      <c r="W245" s="303" t="s">
        <v>622</v>
      </c>
      <c r="X245" s="257" t="s">
        <v>388</v>
      </c>
      <c r="Y245" s="120"/>
      <c r="Z245" s="121"/>
      <c r="AA245" s="121"/>
      <c r="AB245" s="122"/>
      <c r="AC245" s="122"/>
      <c r="AD245" s="122"/>
      <c r="AE245" s="122"/>
      <c r="AF245" s="122"/>
      <c r="AG245" s="122"/>
      <c r="AH245" s="122"/>
      <c r="AI245" s="122"/>
      <c r="AJ245" s="122"/>
      <c r="AK245" s="122"/>
      <c r="AL245" s="122"/>
    </row>
    <row r="246" ht="22.5" hidden="1" customHeight="1">
      <c r="A246" s="299" t="s">
        <v>574</v>
      </c>
      <c r="B246" s="193"/>
      <c r="C246" s="194" t="s">
        <v>623</v>
      </c>
      <c r="D246" s="195">
        <v>2240.0</v>
      </c>
      <c r="E246" s="296" t="s">
        <v>29</v>
      </c>
      <c r="F246" s="74" t="s">
        <v>30</v>
      </c>
      <c r="G246" s="196" t="s">
        <v>440</v>
      </c>
      <c r="H246" s="304" t="s">
        <v>31</v>
      </c>
      <c r="I246" s="304" t="s">
        <v>132</v>
      </c>
      <c r="J246" s="70">
        <v>20000.0</v>
      </c>
      <c r="K246" s="197">
        <v>1163.0</v>
      </c>
      <c r="L246" s="78">
        <v>46149.0</v>
      </c>
      <c r="M246" s="78">
        <v>46154.0</v>
      </c>
      <c r="N246" s="198"/>
      <c r="O246" s="284" t="s">
        <v>34</v>
      </c>
      <c r="P246" s="199"/>
      <c r="Q246" s="53" t="s">
        <v>35</v>
      </c>
      <c r="R246" s="200"/>
      <c r="S246" s="305" t="s">
        <v>35</v>
      </c>
      <c r="T246" s="305" t="s">
        <v>36</v>
      </c>
      <c r="U246" s="201" t="s">
        <v>37</v>
      </c>
      <c r="V246" s="84"/>
      <c r="W246" s="85"/>
      <c r="X246" s="202"/>
      <c r="Y246" s="259">
        <v>2.0</v>
      </c>
      <c r="Z246" s="203">
        <f t="shared" ref="Z246:Z247" si="12">J246/2500</f>
        <v>8</v>
      </c>
      <c r="AA246" s="306" t="s">
        <v>624</v>
      </c>
      <c r="AB246" s="88"/>
      <c r="AC246" s="88"/>
      <c r="AD246" s="88"/>
      <c r="AE246" s="88"/>
      <c r="AF246" s="88"/>
      <c r="AG246" s="88"/>
      <c r="AH246" s="88"/>
      <c r="AI246" s="88"/>
      <c r="AJ246" s="88"/>
      <c r="AK246" s="88"/>
      <c r="AL246" s="88"/>
      <c r="AM246" s="89"/>
      <c r="AN246" s="89"/>
      <c r="AO246" s="89"/>
      <c r="AP246" s="89"/>
      <c r="AQ246" s="89"/>
      <c r="AR246" s="89"/>
      <c r="AS246" s="89"/>
      <c r="AT246" s="89"/>
      <c r="AU246" s="89"/>
      <c r="AV246" s="89"/>
      <c r="AW246" s="89"/>
      <c r="AX246" s="89"/>
      <c r="AY246" s="89"/>
      <c r="AZ246" s="89"/>
      <c r="BA246" s="89"/>
      <c r="BB246" s="89"/>
      <c r="BC246" s="89"/>
      <c r="BD246" s="89"/>
      <c r="BE246" s="89"/>
      <c r="BF246" s="89"/>
      <c r="BG246" s="89"/>
      <c r="BH246" s="89"/>
      <c r="BI246" s="89"/>
      <c r="BJ246" s="89"/>
      <c r="BK246" s="89"/>
      <c r="BL246" s="89"/>
      <c r="BM246" s="89"/>
      <c r="BN246" s="89"/>
    </row>
    <row r="247" ht="22.5" hidden="1" customHeight="1">
      <c r="A247" s="299" t="s">
        <v>574</v>
      </c>
      <c r="B247" s="193"/>
      <c r="C247" s="194" t="s">
        <v>625</v>
      </c>
      <c r="D247" s="195">
        <v>2241.0</v>
      </c>
      <c r="E247" s="73" t="s">
        <v>29</v>
      </c>
      <c r="F247" s="74" t="s">
        <v>30</v>
      </c>
      <c r="G247" s="196" t="s">
        <v>138</v>
      </c>
      <c r="H247" s="76" t="s">
        <v>31</v>
      </c>
      <c r="I247" s="76" t="s">
        <v>132</v>
      </c>
      <c r="J247" s="70">
        <v>20000.0</v>
      </c>
      <c r="K247" s="197">
        <v>1113.0</v>
      </c>
      <c r="L247" s="78">
        <v>46149.0</v>
      </c>
      <c r="M247" s="78">
        <v>46154.0</v>
      </c>
      <c r="N247" s="198"/>
      <c r="O247" s="80" t="s">
        <v>34</v>
      </c>
      <c r="P247" s="199"/>
      <c r="Q247" s="52" t="s">
        <v>35</v>
      </c>
      <c r="R247" s="200"/>
      <c r="S247" s="82" t="s">
        <v>35</v>
      </c>
      <c r="T247" s="82" t="s">
        <v>36</v>
      </c>
      <c r="U247" s="201" t="s">
        <v>37</v>
      </c>
      <c r="V247" s="84"/>
      <c r="W247" s="85"/>
      <c r="X247" s="202"/>
      <c r="Y247" s="259">
        <v>4.0</v>
      </c>
      <c r="Z247" s="203">
        <f t="shared" si="12"/>
        <v>8</v>
      </c>
      <c r="AA247" s="286" t="s">
        <v>575</v>
      </c>
      <c r="AB247" s="88"/>
      <c r="AC247" s="88"/>
      <c r="AD247" s="88"/>
      <c r="AE247" s="88"/>
      <c r="AF247" s="88"/>
      <c r="AG247" s="88"/>
      <c r="AH247" s="88"/>
      <c r="AI247" s="88"/>
      <c r="AJ247" s="88"/>
      <c r="AK247" s="88"/>
      <c r="AL247" s="88"/>
      <c r="AM247" s="89"/>
      <c r="AN247" s="89"/>
      <c r="AO247" s="89"/>
      <c r="AP247" s="89"/>
      <c r="AQ247" s="89"/>
      <c r="AR247" s="89"/>
      <c r="AS247" s="89"/>
      <c r="AT247" s="89"/>
      <c r="AU247" s="89"/>
      <c r="AV247" s="89"/>
      <c r="AW247" s="89"/>
      <c r="AX247" s="89"/>
      <c r="AY247" s="89"/>
      <c r="AZ247" s="89"/>
      <c r="BA247" s="89"/>
      <c r="BB247" s="89"/>
      <c r="BC247" s="89"/>
      <c r="BD247" s="89"/>
      <c r="BE247" s="89"/>
      <c r="BF247" s="89"/>
      <c r="BG247" s="89"/>
      <c r="BH247" s="89"/>
      <c r="BI247" s="89"/>
      <c r="BJ247" s="89"/>
      <c r="BK247" s="89"/>
      <c r="BL247" s="89"/>
      <c r="BM247" s="89"/>
      <c r="BN247" s="89"/>
    </row>
    <row r="248" ht="22.5" hidden="1" customHeight="1">
      <c r="A248" s="298" t="s">
        <v>113</v>
      </c>
      <c r="B248" s="104"/>
      <c r="C248" s="307" t="s">
        <v>146</v>
      </c>
      <c r="D248" s="106">
        <v>2251.0</v>
      </c>
      <c r="E248" s="117" t="s">
        <v>29</v>
      </c>
      <c r="F248" s="108" t="s">
        <v>72</v>
      </c>
      <c r="G248" s="109" t="s">
        <v>147</v>
      </c>
      <c r="H248" s="269" t="s">
        <v>116</v>
      </c>
      <c r="I248" s="110" t="s">
        <v>274</v>
      </c>
      <c r="J248" s="111">
        <v>14500.0</v>
      </c>
      <c r="K248" s="112">
        <v>1009.0</v>
      </c>
      <c r="L248" s="113">
        <v>46154.0</v>
      </c>
      <c r="M248" s="113">
        <v>46157.0</v>
      </c>
      <c r="N248" s="114" t="s">
        <v>37</v>
      </c>
      <c r="O248" s="301" t="s">
        <v>99</v>
      </c>
      <c r="P248" s="116" t="s">
        <v>117</v>
      </c>
      <c r="Q248" s="167" t="s">
        <v>35</v>
      </c>
      <c r="R248" s="167" t="s">
        <v>133</v>
      </c>
      <c r="S248" s="126" t="s">
        <v>55</v>
      </c>
      <c r="T248" s="126" t="s">
        <v>100</v>
      </c>
      <c r="U248" s="127" t="s">
        <v>37</v>
      </c>
      <c r="V248" s="128"/>
      <c r="W248" s="129"/>
      <c r="X248" s="120"/>
      <c r="Y248" s="164"/>
      <c r="Z248" s="130"/>
      <c r="AA248" s="121"/>
      <c r="AB248" s="122"/>
      <c r="AC248" s="122"/>
      <c r="AD248" s="122"/>
      <c r="AE248" s="122"/>
      <c r="AF248" s="122"/>
      <c r="AG248" s="122"/>
      <c r="AH248" s="122"/>
      <c r="AI248" s="122"/>
      <c r="AJ248" s="122"/>
      <c r="AK248" s="122"/>
      <c r="AL248" s="122"/>
    </row>
    <row r="249" ht="22.5" hidden="1" customHeight="1">
      <c r="A249" s="308" t="s">
        <v>626</v>
      </c>
      <c r="B249" s="240"/>
      <c r="C249" s="62" t="s">
        <v>627</v>
      </c>
      <c r="D249" s="242">
        <v>2252.0</v>
      </c>
      <c r="E249" s="43" t="s">
        <v>29</v>
      </c>
      <c r="F249" s="243" t="s">
        <v>96</v>
      </c>
      <c r="G249" s="244" t="s">
        <v>328</v>
      </c>
      <c r="H249" s="46" t="s">
        <v>31</v>
      </c>
      <c r="I249" s="46" t="s">
        <v>132</v>
      </c>
      <c r="J249" s="40">
        <v>2500.0</v>
      </c>
      <c r="K249" s="245">
        <v>330.0</v>
      </c>
      <c r="L249" s="48">
        <v>46155.0</v>
      </c>
      <c r="M249" s="48">
        <v>46160.0</v>
      </c>
      <c r="N249" s="246"/>
      <c r="O249" s="50" t="s">
        <v>34</v>
      </c>
      <c r="P249" s="51"/>
      <c r="Q249" s="309"/>
      <c r="R249" s="247" t="s">
        <v>133</v>
      </c>
      <c r="S249" s="54" t="s">
        <v>36</v>
      </c>
      <c r="T249" s="54" t="s">
        <v>36</v>
      </c>
      <c r="U249" s="248" t="s">
        <v>37</v>
      </c>
      <c r="V249" s="56"/>
      <c r="W249" s="66"/>
      <c r="X249" s="249"/>
      <c r="Y249" s="249"/>
      <c r="Z249" s="68"/>
      <c r="AA249" s="68"/>
      <c r="AB249" s="60"/>
      <c r="AC249" s="60"/>
      <c r="AD249" s="60"/>
      <c r="AE249" s="60"/>
      <c r="AF249" s="60"/>
      <c r="AG249" s="60"/>
      <c r="AH249" s="60"/>
      <c r="AI249" s="60"/>
      <c r="AJ249" s="60"/>
      <c r="AK249" s="60"/>
      <c r="AL249" s="60"/>
      <c r="AM249" s="61"/>
      <c r="AN249" s="61"/>
      <c r="AO249" s="61"/>
      <c r="AP249" s="61"/>
      <c r="AQ249" s="61"/>
      <c r="AR249" s="61"/>
      <c r="AS249" s="61"/>
      <c r="AT249" s="61"/>
      <c r="AU249" s="61"/>
      <c r="AV249" s="61"/>
      <c r="AW249" s="61"/>
      <c r="AX249" s="61"/>
      <c r="AY249" s="61"/>
      <c r="AZ249" s="61"/>
      <c r="BA249" s="61"/>
      <c r="BB249" s="61"/>
      <c r="BC249" s="61"/>
      <c r="BD249" s="61"/>
      <c r="BE249" s="61"/>
      <c r="BF249" s="61"/>
      <c r="BG249" s="61"/>
      <c r="BH249" s="61"/>
      <c r="BI249" s="61"/>
      <c r="BJ249" s="61"/>
      <c r="BK249" s="61"/>
      <c r="BL249" s="61"/>
      <c r="BM249" s="61"/>
      <c r="BN249" s="61"/>
    </row>
    <row r="250" ht="22.5" hidden="1" customHeight="1">
      <c r="A250" s="308" t="s">
        <v>626</v>
      </c>
      <c r="B250" s="240"/>
      <c r="C250" s="62" t="s">
        <v>628</v>
      </c>
      <c r="D250" s="242">
        <v>2253.0</v>
      </c>
      <c r="E250" s="43" t="s">
        <v>29</v>
      </c>
      <c r="F250" s="243" t="s">
        <v>96</v>
      </c>
      <c r="G250" s="244" t="s">
        <v>629</v>
      </c>
      <c r="H250" s="46" t="s">
        <v>31</v>
      </c>
      <c r="I250" s="46" t="s">
        <v>132</v>
      </c>
      <c r="J250" s="40">
        <v>2500.0</v>
      </c>
      <c r="K250" s="245">
        <v>367.0</v>
      </c>
      <c r="L250" s="48">
        <v>46155.0</v>
      </c>
      <c r="M250" s="48">
        <v>46160.0</v>
      </c>
      <c r="N250" s="246"/>
      <c r="O250" s="50" t="s">
        <v>34</v>
      </c>
      <c r="P250" s="51"/>
      <c r="Q250" s="309"/>
      <c r="R250" s="247" t="s">
        <v>133</v>
      </c>
      <c r="S250" s="54" t="s">
        <v>36</v>
      </c>
      <c r="T250" s="54" t="s">
        <v>36</v>
      </c>
      <c r="U250" s="248" t="s">
        <v>37</v>
      </c>
      <c r="V250" s="56"/>
      <c r="W250" s="66"/>
      <c r="X250" s="249"/>
      <c r="Y250" s="249"/>
      <c r="Z250" s="68"/>
      <c r="AA250" s="68"/>
      <c r="AB250" s="60"/>
      <c r="AC250" s="60"/>
      <c r="AD250" s="60"/>
      <c r="AE250" s="60"/>
      <c r="AF250" s="60"/>
      <c r="AG250" s="60"/>
      <c r="AH250" s="60"/>
      <c r="AI250" s="60"/>
      <c r="AJ250" s="60"/>
      <c r="AK250" s="60"/>
      <c r="AL250" s="60"/>
      <c r="AM250" s="61"/>
      <c r="AN250" s="61"/>
      <c r="AO250" s="61"/>
      <c r="AP250" s="61"/>
      <c r="AQ250" s="61"/>
      <c r="AR250" s="61"/>
      <c r="AS250" s="61"/>
      <c r="AT250" s="61"/>
      <c r="AU250" s="61"/>
      <c r="AV250" s="61"/>
      <c r="AW250" s="61"/>
      <c r="AX250" s="61"/>
      <c r="AY250" s="61"/>
      <c r="AZ250" s="61"/>
      <c r="BA250" s="61"/>
      <c r="BB250" s="61"/>
      <c r="BC250" s="61"/>
      <c r="BD250" s="61"/>
      <c r="BE250" s="61"/>
      <c r="BF250" s="61"/>
      <c r="BG250" s="61"/>
      <c r="BH250" s="61"/>
      <c r="BI250" s="61"/>
      <c r="BJ250" s="61"/>
      <c r="BK250" s="61"/>
      <c r="BL250" s="61"/>
      <c r="BM250" s="61"/>
      <c r="BN250" s="61"/>
    </row>
    <row r="251" ht="22.5" hidden="1" customHeight="1">
      <c r="A251" s="310" t="s">
        <v>574</v>
      </c>
      <c r="B251" s="193"/>
      <c r="C251" s="194" t="s">
        <v>630</v>
      </c>
      <c r="D251" s="195">
        <v>2284.0</v>
      </c>
      <c r="E251" s="73" t="s">
        <v>29</v>
      </c>
      <c r="F251" s="74" t="s">
        <v>30</v>
      </c>
      <c r="G251" s="196" t="s">
        <v>138</v>
      </c>
      <c r="H251" s="76" t="s">
        <v>31</v>
      </c>
      <c r="I251" s="76" t="s">
        <v>132</v>
      </c>
      <c r="J251" s="70">
        <v>40000.0</v>
      </c>
      <c r="K251" s="197">
        <v>1811.0</v>
      </c>
      <c r="L251" s="78">
        <v>46149.0</v>
      </c>
      <c r="M251" s="78">
        <v>46154.0</v>
      </c>
      <c r="N251" s="198"/>
      <c r="O251" s="284" t="s">
        <v>34</v>
      </c>
      <c r="P251" s="199"/>
      <c r="Q251" s="52" t="s">
        <v>35</v>
      </c>
      <c r="R251" s="200"/>
      <c r="S251" s="82" t="s">
        <v>35</v>
      </c>
      <c r="T251" s="82" t="s">
        <v>36</v>
      </c>
      <c r="U251" s="201" t="s">
        <v>37</v>
      </c>
      <c r="V251" s="84"/>
      <c r="W251" s="85"/>
      <c r="X251" s="202"/>
      <c r="Y251" s="259">
        <v>8.0</v>
      </c>
      <c r="Z251" s="260">
        <v>16.0</v>
      </c>
      <c r="AA251" s="203"/>
      <c r="AB251" s="88"/>
      <c r="AC251" s="88"/>
      <c r="AD251" s="88"/>
      <c r="AE251" s="88"/>
      <c r="AF251" s="88"/>
      <c r="AG251" s="88"/>
      <c r="AH251" s="88"/>
      <c r="AI251" s="88"/>
      <c r="AJ251" s="88"/>
      <c r="AK251" s="88"/>
      <c r="AL251" s="88"/>
      <c r="AM251" s="89"/>
      <c r="AN251" s="89"/>
      <c r="AO251" s="89"/>
      <c r="AP251" s="89"/>
      <c r="AQ251" s="89"/>
      <c r="AR251" s="89"/>
      <c r="AS251" s="89"/>
      <c r="AT251" s="89"/>
      <c r="AU251" s="89"/>
      <c r="AV251" s="89"/>
      <c r="AW251" s="89"/>
      <c r="AX251" s="89"/>
      <c r="AY251" s="89"/>
      <c r="AZ251" s="89"/>
      <c r="BA251" s="89"/>
      <c r="BB251" s="89"/>
      <c r="BC251" s="89"/>
      <c r="BD251" s="89"/>
      <c r="BE251" s="89"/>
      <c r="BF251" s="89"/>
      <c r="BG251" s="89"/>
      <c r="BH251" s="89"/>
      <c r="BI251" s="89"/>
      <c r="BJ251" s="89"/>
      <c r="BK251" s="89"/>
      <c r="BL251" s="89"/>
      <c r="BM251" s="89"/>
      <c r="BN251" s="89"/>
    </row>
    <row r="252" ht="22.5" hidden="1" customHeight="1">
      <c r="A252" s="310" t="s">
        <v>574</v>
      </c>
      <c r="B252" s="193"/>
      <c r="C252" s="194" t="s">
        <v>631</v>
      </c>
      <c r="D252" s="195">
        <v>2285.0</v>
      </c>
      <c r="E252" s="73" t="s">
        <v>29</v>
      </c>
      <c r="F252" s="74" t="s">
        <v>30</v>
      </c>
      <c r="G252" s="196" t="s">
        <v>138</v>
      </c>
      <c r="H252" s="76" t="s">
        <v>31</v>
      </c>
      <c r="I252" s="76" t="s">
        <v>132</v>
      </c>
      <c r="J252" s="70">
        <v>10000.0</v>
      </c>
      <c r="K252" s="197">
        <v>689.0</v>
      </c>
      <c r="L252" s="78">
        <v>46148.0</v>
      </c>
      <c r="M252" s="78">
        <v>46154.0</v>
      </c>
      <c r="N252" s="198"/>
      <c r="O252" s="80" t="s">
        <v>34</v>
      </c>
      <c r="P252" s="199"/>
      <c r="Q252" s="52" t="s">
        <v>35</v>
      </c>
      <c r="R252" s="200"/>
      <c r="S252" s="82" t="s">
        <v>35</v>
      </c>
      <c r="T252" s="82" t="s">
        <v>36</v>
      </c>
      <c r="U252" s="201" t="s">
        <v>37</v>
      </c>
      <c r="V252" s="84"/>
      <c r="W252" s="85"/>
      <c r="X252" s="202"/>
      <c r="Y252" s="202">
        <f t="shared" ref="Y252:Y253" si="13">Z252/2</f>
        <v>2</v>
      </c>
      <c r="Z252" s="203">
        <f t="shared" ref="Z252:Z253" si="14">J252/2500</f>
        <v>4</v>
      </c>
      <c r="AA252" s="203"/>
      <c r="AB252" s="88"/>
      <c r="AC252" s="88"/>
      <c r="AD252" s="88"/>
      <c r="AE252" s="88"/>
      <c r="AF252" s="88"/>
      <c r="AG252" s="88"/>
      <c r="AH252" s="88"/>
      <c r="AI252" s="88"/>
      <c r="AJ252" s="88"/>
      <c r="AK252" s="88"/>
      <c r="AL252" s="88"/>
      <c r="AM252" s="89"/>
      <c r="AN252" s="89"/>
      <c r="AO252" s="89"/>
      <c r="AP252" s="89"/>
      <c r="AQ252" s="89"/>
      <c r="AR252" s="89"/>
      <c r="AS252" s="89"/>
      <c r="AT252" s="89"/>
      <c r="AU252" s="89"/>
      <c r="AV252" s="89"/>
      <c r="AW252" s="89"/>
      <c r="AX252" s="89"/>
      <c r="AY252" s="89"/>
      <c r="AZ252" s="89"/>
      <c r="BA252" s="89"/>
      <c r="BB252" s="89"/>
      <c r="BC252" s="89"/>
      <c r="BD252" s="89"/>
      <c r="BE252" s="89"/>
      <c r="BF252" s="89"/>
      <c r="BG252" s="89"/>
      <c r="BH252" s="89"/>
      <c r="BI252" s="89"/>
      <c r="BJ252" s="89"/>
      <c r="BK252" s="89"/>
      <c r="BL252" s="89"/>
      <c r="BM252" s="89"/>
      <c r="BN252" s="89"/>
    </row>
    <row r="253" ht="22.5" hidden="1" customHeight="1">
      <c r="A253" s="310" t="s">
        <v>574</v>
      </c>
      <c r="B253" s="193"/>
      <c r="C253" s="194" t="s">
        <v>632</v>
      </c>
      <c r="D253" s="195">
        <v>2286.0</v>
      </c>
      <c r="E253" s="73" t="s">
        <v>29</v>
      </c>
      <c r="F253" s="74" t="s">
        <v>30</v>
      </c>
      <c r="G253" s="196" t="s">
        <v>138</v>
      </c>
      <c r="H253" s="76" t="s">
        <v>31</v>
      </c>
      <c r="I253" s="76" t="s">
        <v>132</v>
      </c>
      <c r="J253" s="70">
        <v>30000.0</v>
      </c>
      <c r="K253" s="197">
        <v>1487.0</v>
      </c>
      <c r="L253" s="78">
        <v>46149.0</v>
      </c>
      <c r="M253" s="78">
        <v>46154.0</v>
      </c>
      <c r="N253" s="198"/>
      <c r="O253" s="80" t="s">
        <v>34</v>
      </c>
      <c r="P253" s="199"/>
      <c r="Q253" s="52" t="s">
        <v>35</v>
      </c>
      <c r="R253" s="200"/>
      <c r="S253" s="82" t="s">
        <v>35</v>
      </c>
      <c r="T253" s="82" t="s">
        <v>36</v>
      </c>
      <c r="U253" s="201" t="s">
        <v>37</v>
      </c>
      <c r="V253" s="84"/>
      <c r="W253" s="85"/>
      <c r="X253" s="202"/>
      <c r="Y253" s="202">
        <f t="shared" si="13"/>
        <v>6</v>
      </c>
      <c r="Z253" s="203">
        <f t="shared" si="14"/>
        <v>12</v>
      </c>
      <c r="AA253" s="203"/>
      <c r="AB253" s="88"/>
      <c r="AC253" s="88"/>
      <c r="AD253" s="88"/>
      <c r="AE253" s="88"/>
      <c r="AF253" s="88"/>
      <c r="AG253" s="88"/>
      <c r="AH253" s="88"/>
      <c r="AI253" s="88"/>
      <c r="AJ253" s="88"/>
      <c r="AK253" s="88"/>
      <c r="AL253" s="88"/>
      <c r="AM253" s="89"/>
      <c r="AN253" s="89"/>
      <c r="AO253" s="89"/>
      <c r="AP253" s="89"/>
      <c r="AQ253" s="89"/>
      <c r="AR253" s="89"/>
      <c r="AS253" s="89"/>
      <c r="AT253" s="89"/>
      <c r="AU253" s="89"/>
      <c r="AV253" s="89"/>
      <c r="AW253" s="89"/>
      <c r="AX253" s="89"/>
      <c r="AY253" s="89"/>
      <c r="AZ253" s="89"/>
      <c r="BA253" s="89"/>
      <c r="BB253" s="89"/>
      <c r="BC253" s="89"/>
      <c r="BD253" s="89"/>
      <c r="BE253" s="89"/>
      <c r="BF253" s="89"/>
      <c r="BG253" s="89"/>
      <c r="BH253" s="89"/>
      <c r="BI253" s="89"/>
      <c r="BJ253" s="89"/>
      <c r="BK253" s="89"/>
      <c r="BL253" s="89"/>
      <c r="BM253" s="89"/>
      <c r="BN253" s="89"/>
    </row>
    <row r="254" ht="22.5" hidden="1" customHeight="1">
      <c r="A254" s="310" t="s">
        <v>574</v>
      </c>
      <c r="B254" s="193"/>
      <c r="C254" s="194" t="s">
        <v>633</v>
      </c>
      <c r="D254" s="195">
        <v>2287.0</v>
      </c>
      <c r="E254" s="73" t="s">
        <v>29</v>
      </c>
      <c r="F254" s="74" t="s">
        <v>30</v>
      </c>
      <c r="G254" s="196" t="s">
        <v>234</v>
      </c>
      <c r="H254" s="76" t="s">
        <v>31</v>
      </c>
      <c r="I254" s="76" t="s">
        <v>98</v>
      </c>
      <c r="J254" s="70">
        <v>20000.0</v>
      </c>
      <c r="K254" s="197">
        <v>1998.0</v>
      </c>
      <c r="L254" s="78">
        <v>46148.0</v>
      </c>
      <c r="M254" s="78">
        <v>46154.0</v>
      </c>
      <c r="N254" s="198"/>
      <c r="O254" s="80" t="s">
        <v>34</v>
      </c>
      <c r="P254" s="199"/>
      <c r="Q254" s="52" t="s">
        <v>35</v>
      </c>
      <c r="R254" s="200"/>
      <c r="S254" s="82" t="s">
        <v>35</v>
      </c>
      <c r="T254" s="82" t="s">
        <v>36</v>
      </c>
      <c r="U254" s="201" t="s">
        <v>37</v>
      </c>
      <c r="V254" s="84"/>
      <c r="W254" s="85"/>
      <c r="X254" s="202"/>
      <c r="Y254" s="202"/>
      <c r="Z254" s="203"/>
      <c r="AA254" s="203"/>
      <c r="AB254" s="88"/>
      <c r="AC254" s="88"/>
      <c r="AD254" s="88"/>
      <c r="AE254" s="88"/>
      <c r="AF254" s="88"/>
      <c r="AG254" s="88"/>
      <c r="AH254" s="88"/>
      <c r="AI254" s="88"/>
      <c r="AJ254" s="88"/>
      <c r="AK254" s="88"/>
      <c r="AL254" s="88"/>
      <c r="AM254" s="89"/>
      <c r="AN254" s="89"/>
      <c r="AO254" s="89"/>
      <c r="AP254" s="89"/>
      <c r="AQ254" s="89"/>
      <c r="AR254" s="89"/>
      <c r="AS254" s="89"/>
      <c r="AT254" s="89"/>
      <c r="AU254" s="89"/>
      <c r="AV254" s="89"/>
      <c r="AW254" s="89"/>
      <c r="AX254" s="89"/>
      <c r="AY254" s="89"/>
      <c r="AZ254" s="89"/>
      <c r="BA254" s="89"/>
      <c r="BB254" s="89"/>
      <c r="BC254" s="89"/>
      <c r="BD254" s="89"/>
      <c r="BE254" s="89"/>
      <c r="BF254" s="89"/>
      <c r="BG254" s="89"/>
      <c r="BH254" s="89"/>
      <c r="BI254" s="89"/>
      <c r="BJ254" s="89"/>
      <c r="BK254" s="89"/>
      <c r="BL254" s="89"/>
      <c r="BM254" s="89"/>
      <c r="BN254" s="89"/>
    </row>
    <row r="255" ht="22.5" hidden="1" customHeight="1">
      <c r="A255" s="310" t="s">
        <v>574</v>
      </c>
      <c r="B255" s="71" t="s">
        <v>634</v>
      </c>
      <c r="C255" s="194" t="s">
        <v>635</v>
      </c>
      <c r="D255" s="195">
        <v>2288.0</v>
      </c>
      <c r="E255" s="73" t="s">
        <v>29</v>
      </c>
      <c r="F255" s="74" t="s">
        <v>30</v>
      </c>
      <c r="G255" s="196" t="s">
        <v>636</v>
      </c>
      <c r="H255" s="76" t="s">
        <v>31</v>
      </c>
      <c r="I255" s="76" t="s">
        <v>98</v>
      </c>
      <c r="J255" s="70">
        <v>20000.0</v>
      </c>
      <c r="K255" s="197">
        <v>1013.0</v>
      </c>
      <c r="L255" s="78">
        <v>46149.0</v>
      </c>
      <c r="M255" s="78">
        <v>46154.0</v>
      </c>
      <c r="N255" s="198"/>
      <c r="O255" s="284" t="s">
        <v>34</v>
      </c>
      <c r="P255" s="199"/>
      <c r="Q255" s="52" t="s">
        <v>35</v>
      </c>
      <c r="R255" s="200"/>
      <c r="S255" s="82" t="s">
        <v>35</v>
      </c>
      <c r="T255" s="82" t="s">
        <v>36</v>
      </c>
      <c r="U255" s="201" t="s">
        <v>37</v>
      </c>
      <c r="V255" s="84"/>
      <c r="W255" s="85"/>
      <c r="X255" s="202"/>
      <c r="Y255" s="259">
        <v>2.0</v>
      </c>
      <c r="Z255" s="203">
        <f t="shared" ref="Z255:Z258" si="15">J255/2500</f>
        <v>8</v>
      </c>
      <c r="AA255" s="203"/>
      <c r="AB255" s="88"/>
      <c r="AC255" s="88"/>
      <c r="AD255" s="88"/>
      <c r="AE255" s="88"/>
      <c r="AF255" s="88"/>
      <c r="AG255" s="88"/>
      <c r="AH255" s="88"/>
      <c r="AI255" s="88"/>
      <c r="AJ255" s="88"/>
      <c r="AK255" s="88"/>
      <c r="AL255" s="88"/>
      <c r="AM255" s="89"/>
      <c r="AN255" s="89"/>
      <c r="AO255" s="89"/>
      <c r="AP255" s="89"/>
      <c r="AQ255" s="89"/>
      <c r="AR255" s="89"/>
      <c r="AS255" s="89"/>
      <c r="AT255" s="89"/>
      <c r="AU255" s="89"/>
      <c r="AV255" s="89"/>
      <c r="AW255" s="89"/>
      <c r="AX255" s="89"/>
      <c r="AY255" s="89"/>
      <c r="AZ255" s="89"/>
      <c r="BA255" s="89"/>
      <c r="BB255" s="89"/>
      <c r="BC255" s="89"/>
      <c r="BD255" s="89"/>
      <c r="BE255" s="89"/>
      <c r="BF255" s="89"/>
      <c r="BG255" s="89"/>
      <c r="BH255" s="89"/>
      <c r="BI255" s="89"/>
      <c r="BJ255" s="89"/>
      <c r="BK255" s="89"/>
      <c r="BL255" s="89"/>
      <c r="BM255" s="89"/>
      <c r="BN255" s="89"/>
    </row>
    <row r="256" ht="22.5" hidden="1" customHeight="1">
      <c r="A256" s="310" t="s">
        <v>574</v>
      </c>
      <c r="B256" s="193"/>
      <c r="C256" s="194" t="s">
        <v>637</v>
      </c>
      <c r="D256" s="195">
        <v>2289.0</v>
      </c>
      <c r="E256" s="73" t="s">
        <v>29</v>
      </c>
      <c r="F256" s="74" t="s">
        <v>30</v>
      </c>
      <c r="G256" s="297" t="s">
        <v>131</v>
      </c>
      <c r="H256" s="76" t="s">
        <v>31</v>
      </c>
      <c r="I256" s="76" t="s">
        <v>132</v>
      </c>
      <c r="J256" s="70">
        <v>10000.0</v>
      </c>
      <c r="K256" s="197">
        <v>786.0</v>
      </c>
      <c r="L256" s="78">
        <v>46149.0</v>
      </c>
      <c r="M256" s="78">
        <v>46154.0</v>
      </c>
      <c r="N256" s="198"/>
      <c r="O256" s="80" t="s">
        <v>34</v>
      </c>
      <c r="P256" s="199"/>
      <c r="Q256" s="52" t="s">
        <v>35</v>
      </c>
      <c r="R256" s="200"/>
      <c r="S256" s="82" t="s">
        <v>35</v>
      </c>
      <c r="T256" s="82" t="s">
        <v>36</v>
      </c>
      <c r="U256" s="201" t="s">
        <v>37</v>
      </c>
      <c r="V256" s="84"/>
      <c r="W256" s="85"/>
      <c r="X256" s="202"/>
      <c r="Y256" s="259">
        <v>1.0</v>
      </c>
      <c r="Z256" s="203">
        <f t="shared" si="15"/>
        <v>4</v>
      </c>
      <c r="AA256" s="203"/>
      <c r="AB256" s="88"/>
      <c r="AC256" s="88"/>
      <c r="AD256" s="88"/>
      <c r="AE256" s="88"/>
      <c r="AF256" s="88"/>
      <c r="AG256" s="88"/>
      <c r="AH256" s="88"/>
      <c r="AI256" s="88"/>
      <c r="AJ256" s="88"/>
      <c r="AK256" s="88"/>
      <c r="AL256" s="88"/>
      <c r="AM256" s="89"/>
      <c r="AN256" s="89"/>
      <c r="AO256" s="89"/>
      <c r="AP256" s="89"/>
      <c r="AQ256" s="89"/>
      <c r="AR256" s="89"/>
      <c r="AS256" s="89"/>
      <c r="AT256" s="89"/>
      <c r="AU256" s="89"/>
      <c r="AV256" s="89"/>
      <c r="AW256" s="89"/>
      <c r="AX256" s="89"/>
      <c r="AY256" s="89"/>
      <c r="AZ256" s="89"/>
      <c r="BA256" s="89"/>
      <c r="BB256" s="89"/>
      <c r="BC256" s="89"/>
      <c r="BD256" s="89"/>
      <c r="BE256" s="89"/>
      <c r="BF256" s="89"/>
      <c r="BG256" s="89"/>
      <c r="BH256" s="89"/>
      <c r="BI256" s="89"/>
      <c r="BJ256" s="89"/>
      <c r="BK256" s="89"/>
      <c r="BL256" s="89"/>
      <c r="BM256" s="89"/>
      <c r="BN256" s="89"/>
    </row>
    <row r="257" ht="22.5" hidden="1" customHeight="1">
      <c r="A257" s="310" t="s">
        <v>574</v>
      </c>
      <c r="B257" s="193"/>
      <c r="C257" s="194" t="s">
        <v>638</v>
      </c>
      <c r="D257" s="195">
        <v>2290.0</v>
      </c>
      <c r="E257" s="73" t="s">
        <v>29</v>
      </c>
      <c r="F257" s="74" t="s">
        <v>30</v>
      </c>
      <c r="G257" s="196" t="s">
        <v>81</v>
      </c>
      <c r="H257" s="76" t="s">
        <v>31</v>
      </c>
      <c r="I257" s="76" t="s">
        <v>132</v>
      </c>
      <c r="J257" s="70">
        <v>10000.0</v>
      </c>
      <c r="K257" s="197">
        <v>929.0</v>
      </c>
      <c r="L257" s="78">
        <v>46148.0</v>
      </c>
      <c r="M257" s="78">
        <v>46154.0</v>
      </c>
      <c r="N257" s="198"/>
      <c r="O257" s="80" t="s">
        <v>34</v>
      </c>
      <c r="P257" s="199"/>
      <c r="Q257" s="52" t="s">
        <v>35</v>
      </c>
      <c r="R257" s="52" t="s">
        <v>133</v>
      </c>
      <c r="S257" s="82" t="s">
        <v>36</v>
      </c>
      <c r="T257" s="82" t="s">
        <v>36</v>
      </c>
      <c r="U257" s="201" t="s">
        <v>37</v>
      </c>
      <c r="V257" s="84"/>
      <c r="W257" s="85"/>
      <c r="X257" s="202"/>
      <c r="Y257" s="259">
        <v>1.0</v>
      </c>
      <c r="Z257" s="203">
        <f t="shared" si="15"/>
        <v>4</v>
      </c>
      <c r="AA257" s="260" t="s">
        <v>639</v>
      </c>
      <c r="AB257" s="88"/>
      <c r="AC257" s="88"/>
      <c r="AD257" s="88"/>
      <c r="AE257" s="88"/>
      <c r="AF257" s="88"/>
      <c r="AG257" s="88"/>
      <c r="AH257" s="88"/>
      <c r="AI257" s="88"/>
      <c r="AJ257" s="88"/>
      <c r="AK257" s="88"/>
      <c r="AL257" s="88"/>
      <c r="AM257" s="89"/>
      <c r="AN257" s="89"/>
      <c r="AO257" s="89"/>
      <c r="AP257" s="89"/>
      <c r="AQ257" s="89"/>
      <c r="AR257" s="89"/>
      <c r="AS257" s="89"/>
      <c r="AT257" s="89"/>
      <c r="AU257" s="89"/>
      <c r="AV257" s="89"/>
      <c r="AW257" s="89"/>
      <c r="AX257" s="89"/>
      <c r="AY257" s="89"/>
      <c r="AZ257" s="89"/>
      <c r="BA257" s="89"/>
      <c r="BB257" s="89"/>
      <c r="BC257" s="89"/>
      <c r="BD257" s="89"/>
      <c r="BE257" s="89"/>
      <c r="BF257" s="89"/>
      <c r="BG257" s="89"/>
      <c r="BH257" s="89"/>
      <c r="BI257" s="89"/>
      <c r="BJ257" s="89"/>
      <c r="BK257" s="89"/>
      <c r="BL257" s="89"/>
      <c r="BM257" s="89"/>
      <c r="BN257" s="89"/>
    </row>
    <row r="258" ht="22.5" hidden="1" customHeight="1">
      <c r="A258" s="310" t="s">
        <v>574</v>
      </c>
      <c r="B258" s="193"/>
      <c r="C258" s="194" t="s">
        <v>640</v>
      </c>
      <c r="D258" s="195">
        <v>2291.0</v>
      </c>
      <c r="E258" s="73" t="s">
        <v>29</v>
      </c>
      <c r="F258" s="74" t="s">
        <v>30</v>
      </c>
      <c r="G258" s="196" t="s">
        <v>308</v>
      </c>
      <c r="H258" s="76" t="s">
        <v>31</v>
      </c>
      <c r="I258" s="76" t="s">
        <v>132</v>
      </c>
      <c r="J258" s="70">
        <v>10000.0</v>
      </c>
      <c r="K258" s="197">
        <v>873.0</v>
      </c>
      <c r="L258" s="78">
        <v>46149.0</v>
      </c>
      <c r="M258" s="78">
        <v>46154.0</v>
      </c>
      <c r="N258" s="198"/>
      <c r="O258" s="284" t="s">
        <v>34</v>
      </c>
      <c r="P258" s="199"/>
      <c r="Q258" s="52" t="s">
        <v>35</v>
      </c>
      <c r="R258" s="200"/>
      <c r="S258" s="82" t="s">
        <v>35</v>
      </c>
      <c r="T258" s="82" t="s">
        <v>36</v>
      </c>
      <c r="U258" s="201" t="s">
        <v>37</v>
      </c>
      <c r="V258" s="84"/>
      <c r="W258" s="85"/>
      <c r="X258" s="202"/>
      <c r="Y258" s="202">
        <f>Z258/2</f>
        <v>2</v>
      </c>
      <c r="Z258" s="203">
        <f t="shared" si="15"/>
        <v>4</v>
      </c>
      <c r="AA258" s="203"/>
      <c r="AB258" s="88"/>
      <c r="AC258" s="88"/>
      <c r="AD258" s="88"/>
      <c r="AE258" s="88"/>
      <c r="AF258" s="88"/>
      <c r="AG258" s="88"/>
      <c r="AH258" s="88"/>
      <c r="AI258" s="88"/>
      <c r="AJ258" s="88"/>
      <c r="AK258" s="88"/>
      <c r="AL258" s="88"/>
      <c r="AM258" s="89"/>
      <c r="AN258" s="89"/>
      <c r="AO258" s="89"/>
      <c r="AP258" s="89"/>
      <c r="AQ258" s="89"/>
      <c r="AR258" s="89"/>
      <c r="AS258" s="89"/>
      <c r="AT258" s="89"/>
      <c r="AU258" s="89"/>
      <c r="AV258" s="89"/>
      <c r="AW258" s="89"/>
      <c r="AX258" s="89"/>
      <c r="AY258" s="89"/>
      <c r="AZ258" s="89"/>
      <c r="BA258" s="89"/>
      <c r="BB258" s="89"/>
      <c r="BC258" s="89"/>
      <c r="BD258" s="89"/>
      <c r="BE258" s="89"/>
      <c r="BF258" s="89"/>
      <c r="BG258" s="89"/>
      <c r="BH258" s="89"/>
      <c r="BI258" s="89"/>
      <c r="BJ258" s="89"/>
      <c r="BK258" s="89"/>
      <c r="BL258" s="89"/>
      <c r="BM258" s="89"/>
      <c r="BN258" s="89"/>
    </row>
    <row r="259" ht="22.5" hidden="1" customHeight="1">
      <c r="A259" s="298" t="s">
        <v>162</v>
      </c>
      <c r="B259" s="104"/>
      <c r="C259" s="105" t="s">
        <v>641</v>
      </c>
      <c r="D259" s="106">
        <v>2297.0</v>
      </c>
      <c r="E259" s="107" t="s">
        <v>164</v>
      </c>
      <c r="F259" s="108" t="s">
        <v>72</v>
      </c>
      <c r="G259" s="109" t="s">
        <v>642</v>
      </c>
      <c r="H259" s="110" t="s">
        <v>31</v>
      </c>
      <c r="I259" s="110" t="s">
        <v>98</v>
      </c>
      <c r="J259" s="111" t="s">
        <v>431</v>
      </c>
      <c r="K259" s="112">
        <v>2951.0</v>
      </c>
      <c r="L259" s="113">
        <v>46156.0</v>
      </c>
      <c r="M259" s="113">
        <v>46167.0</v>
      </c>
      <c r="N259" s="114"/>
      <c r="O259" s="115" t="s">
        <v>99</v>
      </c>
      <c r="P259" s="116"/>
      <c r="Q259" s="167" t="s">
        <v>35</v>
      </c>
      <c r="R259" s="167" t="s">
        <v>133</v>
      </c>
      <c r="S259" s="126" t="s">
        <v>36</v>
      </c>
      <c r="T259" s="126" t="s">
        <v>36</v>
      </c>
      <c r="U259" s="127" t="s">
        <v>37</v>
      </c>
      <c r="V259" s="128"/>
      <c r="W259" s="129" t="s">
        <v>262</v>
      </c>
      <c r="X259" s="255" t="s">
        <v>178</v>
      </c>
      <c r="Y259" s="164" t="s">
        <v>643</v>
      </c>
      <c r="Z259" s="164" t="s">
        <v>643</v>
      </c>
      <c r="AA259" s="164" t="s">
        <v>644</v>
      </c>
      <c r="AB259" s="184"/>
      <c r="AC259" s="184"/>
      <c r="AD259" s="184"/>
      <c r="AE259" s="184"/>
      <c r="AF259" s="184"/>
      <c r="AG259" s="184"/>
      <c r="AH259" s="184"/>
      <c r="AI259" s="184"/>
      <c r="AJ259" s="184"/>
      <c r="AK259" s="184"/>
      <c r="AL259" s="184"/>
      <c r="AM259" s="185"/>
      <c r="AN259" s="185"/>
      <c r="AO259" s="185"/>
      <c r="AP259" s="185"/>
      <c r="AQ259" s="185"/>
      <c r="AR259" s="185"/>
      <c r="AS259" s="185"/>
      <c r="AT259" s="185"/>
      <c r="AU259" s="185"/>
      <c r="AV259" s="185"/>
      <c r="AW259" s="185"/>
      <c r="AX259" s="185"/>
      <c r="AY259" s="185"/>
      <c r="AZ259" s="185"/>
      <c r="BA259" s="185"/>
      <c r="BB259" s="185"/>
      <c r="BC259" s="185"/>
      <c r="BD259" s="185"/>
      <c r="BE259" s="185"/>
      <c r="BF259" s="185"/>
      <c r="BG259" s="185"/>
      <c r="BH259" s="185"/>
      <c r="BI259" s="185"/>
      <c r="BJ259" s="185"/>
      <c r="BK259" s="185"/>
      <c r="BL259" s="185"/>
      <c r="BM259" s="185"/>
      <c r="BN259" s="185"/>
    </row>
    <row r="260" ht="22.5" hidden="1" customHeight="1">
      <c r="A260" s="298" t="s">
        <v>162</v>
      </c>
      <c r="B260" s="104"/>
      <c r="C260" s="105" t="s">
        <v>645</v>
      </c>
      <c r="D260" s="106">
        <v>2298.0</v>
      </c>
      <c r="E260" s="107" t="s">
        <v>164</v>
      </c>
      <c r="F260" s="108" t="s">
        <v>72</v>
      </c>
      <c r="G260" s="109" t="s">
        <v>642</v>
      </c>
      <c r="H260" s="110" t="s">
        <v>31</v>
      </c>
      <c r="I260" s="110" t="s">
        <v>98</v>
      </c>
      <c r="J260" s="111" t="s">
        <v>431</v>
      </c>
      <c r="K260" s="112">
        <v>2935.0</v>
      </c>
      <c r="L260" s="113">
        <v>46156.0</v>
      </c>
      <c r="M260" s="113">
        <v>46167.0</v>
      </c>
      <c r="N260" s="114"/>
      <c r="O260" s="115" t="s">
        <v>99</v>
      </c>
      <c r="P260" s="116"/>
      <c r="Q260" s="167" t="s">
        <v>35</v>
      </c>
      <c r="R260" s="167" t="s">
        <v>133</v>
      </c>
      <c r="S260" s="126" t="s">
        <v>36</v>
      </c>
      <c r="T260" s="126" t="s">
        <v>36</v>
      </c>
      <c r="U260" s="127" t="s">
        <v>37</v>
      </c>
      <c r="V260" s="128"/>
      <c r="W260" s="129" t="s">
        <v>262</v>
      </c>
      <c r="X260" s="257" t="s">
        <v>178</v>
      </c>
      <c r="Y260" s="164" t="s">
        <v>643</v>
      </c>
      <c r="Z260" s="164" t="s">
        <v>643</v>
      </c>
      <c r="AA260" s="164" t="s">
        <v>644</v>
      </c>
      <c r="AB260" s="122"/>
      <c r="AC260" s="122"/>
      <c r="AD260" s="122"/>
      <c r="AE260" s="122"/>
      <c r="AF260" s="122"/>
      <c r="AG260" s="122"/>
      <c r="AH260" s="122"/>
      <c r="AI260" s="122"/>
      <c r="AJ260" s="122"/>
      <c r="AK260" s="122"/>
      <c r="AL260" s="122"/>
    </row>
    <row r="261" ht="22.5" hidden="1" customHeight="1">
      <c r="A261" s="298" t="s">
        <v>162</v>
      </c>
      <c r="B261" s="104"/>
      <c r="C261" s="105" t="s">
        <v>646</v>
      </c>
      <c r="D261" s="106">
        <v>2322.0</v>
      </c>
      <c r="E261" s="107" t="s">
        <v>164</v>
      </c>
      <c r="F261" s="108" t="s">
        <v>72</v>
      </c>
      <c r="G261" s="109" t="s">
        <v>647</v>
      </c>
      <c r="H261" s="110" t="s">
        <v>31</v>
      </c>
      <c r="I261" s="110" t="s">
        <v>98</v>
      </c>
      <c r="J261" s="111" t="s">
        <v>84</v>
      </c>
      <c r="K261" s="112">
        <v>870.0</v>
      </c>
      <c r="L261" s="113">
        <v>46156.0</v>
      </c>
      <c r="M261" s="113">
        <v>46167.0</v>
      </c>
      <c r="N261" s="114"/>
      <c r="O261" s="115" t="s">
        <v>99</v>
      </c>
      <c r="P261" s="116"/>
      <c r="Q261" s="167" t="s">
        <v>35</v>
      </c>
      <c r="R261" s="167" t="s">
        <v>133</v>
      </c>
      <c r="S261" s="126" t="s">
        <v>36</v>
      </c>
      <c r="T261" s="126" t="s">
        <v>36</v>
      </c>
      <c r="U261" s="127" t="s">
        <v>37</v>
      </c>
      <c r="V261" s="128"/>
      <c r="W261" s="129" t="s">
        <v>262</v>
      </c>
      <c r="X261" s="257" t="s">
        <v>178</v>
      </c>
      <c r="Y261" s="164" t="s">
        <v>643</v>
      </c>
      <c r="Z261" s="164" t="s">
        <v>643</v>
      </c>
      <c r="AA261" s="164" t="s">
        <v>644</v>
      </c>
      <c r="AB261" s="122"/>
      <c r="AC261" s="122"/>
      <c r="AD261" s="311"/>
      <c r="AE261" s="312"/>
      <c r="AF261" s="313"/>
      <c r="AG261" s="314"/>
      <c r="AH261" s="315"/>
      <c r="AI261" s="316"/>
      <c r="AJ261" s="317"/>
      <c r="AK261" s="318"/>
      <c r="AL261" s="319"/>
      <c r="AM261" s="320"/>
      <c r="AN261" s="321"/>
      <c r="AO261" s="322"/>
      <c r="AP261" s="322"/>
      <c r="AQ261" s="323"/>
      <c r="AR261" s="324"/>
      <c r="AS261" s="325"/>
      <c r="AT261" s="326"/>
      <c r="AU261" s="326"/>
      <c r="AV261" s="327"/>
      <c r="AW261" s="327"/>
      <c r="AX261" s="328"/>
      <c r="AY261" s="329"/>
      <c r="AZ261" s="122"/>
      <c r="BA261" s="330"/>
      <c r="BB261" s="331"/>
      <c r="BC261" s="332"/>
      <c r="BD261" s="184"/>
      <c r="BE261" s="184"/>
      <c r="BF261" s="184"/>
      <c r="BG261" s="184"/>
      <c r="BH261" s="184"/>
      <c r="BI261" s="184"/>
      <c r="BJ261" s="184"/>
      <c r="BK261" s="184"/>
      <c r="BL261" s="184"/>
      <c r="BM261" s="184"/>
      <c r="BN261" s="184"/>
    </row>
    <row r="262" ht="22.5" hidden="1" customHeight="1">
      <c r="A262" s="298" t="s">
        <v>162</v>
      </c>
      <c r="B262" s="104"/>
      <c r="C262" s="105" t="s">
        <v>648</v>
      </c>
      <c r="D262" s="106">
        <v>2323.0</v>
      </c>
      <c r="E262" s="107" t="s">
        <v>164</v>
      </c>
      <c r="F262" s="108" t="s">
        <v>72</v>
      </c>
      <c r="G262" s="109" t="s">
        <v>647</v>
      </c>
      <c r="H262" s="110" t="s">
        <v>31</v>
      </c>
      <c r="I262" s="110" t="s">
        <v>98</v>
      </c>
      <c r="J262" s="111" t="s">
        <v>649</v>
      </c>
      <c r="K262" s="112">
        <v>1764.0</v>
      </c>
      <c r="L262" s="113">
        <v>46156.0</v>
      </c>
      <c r="M262" s="113">
        <v>46167.0</v>
      </c>
      <c r="N262" s="114"/>
      <c r="O262" s="115" t="s">
        <v>99</v>
      </c>
      <c r="P262" s="116"/>
      <c r="Q262" s="167" t="s">
        <v>35</v>
      </c>
      <c r="R262" s="167" t="s">
        <v>133</v>
      </c>
      <c r="S262" s="126" t="s">
        <v>36</v>
      </c>
      <c r="T262" s="126" t="s">
        <v>36</v>
      </c>
      <c r="U262" s="127" t="s">
        <v>37</v>
      </c>
      <c r="V262" s="128"/>
      <c r="W262" s="129" t="s">
        <v>262</v>
      </c>
      <c r="X262" s="257" t="s">
        <v>178</v>
      </c>
      <c r="Y262" s="164" t="s">
        <v>643</v>
      </c>
      <c r="Z262" s="164" t="s">
        <v>643</v>
      </c>
      <c r="AA262" s="164" t="s">
        <v>644</v>
      </c>
      <c r="AB262" s="184"/>
      <c r="AC262" s="184"/>
      <c r="AD262" s="184"/>
      <c r="AE262" s="184"/>
      <c r="AF262" s="184"/>
      <c r="AG262" s="184"/>
      <c r="AH262" s="184"/>
      <c r="AI262" s="184"/>
      <c r="AJ262" s="184"/>
      <c r="AK262" s="184"/>
      <c r="AL262" s="184"/>
      <c r="AM262" s="185"/>
      <c r="AN262" s="185"/>
      <c r="AO262" s="185"/>
      <c r="AP262" s="185"/>
      <c r="AQ262" s="185"/>
      <c r="AR262" s="185"/>
      <c r="AS262" s="185"/>
      <c r="AT262" s="185"/>
      <c r="AU262" s="185"/>
      <c r="AV262" s="185"/>
      <c r="AW262" s="185"/>
      <c r="AX262" s="185"/>
      <c r="AY262" s="185"/>
      <c r="AZ262" s="185"/>
      <c r="BA262" s="185"/>
      <c r="BB262" s="185"/>
      <c r="BC262" s="185"/>
      <c r="BD262" s="185"/>
      <c r="BE262" s="185"/>
      <c r="BF262" s="185"/>
      <c r="BG262" s="185"/>
      <c r="BH262" s="185"/>
      <c r="BI262" s="185"/>
      <c r="BJ262" s="185"/>
      <c r="BK262" s="185"/>
      <c r="BL262" s="185"/>
      <c r="BM262" s="185"/>
      <c r="BN262" s="185"/>
    </row>
    <row r="263" ht="22.5" hidden="1" customHeight="1">
      <c r="A263" s="298" t="s">
        <v>162</v>
      </c>
      <c r="B263" s="104"/>
      <c r="C263" s="105" t="s">
        <v>650</v>
      </c>
      <c r="D263" s="106">
        <v>2324.0</v>
      </c>
      <c r="E263" s="107" t="s">
        <v>164</v>
      </c>
      <c r="F263" s="108" t="s">
        <v>72</v>
      </c>
      <c r="G263" s="109" t="s">
        <v>647</v>
      </c>
      <c r="H263" s="110" t="s">
        <v>31</v>
      </c>
      <c r="I263" s="110" t="s">
        <v>98</v>
      </c>
      <c r="J263" s="111" t="s">
        <v>79</v>
      </c>
      <c r="K263" s="112">
        <v>1674.0</v>
      </c>
      <c r="L263" s="113">
        <v>46156.0</v>
      </c>
      <c r="M263" s="113">
        <v>46167.0</v>
      </c>
      <c r="N263" s="114"/>
      <c r="O263" s="115" t="s">
        <v>99</v>
      </c>
      <c r="P263" s="116"/>
      <c r="Q263" s="167" t="s">
        <v>35</v>
      </c>
      <c r="R263" s="167" t="s">
        <v>133</v>
      </c>
      <c r="S263" s="126" t="s">
        <v>36</v>
      </c>
      <c r="T263" s="126" t="s">
        <v>36</v>
      </c>
      <c r="U263" s="127" t="s">
        <v>37</v>
      </c>
      <c r="V263" s="128"/>
      <c r="W263" s="129" t="s">
        <v>262</v>
      </c>
      <c r="X263" s="257" t="s">
        <v>178</v>
      </c>
      <c r="Y263" s="164" t="s">
        <v>643</v>
      </c>
      <c r="Z263" s="164" t="s">
        <v>643</v>
      </c>
      <c r="AA263" s="164" t="s">
        <v>644</v>
      </c>
      <c r="AB263" s="88"/>
      <c r="AC263" s="88"/>
      <c r="AD263" s="88"/>
      <c r="AE263" s="88"/>
      <c r="AF263" s="88"/>
      <c r="AG263" s="88"/>
      <c r="AH263" s="88"/>
      <c r="AI263" s="88"/>
      <c r="AJ263" s="88"/>
      <c r="AK263" s="88"/>
      <c r="AL263" s="88"/>
      <c r="AM263" s="89"/>
      <c r="AN263" s="89"/>
      <c r="AO263" s="89"/>
      <c r="AP263" s="89"/>
      <c r="AQ263" s="89"/>
      <c r="AR263" s="89"/>
      <c r="AS263" s="89"/>
      <c r="AT263" s="89"/>
      <c r="AU263" s="89"/>
      <c r="AV263" s="89"/>
      <c r="AW263" s="89"/>
      <c r="AX263" s="89"/>
      <c r="AY263" s="89"/>
      <c r="AZ263" s="89"/>
      <c r="BA263" s="89"/>
      <c r="BB263" s="89"/>
      <c r="BC263" s="89"/>
      <c r="BD263" s="89"/>
      <c r="BE263" s="89"/>
      <c r="BF263" s="89"/>
      <c r="BG263" s="89"/>
      <c r="BH263" s="89"/>
      <c r="BI263" s="89"/>
      <c r="BJ263" s="89"/>
      <c r="BK263" s="89"/>
      <c r="BL263" s="89"/>
      <c r="BM263" s="89"/>
      <c r="BN263" s="89"/>
    </row>
    <row r="264" ht="22.5" hidden="1" customHeight="1">
      <c r="A264" s="298" t="s">
        <v>155</v>
      </c>
      <c r="B264" s="104"/>
      <c r="C264" s="105" t="s">
        <v>651</v>
      </c>
      <c r="D264" s="106">
        <v>2325.0</v>
      </c>
      <c r="E264" s="107" t="s">
        <v>157</v>
      </c>
      <c r="F264" s="108" t="s">
        <v>30</v>
      </c>
      <c r="G264" s="109" t="s">
        <v>551</v>
      </c>
      <c r="H264" s="110" t="s">
        <v>31</v>
      </c>
      <c r="I264" s="110" t="s">
        <v>98</v>
      </c>
      <c r="J264" s="111">
        <v>10000.0</v>
      </c>
      <c r="K264" s="112">
        <v>1957.0</v>
      </c>
      <c r="L264" s="113">
        <v>46154.0</v>
      </c>
      <c r="M264" s="113">
        <v>46160.0</v>
      </c>
      <c r="N264" s="114"/>
      <c r="O264" s="115" t="s">
        <v>652</v>
      </c>
      <c r="P264" s="116"/>
      <c r="Q264" s="107" t="s">
        <v>144</v>
      </c>
      <c r="R264" s="107" t="s">
        <v>133</v>
      </c>
      <c r="S264" s="115" t="s">
        <v>36</v>
      </c>
      <c r="T264" s="115" t="s">
        <v>36</v>
      </c>
      <c r="U264" s="118" t="s">
        <v>37</v>
      </c>
      <c r="V264" s="119"/>
      <c r="W264" s="111" t="s">
        <v>536</v>
      </c>
      <c r="X264" s="164" t="s">
        <v>160</v>
      </c>
      <c r="Y264" s="120"/>
      <c r="Z264" s="121"/>
      <c r="AA264" s="121"/>
      <c r="AB264" s="122"/>
      <c r="AC264" s="122"/>
      <c r="AD264" s="122"/>
      <c r="AE264" s="122"/>
      <c r="AF264" s="122"/>
      <c r="AG264" s="122"/>
      <c r="AH264" s="122"/>
      <c r="AI264" s="122"/>
      <c r="AJ264" s="122"/>
      <c r="AK264" s="122"/>
      <c r="AL264" s="122"/>
    </row>
    <row r="265" ht="22.5" hidden="1" customHeight="1">
      <c r="A265" s="103" t="s">
        <v>653</v>
      </c>
      <c r="B265" s="104"/>
      <c r="C265" s="105" t="s">
        <v>654</v>
      </c>
      <c r="D265" s="106">
        <v>2328.0</v>
      </c>
      <c r="E265" s="107" t="s">
        <v>95</v>
      </c>
      <c r="F265" s="108" t="s">
        <v>30</v>
      </c>
      <c r="G265" s="109" t="s">
        <v>443</v>
      </c>
      <c r="H265" s="110" t="s">
        <v>31</v>
      </c>
      <c r="I265" s="110" t="s">
        <v>98</v>
      </c>
      <c r="J265" s="111">
        <v>15000.0</v>
      </c>
      <c r="K265" s="112">
        <v>1477.0</v>
      </c>
      <c r="L265" s="113">
        <v>46155.0</v>
      </c>
      <c r="M265" s="113">
        <v>46157.0</v>
      </c>
      <c r="N265" s="114"/>
      <c r="O265" s="115" t="s">
        <v>99</v>
      </c>
      <c r="P265" s="116"/>
      <c r="Q265" s="107" t="s">
        <v>35</v>
      </c>
      <c r="R265" s="107" t="s">
        <v>133</v>
      </c>
      <c r="S265" s="115" t="s">
        <v>35</v>
      </c>
      <c r="T265" s="115" t="s">
        <v>36</v>
      </c>
      <c r="U265" s="118" t="s">
        <v>37</v>
      </c>
      <c r="V265" s="119"/>
      <c r="W265" s="111" t="s">
        <v>655</v>
      </c>
      <c r="X265" s="303" t="s">
        <v>656</v>
      </c>
      <c r="Y265" s="164" t="s">
        <v>657</v>
      </c>
      <c r="Z265" s="130" t="s">
        <v>658</v>
      </c>
      <c r="AA265" s="121"/>
      <c r="AB265" s="122"/>
      <c r="AC265" s="122"/>
      <c r="AD265" s="122"/>
      <c r="AE265" s="122"/>
      <c r="AF265" s="122"/>
      <c r="AG265" s="122"/>
      <c r="AH265" s="122"/>
      <c r="AI265" s="122"/>
      <c r="AJ265" s="122"/>
      <c r="AK265" s="122"/>
      <c r="AL265" s="122"/>
    </row>
    <row r="266" ht="22.5" hidden="1" customHeight="1">
      <c r="A266" s="103" t="s">
        <v>486</v>
      </c>
      <c r="B266" s="104"/>
      <c r="C266" s="105" t="s">
        <v>659</v>
      </c>
      <c r="D266" s="106">
        <v>2330.0</v>
      </c>
      <c r="E266" s="107" t="s">
        <v>95</v>
      </c>
      <c r="F266" s="108" t="s">
        <v>72</v>
      </c>
      <c r="G266" s="109" t="s">
        <v>660</v>
      </c>
      <c r="H266" s="179"/>
      <c r="I266" s="179"/>
      <c r="J266" s="111">
        <v>100000.0</v>
      </c>
      <c r="K266" s="112">
        <v>3201.0</v>
      </c>
      <c r="L266" s="113">
        <v>46156.0</v>
      </c>
      <c r="M266" s="113">
        <v>46160.0</v>
      </c>
      <c r="N266" s="114"/>
      <c r="O266" s="115" t="s">
        <v>661</v>
      </c>
      <c r="P266" s="116"/>
      <c r="Q266" s="107" t="s">
        <v>35</v>
      </c>
      <c r="R266" s="107" t="s">
        <v>133</v>
      </c>
      <c r="S266" s="115" t="s">
        <v>36</v>
      </c>
      <c r="T266" s="115" t="s">
        <v>36</v>
      </c>
      <c r="U266" s="118" t="s">
        <v>37</v>
      </c>
      <c r="V266" s="119"/>
      <c r="W266" s="129" t="s">
        <v>262</v>
      </c>
      <c r="X266" s="120"/>
      <c r="Y266" s="164" t="s">
        <v>657</v>
      </c>
      <c r="Z266" s="130" t="s">
        <v>657</v>
      </c>
      <c r="AA266" s="121"/>
      <c r="AB266" s="122"/>
      <c r="AC266" s="122"/>
      <c r="AD266" s="122"/>
      <c r="AE266" s="122"/>
      <c r="AF266" s="122"/>
      <c r="AG266" s="122"/>
      <c r="AH266" s="122"/>
      <c r="AI266" s="122"/>
      <c r="AJ266" s="122"/>
      <c r="AK266" s="122"/>
      <c r="AL266" s="122"/>
    </row>
    <row r="267" ht="22.5" hidden="1" customHeight="1">
      <c r="A267" s="103" t="s">
        <v>486</v>
      </c>
      <c r="B267" s="104"/>
      <c r="C267" s="105" t="s">
        <v>662</v>
      </c>
      <c r="D267" s="106">
        <v>2331.0</v>
      </c>
      <c r="E267" s="107" t="s">
        <v>95</v>
      </c>
      <c r="F267" s="108" t="s">
        <v>72</v>
      </c>
      <c r="G267" s="109" t="s">
        <v>97</v>
      </c>
      <c r="H267" s="110" t="s">
        <v>31</v>
      </c>
      <c r="I267" s="179"/>
      <c r="J267" s="111">
        <v>100000.0</v>
      </c>
      <c r="K267" s="112">
        <v>3986.0</v>
      </c>
      <c r="L267" s="113">
        <v>46156.0</v>
      </c>
      <c r="M267" s="113">
        <v>46160.0</v>
      </c>
      <c r="N267" s="114"/>
      <c r="O267" s="115" t="s">
        <v>99</v>
      </c>
      <c r="P267" s="116"/>
      <c r="Q267" s="107" t="s">
        <v>35</v>
      </c>
      <c r="R267" s="107" t="s">
        <v>133</v>
      </c>
      <c r="S267" s="115" t="s">
        <v>36</v>
      </c>
      <c r="T267" s="115" t="s">
        <v>36</v>
      </c>
      <c r="U267" s="118" t="s">
        <v>37</v>
      </c>
      <c r="V267" s="119"/>
      <c r="W267" s="129" t="s">
        <v>262</v>
      </c>
      <c r="X267" s="333"/>
      <c r="Y267" s="164" t="s">
        <v>657</v>
      </c>
      <c r="Z267" s="130" t="s">
        <v>657</v>
      </c>
      <c r="AA267" s="121"/>
      <c r="AB267" s="122"/>
      <c r="AC267" s="122"/>
      <c r="AD267" s="122"/>
      <c r="AE267" s="122"/>
      <c r="AF267" s="122"/>
      <c r="AG267" s="122"/>
      <c r="AH267" s="122"/>
      <c r="AI267" s="122"/>
      <c r="AJ267" s="122"/>
      <c r="AK267" s="122"/>
      <c r="AL267" s="122"/>
    </row>
    <row r="268" ht="22.5" hidden="1" customHeight="1">
      <c r="A268" s="103" t="s">
        <v>403</v>
      </c>
      <c r="B268" s="104"/>
      <c r="C268" s="105" t="s">
        <v>663</v>
      </c>
      <c r="D268" s="106">
        <v>2335.0</v>
      </c>
      <c r="E268" s="107" t="s">
        <v>157</v>
      </c>
      <c r="F268" s="108" t="s">
        <v>72</v>
      </c>
      <c r="G268" s="191"/>
      <c r="H268" s="110" t="s">
        <v>52</v>
      </c>
      <c r="I268" s="110" t="s">
        <v>274</v>
      </c>
      <c r="J268" s="111">
        <v>500.0</v>
      </c>
      <c r="K268" s="112">
        <v>72.0</v>
      </c>
      <c r="L268" s="113">
        <v>46156.0</v>
      </c>
      <c r="M268" s="113">
        <v>46157.0</v>
      </c>
      <c r="N268" s="114"/>
      <c r="O268" s="115" t="s">
        <v>99</v>
      </c>
      <c r="P268" s="116"/>
      <c r="Q268" s="107" t="s">
        <v>35</v>
      </c>
      <c r="R268" s="107" t="s">
        <v>133</v>
      </c>
      <c r="S268" s="115" t="s">
        <v>55</v>
      </c>
      <c r="T268" s="115" t="s">
        <v>36</v>
      </c>
      <c r="U268" s="118" t="s">
        <v>37</v>
      </c>
      <c r="V268" s="119"/>
      <c r="W268" s="136"/>
      <c r="X268" s="164" t="s">
        <v>257</v>
      </c>
      <c r="Y268" s="120"/>
      <c r="Z268" s="121"/>
      <c r="AA268" s="121"/>
      <c r="AB268" s="122"/>
      <c r="AC268" s="122"/>
      <c r="AD268" s="122"/>
      <c r="AE268" s="122"/>
      <c r="AF268" s="122"/>
      <c r="AG268" s="122"/>
      <c r="AH268" s="122"/>
      <c r="AI268" s="122"/>
      <c r="AJ268" s="122"/>
      <c r="AK268" s="122"/>
      <c r="AL268" s="122"/>
    </row>
    <row r="269" ht="22.5" hidden="1" customHeight="1">
      <c r="A269" s="103" t="s">
        <v>664</v>
      </c>
      <c r="B269" s="104"/>
      <c r="C269" s="105" t="s">
        <v>665</v>
      </c>
      <c r="D269" s="106">
        <v>2351.0</v>
      </c>
      <c r="E269" s="107" t="s">
        <v>95</v>
      </c>
      <c r="F269" s="108" t="s">
        <v>30</v>
      </c>
      <c r="G269" s="109" t="s">
        <v>666</v>
      </c>
      <c r="H269" s="110" t="s">
        <v>31</v>
      </c>
      <c r="I269" s="110" t="s">
        <v>132</v>
      </c>
      <c r="J269" s="111">
        <v>200000.0</v>
      </c>
      <c r="K269" s="112">
        <v>8089.0</v>
      </c>
      <c r="L269" s="113">
        <v>46155.0</v>
      </c>
      <c r="M269" s="113">
        <v>46157.0</v>
      </c>
      <c r="N269" s="114"/>
      <c r="O269" s="115" t="s">
        <v>70</v>
      </c>
      <c r="P269" s="116"/>
      <c r="Q269" s="107" t="s">
        <v>35</v>
      </c>
      <c r="R269" s="107" t="s">
        <v>133</v>
      </c>
      <c r="S269" s="115" t="s">
        <v>35</v>
      </c>
      <c r="T269" s="115" t="s">
        <v>36</v>
      </c>
      <c r="U269" s="118" t="s">
        <v>37</v>
      </c>
      <c r="V269" s="119"/>
      <c r="W269" s="111" t="s">
        <v>667</v>
      </c>
      <c r="X269" s="164" t="s">
        <v>668</v>
      </c>
      <c r="Y269" s="164" t="s">
        <v>657</v>
      </c>
      <c r="Z269" s="130" t="s">
        <v>658</v>
      </c>
      <c r="AA269" s="121"/>
      <c r="AB269" s="122"/>
      <c r="AC269" s="122"/>
      <c r="AD269" s="122"/>
      <c r="AE269" s="122"/>
      <c r="AF269" s="122"/>
      <c r="AG269" s="122"/>
      <c r="AH269" s="122"/>
      <c r="AI269" s="122"/>
      <c r="AJ269" s="122"/>
      <c r="AK269" s="122"/>
      <c r="AL269" s="122"/>
    </row>
    <row r="270" ht="22.5" hidden="1" customHeight="1">
      <c r="A270" s="192" t="s">
        <v>574</v>
      </c>
      <c r="B270" s="193"/>
      <c r="C270" s="194" t="s">
        <v>669</v>
      </c>
      <c r="D270" s="195">
        <v>2362.0</v>
      </c>
      <c r="E270" s="73" t="s">
        <v>29</v>
      </c>
      <c r="F270" s="74" t="s">
        <v>72</v>
      </c>
      <c r="G270" s="196" t="s">
        <v>138</v>
      </c>
      <c r="H270" s="76" t="s">
        <v>31</v>
      </c>
      <c r="I270" s="76" t="s">
        <v>132</v>
      </c>
      <c r="J270" s="70">
        <v>10000.0</v>
      </c>
      <c r="K270" s="197">
        <v>689.0</v>
      </c>
      <c r="L270" s="78">
        <v>46157.0</v>
      </c>
      <c r="M270" s="78">
        <v>46160.0</v>
      </c>
      <c r="N270" s="198"/>
      <c r="O270" s="80" t="s">
        <v>34</v>
      </c>
      <c r="P270" s="199"/>
      <c r="Q270" s="200"/>
      <c r="R270" s="52" t="s">
        <v>133</v>
      </c>
      <c r="S270" s="82" t="s">
        <v>36</v>
      </c>
      <c r="T270" s="82" t="s">
        <v>36</v>
      </c>
      <c r="U270" s="201" t="s">
        <v>37</v>
      </c>
      <c r="V270" s="84"/>
      <c r="W270" s="85" t="s">
        <v>670</v>
      </c>
      <c r="X270" s="202"/>
      <c r="Y270" s="202">
        <f>Z270/2</f>
        <v>2</v>
      </c>
      <c r="Z270" s="203">
        <f>J270/2500</f>
        <v>4</v>
      </c>
      <c r="AA270" s="203"/>
      <c r="AB270" s="88"/>
      <c r="AC270" s="88"/>
      <c r="AD270" s="88"/>
      <c r="AE270" s="88"/>
      <c r="AF270" s="88"/>
      <c r="AG270" s="88"/>
      <c r="AH270" s="88"/>
      <c r="AI270" s="88"/>
      <c r="AJ270" s="88"/>
      <c r="AK270" s="88"/>
      <c r="AL270" s="88"/>
      <c r="AM270" s="89"/>
      <c r="AN270" s="89"/>
      <c r="AO270" s="89"/>
      <c r="AP270" s="89"/>
      <c r="AQ270" s="89"/>
      <c r="AR270" s="89"/>
      <c r="AS270" s="89"/>
      <c r="AT270" s="89"/>
      <c r="AU270" s="89"/>
      <c r="AV270" s="89"/>
      <c r="AW270" s="89"/>
      <c r="AX270" s="89"/>
      <c r="AY270" s="89"/>
      <c r="AZ270" s="89"/>
      <c r="BA270" s="89"/>
      <c r="BB270" s="89"/>
      <c r="BC270" s="89"/>
      <c r="BD270" s="89"/>
      <c r="BE270" s="89"/>
      <c r="BF270" s="89"/>
      <c r="BG270" s="89"/>
      <c r="BH270" s="89"/>
      <c r="BI270" s="89"/>
      <c r="BJ270" s="89"/>
      <c r="BK270" s="89"/>
      <c r="BL270" s="89"/>
      <c r="BM270" s="89"/>
      <c r="BN270" s="89"/>
    </row>
    <row r="271" ht="22.5" hidden="1" customHeight="1">
      <c r="A271" s="103" t="s">
        <v>653</v>
      </c>
      <c r="B271" s="104"/>
      <c r="C271" s="105" t="s">
        <v>671</v>
      </c>
      <c r="D271" s="106">
        <v>2367.0</v>
      </c>
      <c r="E271" s="107" t="s">
        <v>95</v>
      </c>
      <c r="F271" s="108" t="s">
        <v>72</v>
      </c>
      <c r="G271" s="109" t="s">
        <v>225</v>
      </c>
      <c r="H271" s="110" t="s">
        <v>31</v>
      </c>
      <c r="I271" s="179"/>
      <c r="J271" s="111">
        <v>15000.0</v>
      </c>
      <c r="K271" s="112">
        <v>1508.0</v>
      </c>
      <c r="L271" s="113">
        <v>46156.0</v>
      </c>
      <c r="M271" s="113">
        <v>46157.0</v>
      </c>
      <c r="N271" s="114"/>
      <c r="O271" s="115" t="s">
        <v>99</v>
      </c>
      <c r="P271" s="116"/>
      <c r="Q271" s="107" t="s">
        <v>35</v>
      </c>
      <c r="R271" s="107" t="s">
        <v>133</v>
      </c>
      <c r="S271" s="115" t="s">
        <v>36</v>
      </c>
      <c r="T271" s="115" t="s">
        <v>36</v>
      </c>
      <c r="U271" s="118" t="s">
        <v>37</v>
      </c>
      <c r="V271" s="119"/>
      <c r="W271" s="111" t="s">
        <v>262</v>
      </c>
      <c r="X271" s="120"/>
      <c r="Y271" s="164" t="s">
        <v>658</v>
      </c>
      <c r="Z271" s="130" t="s">
        <v>658</v>
      </c>
      <c r="AA271" s="121"/>
      <c r="AB271" s="122"/>
      <c r="AC271" s="122"/>
      <c r="AD271" s="122"/>
      <c r="AE271" s="122"/>
      <c r="AF271" s="122"/>
      <c r="AG271" s="122"/>
      <c r="AH271" s="122"/>
      <c r="AI271" s="122"/>
      <c r="AJ271" s="122"/>
      <c r="AK271" s="122"/>
      <c r="AL271" s="122"/>
    </row>
    <row r="272" ht="22.5" hidden="1" customHeight="1">
      <c r="A272" s="103" t="s">
        <v>664</v>
      </c>
      <c r="B272" s="104"/>
      <c r="C272" s="105" t="s">
        <v>672</v>
      </c>
      <c r="D272" s="106">
        <v>2374.0</v>
      </c>
      <c r="E272" s="107" t="s">
        <v>95</v>
      </c>
      <c r="F272" s="108" t="s">
        <v>30</v>
      </c>
      <c r="G272" s="109" t="s">
        <v>673</v>
      </c>
      <c r="H272" s="110" t="s">
        <v>31</v>
      </c>
      <c r="I272" s="110" t="s">
        <v>98</v>
      </c>
      <c r="J272" s="111">
        <v>50000.0</v>
      </c>
      <c r="K272" s="112">
        <v>2858.0</v>
      </c>
      <c r="L272" s="113">
        <v>46155.0</v>
      </c>
      <c r="M272" s="113">
        <v>46158.0</v>
      </c>
      <c r="N272" s="114"/>
      <c r="O272" s="115" t="s">
        <v>70</v>
      </c>
      <c r="P272" s="116"/>
      <c r="Q272" s="107" t="s">
        <v>35</v>
      </c>
      <c r="R272" s="107" t="s">
        <v>133</v>
      </c>
      <c r="S272" s="115" t="s">
        <v>35</v>
      </c>
      <c r="T272" s="115" t="s">
        <v>36</v>
      </c>
      <c r="U272" s="118" t="s">
        <v>37</v>
      </c>
      <c r="V272" s="119"/>
      <c r="W272" s="111" t="s">
        <v>674</v>
      </c>
      <c r="X272" s="164" t="s">
        <v>675</v>
      </c>
      <c r="Y272" s="164" t="s">
        <v>657</v>
      </c>
      <c r="Z272" s="130" t="s">
        <v>658</v>
      </c>
      <c r="AA272" s="121"/>
      <c r="AB272" s="122"/>
      <c r="AC272" s="122"/>
      <c r="AD272" s="122"/>
      <c r="AE272" s="122"/>
      <c r="AF272" s="122"/>
      <c r="AG272" s="122"/>
      <c r="AH272" s="122"/>
      <c r="AI272" s="122"/>
      <c r="AJ272" s="122"/>
      <c r="AK272" s="122"/>
      <c r="AL272" s="122"/>
    </row>
    <row r="273" ht="22.5" hidden="1" customHeight="1">
      <c r="A273" s="192" t="s">
        <v>574</v>
      </c>
      <c r="B273" s="193"/>
      <c r="C273" s="194" t="s">
        <v>676</v>
      </c>
      <c r="D273" s="195">
        <v>2379.0</v>
      </c>
      <c r="E273" s="73" t="s">
        <v>29</v>
      </c>
      <c r="F273" s="74" t="s">
        <v>72</v>
      </c>
      <c r="G273" s="196" t="s">
        <v>347</v>
      </c>
      <c r="H273" s="76" t="s">
        <v>31</v>
      </c>
      <c r="I273" s="76" t="s">
        <v>132</v>
      </c>
      <c r="J273" s="70">
        <v>150000.0</v>
      </c>
      <c r="K273" s="197">
        <v>4230.0</v>
      </c>
      <c r="L273" s="78">
        <v>46157.0</v>
      </c>
      <c r="M273" s="78">
        <v>46160.0</v>
      </c>
      <c r="N273" s="198"/>
      <c r="O273" s="80" t="s">
        <v>34</v>
      </c>
      <c r="P273" s="199"/>
      <c r="Q273" s="200"/>
      <c r="R273" s="52" t="s">
        <v>133</v>
      </c>
      <c r="S273" s="82" t="s">
        <v>36</v>
      </c>
      <c r="T273" s="82" t="s">
        <v>36</v>
      </c>
      <c r="U273" s="201" t="s">
        <v>37</v>
      </c>
      <c r="V273" s="84"/>
      <c r="W273" s="285"/>
      <c r="X273" s="334"/>
      <c r="Y273" s="202"/>
      <c r="Z273" s="203"/>
      <c r="AA273" s="203"/>
      <c r="AB273" s="88"/>
      <c r="AC273" s="88"/>
      <c r="AD273" s="88"/>
      <c r="AE273" s="88"/>
      <c r="AF273" s="88"/>
      <c r="AG273" s="88"/>
      <c r="AH273" s="88"/>
      <c r="AI273" s="88"/>
      <c r="AJ273" s="88"/>
      <c r="AK273" s="88"/>
      <c r="AL273" s="88"/>
      <c r="AM273" s="89"/>
      <c r="AN273" s="89"/>
      <c r="AO273" s="89"/>
      <c r="AP273" s="89"/>
      <c r="AQ273" s="89"/>
      <c r="AR273" s="89"/>
      <c r="AS273" s="89"/>
      <c r="AT273" s="89"/>
      <c r="AU273" s="89"/>
      <c r="AV273" s="89"/>
      <c r="AW273" s="89"/>
      <c r="AX273" s="89"/>
      <c r="AY273" s="89"/>
      <c r="AZ273" s="89"/>
      <c r="BA273" s="89"/>
      <c r="BB273" s="89"/>
      <c r="BC273" s="89"/>
      <c r="BD273" s="89"/>
      <c r="BE273" s="89"/>
      <c r="BF273" s="89"/>
      <c r="BG273" s="89"/>
      <c r="BH273" s="89"/>
      <c r="BI273" s="89"/>
      <c r="BJ273" s="89"/>
      <c r="BK273" s="89"/>
      <c r="BL273" s="89"/>
      <c r="BM273" s="89"/>
      <c r="BN273" s="89"/>
    </row>
    <row r="274" ht="22.5" hidden="1" customHeight="1">
      <c r="A274" s="103" t="s">
        <v>677</v>
      </c>
      <c r="B274" s="104"/>
      <c r="C274" s="124" t="s">
        <v>678</v>
      </c>
      <c r="D274" s="106" t="s">
        <v>679</v>
      </c>
      <c r="E274" s="107" t="s">
        <v>164</v>
      </c>
      <c r="F274" s="108" t="s">
        <v>96</v>
      </c>
      <c r="G274" s="109" t="s">
        <v>680</v>
      </c>
      <c r="H274" s="110" t="s">
        <v>31</v>
      </c>
      <c r="I274" s="179"/>
      <c r="J274" s="335"/>
      <c r="K274" s="135"/>
      <c r="L274" s="113">
        <v>46148.0</v>
      </c>
      <c r="M274" s="113">
        <v>46153.0</v>
      </c>
      <c r="N274" s="114"/>
      <c r="O274" s="115" t="s">
        <v>681</v>
      </c>
      <c r="P274" s="116"/>
      <c r="Q274" s="167" t="s">
        <v>35</v>
      </c>
      <c r="R274" s="167" t="s">
        <v>133</v>
      </c>
      <c r="S274" s="126" t="s">
        <v>36</v>
      </c>
      <c r="T274" s="126" t="s">
        <v>36</v>
      </c>
      <c r="U274" s="127" t="s">
        <v>37</v>
      </c>
      <c r="V274" s="128"/>
      <c r="W274" s="266" t="s">
        <v>682</v>
      </c>
      <c r="X274" s="336" t="s">
        <v>683</v>
      </c>
      <c r="Y274" s="164" t="s">
        <v>516</v>
      </c>
      <c r="Z274" s="130" t="s">
        <v>516</v>
      </c>
      <c r="AA274" s="121"/>
      <c r="AB274" s="122"/>
      <c r="AC274" s="122"/>
      <c r="AD274" s="122"/>
      <c r="AE274" s="122"/>
      <c r="AF274" s="122"/>
      <c r="AG274" s="122"/>
      <c r="AH274" s="122"/>
      <c r="AI274" s="122"/>
      <c r="AJ274" s="122"/>
      <c r="AK274" s="122"/>
      <c r="AL274" s="122"/>
    </row>
    <row r="275" ht="22.5" hidden="1" customHeight="1">
      <c r="A275" s="192" t="s">
        <v>574</v>
      </c>
      <c r="B275" s="193"/>
      <c r="C275" s="194" t="s">
        <v>684</v>
      </c>
      <c r="D275" s="195">
        <v>2380.0</v>
      </c>
      <c r="E275" s="73" t="s">
        <v>29</v>
      </c>
      <c r="F275" s="74" t="s">
        <v>72</v>
      </c>
      <c r="G275" s="196" t="s">
        <v>440</v>
      </c>
      <c r="H275" s="76" t="s">
        <v>31</v>
      </c>
      <c r="I275" s="76" t="s">
        <v>132</v>
      </c>
      <c r="J275" s="70">
        <v>30000.0</v>
      </c>
      <c r="K275" s="197">
        <v>1973.0</v>
      </c>
      <c r="L275" s="78">
        <v>46157.0</v>
      </c>
      <c r="M275" s="78">
        <v>46160.0</v>
      </c>
      <c r="N275" s="198"/>
      <c r="O275" s="80" t="s">
        <v>34</v>
      </c>
      <c r="P275" s="199"/>
      <c r="Q275" s="200"/>
      <c r="R275" s="52" t="s">
        <v>133</v>
      </c>
      <c r="S275" s="82" t="s">
        <v>36</v>
      </c>
      <c r="T275" s="82" t="s">
        <v>36</v>
      </c>
      <c r="U275" s="201" t="s">
        <v>37</v>
      </c>
      <c r="V275" s="84"/>
      <c r="W275" s="285"/>
      <c r="X275" s="202"/>
      <c r="Y275" s="259" t="s">
        <v>685</v>
      </c>
      <c r="Z275" s="203"/>
      <c r="AA275" s="260" t="s">
        <v>686</v>
      </c>
      <c r="AB275" s="88"/>
      <c r="AC275" s="88"/>
      <c r="AD275" s="88"/>
      <c r="AE275" s="88"/>
      <c r="AF275" s="88"/>
      <c r="AG275" s="88"/>
      <c r="AH275" s="88"/>
      <c r="AI275" s="88"/>
      <c r="AJ275" s="88"/>
      <c r="AK275" s="88"/>
      <c r="AL275" s="88"/>
      <c r="AM275" s="89"/>
      <c r="AN275" s="89"/>
      <c r="AO275" s="89"/>
      <c r="AP275" s="89"/>
      <c r="AQ275" s="89"/>
      <c r="AR275" s="89"/>
      <c r="AS275" s="89"/>
      <c r="AT275" s="89"/>
      <c r="AU275" s="89"/>
      <c r="AV275" s="89"/>
      <c r="AW275" s="89"/>
      <c r="AX275" s="89"/>
      <c r="AY275" s="89"/>
      <c r="AZ275" s="89"/>
      <c r="BA275" s="89"/>
      <c r="BB275" s="89"/>
      <c r="BC275" s="89"/>
      <c r="BD275" s="89"/>
      <c r="BE275" s="89"/>
      <c r="BF275" s="89"/>
      <c r="BG275" s="89"/>
      <c r="BH275" s="89"/>
      <c r="BI275" s="89"/>
      <c r="BJ275" s="89"/>
      <c r="BK275" s="89"/>
      <c r="BL275" s="89"/>
      <c r="BM275" s="89"/>
      <c r="BN275" s="89"/>
    </row>
    <row r="276" ht="22.5" hidden="1" customHeight="1">
      <c r="A276" s="192" t="s">
        <v>574</v>
      </c>
      <c r="B276" s="193"/>
      <c r="C276" s="337" t="s">
        <v>108</v>
      </c>
      <c r="D276" s="195">
        <v>2381.0</v>
      </c>
      <c r="E276" s="73" t="s">
        <v>29</v>
      </c>
      <c r="F276" s="74" t="s">
        <v>72</v>
      </c>
      <c r="G276" s="196" t="s">
        <v>138</v>
      </c>
      <c r="H276" s="76" t="s">
        <v>31</v>
      </c>
      <c r="I276" s="76" t="s">
        <v>132</v>
      </c>
      <c r="J276" s="70">
        <v>150000.0</v>
      </c>
      <c r="K276" s="197">
        <v>6079.0</v>
      </c>
      <c r="L276" s="78">
        <v>46157.0</v>
      </c>
      <c r="M276" s="78">
        <v>46160.0</v>
      </c>
      <c r="N276" s="198"/>
      <c r="O276" s="80" t="s">
        <v>34</v>
      </c>
      <c r="P276" s="199"/>
      <c r="Q276" s="200"/>
      <c r="R276" s="52" t="s">
        <v>133</v>
      </c>
      <c r="S276" s="82" t="s">
        <v>36</v>
      </c>
      <c r="T276" s="82" t="s">
        <v>36</v>
      </c>
      <c r="U276" s="201" t="s">
        <v>37</v>
      </c>
      <c r="V276" s="84"/>
      <c r="W276" s="285"/>
      <c r="X276" s="202"/>
      <c r="Y276" s="202"/>
      <c r="Z276" s="203"/>
      <c r="AA276" s="203"/>
      <c r="AB276" s="88"/>
      <c r="AC276" s="88"/>
      <c r="AD276" s="88"/>
      <c r="AE276" s="88"/>
      <c r="AF276" s="88"/>
      <c r="AG276" s="88"/>
      <c r="AH276" s="88"/>
      <c r="AI276" s="88"/>
      <c r="AJ276" s="88"/>
      <c r="AK276" s="88"/>
      <c r="AL276" s="88"/>
      <c r="AM276" s="89"/>
      <c r="AN276" s="89"/>
      <c r="AO276" s="89"/>
      <c r="AP276" s="89"/>
      <c r="AQ276" s="89"/>
      <c r="AR276" s="89"/>
      <c r="AS276" s="89"/>
      <c r="AT276" s="89"/>
      <c r="AU276" s="89"/>
      <c r="AV276" s="89"/>
      <c r="AW276" s="89"/>
      <c r="AX276" s="89"/>
      <c r="AY276" s="89"/>
      <c r="AZ276" s="89"/>
      <c r="BA276" s="89"/>
      <c r="BB276" s="89"/>
      <c r="BC276" s="89"/>
      <c r="BD276" s="89"/>
      <c r="BE276" s="89"/>
      <c r="BF276" s="89"/>
      <c r="BG276" s="89"/>
      <c r="BH276" s="89"/>
      <c r="BI276" s="89"/>
      <c r="BJ276" s="89"/>
      <c r="BK276" s="89"/>
      <c r="BL276" s="89"/>
      <c r="BM276" s="89"/>
      <c r="BN276" s="89"/>
    </row>
    <row r="277" ht="22.5" hidden="1" customHeight="1">
      <c r="A277" s="103" t="s">
        <v>155</v>
      </c>
      <c r="B277" s="104"/>
      <c r="C277" s="105" t="s">
        <v>687</v>
      </c>
      <c r="D277" s="106">
        <v>2384.0</v>
      </c>
      <c r="E277" s="107" t="s">
        <v>157</v>
      </c>
      <c r="F277" s="108" t="s">
        <v>30</v>
      </c>
      <c r="G277" s="109" t="s">
        <v>688</v>
      </c>
      <c r="H277" s="110" t="s">
        <v>31</v>
      </c>
      <c r="I277" s="110" t="s">
        <v>274</v>
      </c>
      <c r="J277" s="111">
        <v>3250.0</v>
      </c>
      <c r="K277" s="112">
        <v>164.0</v>
      </c>
      <c r="L277" s="113">
        <v>46157.0</v>
      </c>
      <c r="M277" s="113">
        <v>46161.0</v>
      </c>
      <c r="N277" s="114"/>
      <c r="O277" s="115" t="s">
        <v>70</v>
      </c>
      <c r="P277" s="116"/>
      <c r="Q277" s="107" t="s">
        <v>35</v>
      </c>
      <c r="R277" s="107" t="s">
        <v>133</v>
      </c>
      <c r="S277" s="115" t="s">
        <v>35</v>
      </c>
      <c r="T277" s="115" t="s">
        <v>36</v>
      </c>
      <c r="U277" s="118" t="s">
        <v>37</v>
      </c>
      <c r="V277" s="119"/>
      <c r="W277" s="111" t="s">
        <v>536</v>
      </c>
      <c r="X277" s="164" t="s">
        <v>160</v>
      </c>
      <c r="Y277" s="120"/>
      <c r="Z277" s="121"/>
      <c r="AA277" s="121"/>
      <c r="AB277" s="122"/>
      <c r="AC277" s="122"/>
      <c r="AD277" s="122"/>
      <c r="AE277" s="122"/>
      <c r="AF277" s="122"/>
      <c r="AG277" s="122"/>
      <c r="AH277" s="122"/>
      <c r="AI277" s="122"/>
      <c r="AJ277" s="122"/>
      <c r="AK277" s="122"/>
      <c r="AL277" s="122"/>
    </row>
    <row r="278" ht="22.5" hidden="1" customHeight="1">
      <c r="A278" s="103" t="s">
        <v>184</v>
      </c>
      <c r="B278" s="104"/>
      <c r="C278" s="307" t="s">
        <v>689</v>
      </c>
      <c r="D278" s="106">
        <v>2385.0</v>
      </c>
      <c r="E278" s="107" t="s">
        <v>164</v>
      </c>
      <c r="F278" s="108" t="s">
        <v>30</v>
      </c>
      <c r="G278" s="109" t="s">
        <v>690</v>
      </c>
      <c r="H278" s="110" t="s">
        <v>31</v>
      </c>
      <c r="I278" s="110" t="s">
        <v>274</v>
      </c>
      <c r="J278" s="111" t="s">
        <v>77</v>
      </c>
      <c r="K278" s="112">
        <v>811.0</v>
      </c>
      <c r="L278" s="113">
        <v>46154.0</v>
      </c>
      <c r="M278" s="113">
        <v>46167.0</v>
      </c>
      <c r="N278" s="114"/>
      <c r="O278" s="115" t="s">
        <v>99</v>
      </c>
      <c r="P278" s="116"/>
      <c r="Q278" s="167" t="s">
        <v>35</v>
      </c>
      <c r="R278" s="167" t="s">
        <v>133</v>
      </c>
      <c r="S278" s="126" t="s">
        <v>55</v>
      </c>
      <c r="T278" s="126" t="s">
        <v>36</v>
      </c>
      <c r="U278" s="127" t="s">
        <v>37</v>
      </c>
      <c r="V278" s="128"/>
      <c r="W278" s="129" t="s">
        <v>262</v>
      </c>
      <c r="X278" s="338" t="s">
        <v>189</v>
      </c>
      <c r="Y278" s="164" t="s">
        <v>516</v>
      </c>
      <c r="Z278" s="130" t="s">
        <v>516</v>
      </c>
      <c r="AA278" s="121"/>
      <c r="AB278" s="122"/>
      <c r="AC278" s="122"/>
      <c r="AD278" s="122"/>
      <c r="AE278" s="122"/>
      <c r="AF278" s="122"/>
      <c r="AG278" s="122"/>
      <c r="AH278" s="122"/>
      <c r="AI278" s="122"/>
      <c r="AJ278" s="122"/>
      <c r="AK278" s="122"/>
      <c r="AL278" s="122"/>
    </row>
    <row r="279" ht="22.5" hidden="1" customHeight="1">
      <c r="A279" s="103" t="s">
        <v>691</v>
      </c>
      <c r="B279" s="104"/>
      <c r="C279" s="124" t="s">
        <v>692</v>
      </c>
      <c r="D279" s="106">
        <v>2389.0</v>
      </c>
      <c r="E279" s="107" t="s">
        <v>29</v>
      </c>
      <c r="F279" s="108" t="s">
        <v>68</v>
      </c>
      <c r="G279" s="109" t="s">
        <v>267</v>
      </c>
      <c r="H279" s="110" t="s">
        <v>31</v>
      </c>
      <c r="I279" s="110" t="s">
        <v>261</v>
      </c>
      <c r="J279" s="111">
        <v>7500.0</v>
      </c>
      <c r="K279" s="112">
        <v>977.0</v>
      </c>
      <c r="L279" s="113">
        <v>46150.0</v>
      </c>
      <c r="M279" s="113">
        <v>46154.0</v>
      </c>
      <c r="N279" s="114"/>
      <c r="O279" s="115" t="s">
        <v>54</v>
      </c>
      <c r="P279" s="116"/>
      <c r="Q279" s="234"/>
      <c r="R279" s="167" t="s">
        <v>133</v>
      </c>
      <c r="S279" s="126" t="s">
        <v>35</v>
      </c>
      <c r="T279" s="126" t="s">
        <v>36</v>
      </c>
      <c r="U279" s="127" t="s">
        <v>37</v>
      </c>
      <c r="V279" s="128"/>
      <c r="W279" s="129" t="s">
        <v>693</v>
      </c>
      <c r="X279" s="120"/>
      <c r="Y279" s="120"/>
      <c r="Z279" s="203"/>
      <c r="AA279" s="121"/>
      <c r="AB279" s="122"/>
      <c r="AC279" s="122"/>
      <c r="AD279" s="122"/>
      <c r="AE279" s="122"/>
      <c r="AF279" s="122"/>
      <c r="AG279" s="122"/>
      <c r="AH279" s="122"/>
      <c r="AI279" s="122"/>
      <c r="AJ279" s="122"/>
      <c r="AK279" s="122"/>
      <c r="AL279" s="122"/>
    </row>
    <row r="280" ht="22.5" hidden="1" customHeight="1">
      <c r="A280" s="103" t="s">
        <v>694</v>
      </c>
      <c r="B280" s="104"/>
      <c r="C280" s="105" t="s">
        <v>695</v>
      </c>
      <c r="D280" s="106">
        <v>2393.0</v>
      </c>
      <c r="E280" s="107" t="s">
        <v>95</v>
      </c>
      <c r="F280" s="108" t="s">
        <v>30</v>
      </c>
      <c r="G280" s="109" t="s">
        <v>206</v>
      </c>
      <c r="H280" s="110" t="s">
        <v>31</v>
      </c>
      <c r="I280" s="110" t="s">
        <v>98</v>
      </c>
      <c r="J280" s="111">
        <v>30000.0</v>
      </c>
      <c r="K280" s="112">
        <v>1762.0</v>
      </c>
      <c r="L280" s="113">
        <v>46157.0</v>
      </c>
      <c r="M280" s="113">
        <v>46161.0</v>
      </c>
      <c r="N280" s="114"/>
      <c r="O280" s="115" t="s">
        <v>70</v>
      </c>
      <c r="P280" s="116"/>
      <c r="Q280" s="107" t="s">
        <v>35</v>
      </c>
      <c r="R280" s="107" t="s">
        <v>133</v>
      </c>
      <c r="S280" s="115" t="s">
        <v>35</v>
      </c>
      <c r="T280" s="115" t="s">
        <v>36</v>
      </c>
      <c r="U280" s="118" t="s">
        <v>37</v>
      </c>
      <c r="V280" s="119"/>
      <c r="W280" s="111" t="s">
        <v>674</v>
      </c>
      <c r="X280" s="164" t="s">
        <v>675</v>
      </c>
      <c r="Y280" s="120"/>
      <c r="Z280" s="121"/>
      <c r="AA280" s="121"/>
      <c r="AB280" s="122"/>
      <c r="AC280" s="122"/>
      <c r="AD280" s="122"/>
      <c r="AE280" s="122"/>
      <c r="AF280" s="122"/>
      <c r="AG280" s="122"/>
      <c r="AH280" s="122"/>
      <c r="AI280" s="122"/>
      <c r="AJ280" s="122"/>
      <c r="AK280" s="122"/>
      <c r="AL280" s="122"/>
    </row>
    <row r="281" ht="22.5" hidden="1" customHeight="1">
      <c r="A281" s="103" t="s">
        <v>184</v>
      </c>
      <c r="B281" s="104"/>
      <c r="C281" s="339" t="s">
        <v>696</v>
      </c>
      <c r="D281" s="106">
        <v>2395.0</v>
      </c>
      <c r="E281" s="107" t="s">
        <v>164</v>
      </c>
      <c r="F281" s="108" t="s">
        <v>72</v>
      </c>
      <c r="G281" s="109" t="s">
        <v>697</v>
      </c>
      <c r="H281" s="110" t="s">
        <v>31</v>
      </c>
      <c r="I281" s="110" t="s">
        <v>132</v>
      </c>
      <c r="J281" s="111" t="s">
        <v>698</v>
      </c>
      <c r="K281" s="112">
        <v>1191.0</v>
      </c>
      <c r="L281" s="113">
        <v>46154.0</v>
      </c>
      <c r="M281" s="113">
        <v>46167.0</v>
      </c>
      <c r="N281" s="114"/>
      <c r="O281" s="115" t="s">
        <v>212</v>
      </c>
      <c r="P281" s="116"/>
      <c r="Q281" s="167" t="s">
        <v>35</v>
      </c>
      <c r="R281" s="167" t="s">
        <v>133</v>
      </c>
      <c r="S281" s="126" t="s">
        <v>36</v>
      </c>
      <c r="T281" s="126" t="s">
        <v>36</v>
      </c>
      <c r="U281" s="127" t="s">
        <v>37</v>
      </c>
      <c r="V281" s="128"/>
      <c r="W281" s="129" t="s">
        <v>262</v>
      </c>
      <c r="X281" s="338" t="s">
        <v>189</v>
      </c>
      <c r="Y281" s="164" t="s">
        <v>516</v>
      </c>
      <c r="Z281" s="130" t="s">
        <v>516</v>
      </c>
      <c r="AA281" s="121"/>
      <c r="AB281" s="122"/>
      <c r="AC281" s="122"/>
      <c r="AD281" s="122"/>
      <c r="AE281" s="122"/>
      <c r="AF281" s="122"/>
      <c r="AG281" s="122"/>
      <c r="AH281" s="122"/>
      <c r="AI281" s="122"/>
      <c r="AJ281" s="122"/>
      <c r="AK281" s="122"/>
      <c r="AL281" s="122"/>
    </row>
    <row r="282" ht="22.5" hidden="1" customHeight="1">
      <c r="A282" s="192" t="s">
        <v>574</v>
      </c>
      <c r="B282" s="193"/>
      <c r="C282" s="194" t="s">
        <v>699</v>
      </c>
      <c r="D282" s="195">
        <v>2396.0</v>
      </c>
      <c r="E282" s="73" t="s">
        <v>29</v>
      </c>
      <c r="F282" s="74" t="s">
        <v>30</v>
      </c>
      <c r="G282" s="196" t="s">
        <v>138</v>
      </c>
      <c r="H282" s="76" t="s">
        <v>31</v>
      </c>
      <c r="I282" s="76" t="s">
        <v>132</v>
      </c>
      <c r="J282" s="70">
        <v>10000.0</v>
      </c>
      <c r="K282" s="197">
        <v>689.0</v>
      </c>
      <c r="L282" s="78">
        <v>46149.0</v>
      </c>
      <c r="M282" s="78">
        <v>46154.0</v>
      </c>
      <c r="N282" s="198"/>
      <c r="O282" s="284" t="s">
        <v>34</v>
      </c>
      <c r="P282" s="199"/>
      <c r="Q282" s="52" t="s">
        <v>35</v>
      </c>
      <c r="R282" s="200"/>
      <c r="S282" s="82" t="s">
        <v>35</v>
      </c>
      <c r="T282" s="82" t="s">
        <v>36</v>
      </c>
      <c r="U282" s="201" t="s">
        <v>37</v>
      </c>
      <c r="V282" s="84"/>
      <c r="W282" s="85"/>
      <c r="X282" s="202"/>
      <c r="Y282" s="259" t="s">
        <v>700</v>
      </c>
      <c r="Z282" s="259">
        <f t="shared" ref="Z282:Z283" si="16">J282/2500</f>
        <v>4</v>
      </c>
      <c r="AA282" s="259" t="s">
        <v>700</v>
      </c>
      <c r="AB282" s="88"/>
      <c r="AC282" s="88"/>
      <c r="AD282" s="88"/>
      <c r="AE282" s="88"/>
      <c r="AF282" s="88"/>
      <c r="AG282" s="88"/>
      <c r="AH282" s="88"/>
      <c r="AI282" s="88"/>
      <c r="AJ282" s="88"/>
      <c r="AK282" s="88"/>
      <c r="AL282" s="88"/>
      <c r="AM282" s="89"/>
      <c r="AN282" s="89"/>
      <c r="AO282" s="89"/>
      <c r="AP282" s="89"/>
      <c r="AQ282" s="89"/>
      <c r="AR282" s="89"/>
      <c r="AS282" s="89"/>
      <c r="AT282" s="89"/>
      <c r="AU282" s="89"/>
      <c r="AV282" s="89"/>
      <c r="AW282" s="89"/>
      <c r="AX282" s="89"/>
      <c r="AY282" s="89"/>
      <c r="AZ282" s="89"/>
      <c r="BA282" s="89"/>
      <c r="BB282" s="89"/>
      <c r="BC282" s="89"/>
      <c r="BD282" s="89"/>
      <c r="BE282" s="89"/>
      <c r="BF282" s="89"/>
      <c r="BG282" s="89"/>
      <c r="BH282" s="89"/>
      <c r="BI282" s="89"/>
      <c r="BJ282" s="89"/>
      <c r="BK282" s="89"/>
      <c r="BL282" s="89"/>
      <c r="BM282" s="89"/>
      <c r="BN282" s="89"/>
    </row>
    <row r="283" ht="22.5" hidden="1" customHeight="1">
      <c r="A283" s="192" t="s">
        <v>574</v>
      </c>
      <c r="B283" s="193"/>
      <c r="C283" s="194" t="s">
        <v>701</v>
      </c>
      <c r="D283" s="195">
        <v>2397.0</v>
      </c>
      <c r="E283" s="73" t="s">
        <v>29</v>
      </c>
      <c r="F283" s="74" t="s">
        <v>30</v>
      </c>
      <c r="G283" s="196" t="s">
        <v>332</v>
      </c>
      <c r="H283" s="76" t="s">
        <v>31</v>
      </c>
      <c r="I283" s="76" t="s">
        <v>132</v>
      </c>
      <c r="J283" s="70">
        <v>20000.0</v>
      </c>
      <c r="K283" s="197">
        <v>1526.0</v>
      </c>
      <c r="L283" s="78">
        <v>46149.0</v>
      </c>
      <c r="M283" s="78">
        <v>46154.0</v>
      </c>
      <c r="N283" s="198"/>
      <c r="O283" s="284" t="s">
        <v>34</v>
      </c>
      <c r="P283" s="199"/>
      <c r="Q283" s="52" t="s">
        <v>35</v>
      </c>
      <c r="R283" s="200"/>
      <c r="S283" s="82" t="s">
        <v>35</v>
      </c>
      <c r="T283" s="82" t="s">
        <v>36</v>
      </c>
      <c r="U283" s="201" t="s">
        <v>37</v>
      </c>
      <c r="V283" s="84"/>
      <c r="W283" s="85"/>
      <c r="X283" s="202"/>
      <c r="Y283" s="259" t="s">
        <v>700</v>
      </c>
      <c r="Z283" s="259">
        <f t="shared" si="16"/>
        <v>8</v>
      </c>
      <c r="AA283" s="259" t="s">
        <v>700</v>
      </c>
      <c r="AB283" s="88"/>
      <c r="AC283" s="88"/>
      <c r="AD283" s="88"/>
      <c r="AE283" s="88"/>
      <c r="AF283" s="88"/>
      <c r="AG283" s="88"/>
      <c r="AH283" s="88"/>
      <c r="AI283" s="88"/>
      <c r="AJ283" s="88"/>
      <c r="AK283" s="88"/>
      <c r="AL283" s="88"/>
      <c r="AM283" s="89"/>
      <c r="AN283" s="89"/>
      <c r="AO283" s="89"/>
      <c r="AP283" s="89"/>
      <c r="AQ283" s="89"/>
      <c r="AR283" s="89"/>
      <c r="AS283" s="89"/>
      <c r="AT283" s="89"/>
      <c r="AU283" s="89"/>
      <c r="AV283" s="89"/>
      <c r="AW283" s="89"/>
      <c r="AX283" s="89"/>
      <c r="AY283" s="89"/>
      <c r="AZ283" s="89"/>
      <c r="BA283" s="89"/>
      <c r="BB283" s="89"/>
      <c r="BC283" s="89"/>
      <c r="BD283" s="89"/>
      <c r="BE283" s="89"/>
      <c r="BF283" s="89"/>
      <c r="BG283" s="89"/>
      <c r="BH283" s="89"/>
      <c r="BI283" s="89"/>
      <c r="BJ283" s="89"/>
      <c r="BK283" s="89"/>
      <c r="BL283" s="89"/>
      <c r="BM283" s="89"/>
      <c r="BN283" s="89"/>
    </row>
    <row r="284" ht="22.5" hidden="1" customHeight="1">
      <c r="A284" s="192" t="s">
        <v>574</v>
      </c>
      <c r="B284" s="193"/>
      <c r="C284" s="194" t="s">
        <v>78</v>
      </c>
      <c r="D284" s="195">
        <v>2399.0</v>
      </c>
      <c r="E284" s="73" t="s">
        <v>29</v>
      </c>
      <c r="F284" s="74" t="s">
        <v>72</v>
      </c>
      <c r="G284" s="196" t="s">
        <v>138</v>
      </c>
      <c r="H284" s="76" t="s">
        <v>31</v>
      </c>
      <c r="I284" s="76" t="s">
        <v>132</v>
      </c>
      <c r="J284" s="70">
        <v>352500.0</v>
      </c>
      <c r="K284" s="197">
        <v>13818.0</v>
      </c>
      <c r="L284" s="78">
        <v>46157.0</v>
      </c>
      <c r="M284" s="78">
        <v>46160.0</v>
      </c>
      <c r="N284" s="198"/>
      <c r="O284" s="80" t="s">
        <v>34</v>
      </c>
      <c r="P284" s="199"/>
      <c r="Q284" s="200"/>
      <c r="R284" s="52" t="s">
        <v>133</v>
      </c>
      <c r="S284" s="82" t="s">
        <v>36</v>
      </c>
      <c r="T284" s="82" t="s">
        <v>36</v>
      </c>
      <c r="U284" s="201" t="s">
        <v>37</v>
      </c>
      <c r="V284" s="84"/>
      <c r="W284" s="85" t="s">
        <v>702</v>
      </c>
      <c r="X284" s="334"/>
      <c r="Y284" s="202"/>
      <c r="Z284" s="203"/>
      <c r="AA284" s="203"/>
      <c r="AB284" s="122"/>
      <c r="AC284" s="122"/>
      <c r="AD284" s="122"/>
      <c r="AE284" s="122"/>
      <c r="AF284" s="122"/>
      <c r="AG284" s="122"/>
      <c r="AH284" s="122"/>
      <c r="AI284" s="122"/>
      <c r="AJ284" s="122"/>
      <c r="AK284" s="122"/>
      <c r="AL284" s="122"/>
    </row>
    <row r="285" ht="22.5" hidden="1" customHeight="1">
      <c r="A285" s="192" t="s">
        <v>574</v>
      </c>
      <c r="B285" s="193"/>
      <c r="C285" s="194" t="s">
        <v>703</v>
      </c>
      <c r="D285" s="195">
        <v>2400.0</v>
      </c>
      <c r="E285" s="73" t="s">
        <v>29</v>
      </c>
      <c r="F285" s="74" t="s">
        <v>30</v>
      </c>
      <c r="G285" s="196" t="s">
        <v>138</v>
      </c>
      <c r="H285" s="76" t="s">
        <v>31</v>
      </c>
      <c r="I285" s="76" t="s">
        <v>132</v>
      </c>
      <c r="J285" s="70">
        <v>20000.0</v>
      </c>
      <c r="K285" s="197">
        <v>1063.0</v>
      </c>
      <c r="L285" s="78">
        <v>46148.0</v>
      </c>
      <c r="M285" s="78">
        <v>46154.0</v>
      </c>
      <c r="N285" s="198"/>
      <c r="O285" s="80" t="s">
        <v>34</v>
      </c>
      <c r="P285" s="199"/>
      <c r="Q285" s="52" t="s">
        <v>35</v>
      </c>
      <c r="R285" s="200"/>
      <c r="S285" s="82" t="s">
        <v>35</v>
      </c>
      <c r="T285" s="82" t="s">
        <v>36</v>
      </c>
      <c r="U285" s="201" t="s">
        <v>37</v>
      </c>
      <c r="V285" s="84"/>
      <c r="W285" s="85"/>
      <c r="X285" s="202"/>
      <c r="Y285" s="259" t="s">
        <v>700</v>
      </c>
      <c r="Z285" s="259">
        <f t="shared" ref="Z285:Z287" si="17">J285/2500</f>
        <v>8</v>
      </c>
      <c r="AA285" s="259" t="s">
        <v>700</v>
      </c>
      <c r="AB285" s="88"/>
      <c r="AC285" s="88"/>
      <c r="AD285" s="88"/>
      <c r="AE285" s="88"/>
      <c r="AF285" s="88"/>
      <c r="AG285" s="88"/>
      <c r="AH285" s="88"/>
      <c r="AI285" s="88"/>
      <c r="AJ285" s="88"/>
      <c r="AK285" s="88"/>
      <c r="AL285" s="88"/>
      <c r="AM285" s="89"/>
      <c r="AN285" s="89"/>
      <c r="AO285" s="89"/>
      <c r="AP285" s="89"/>
      <c r="AQ285" s="89"/>
      <c r="AR285" s="89"/>
      <c r="AS285" s="89"/>
      <c r="AT285" s="89"/>
      <c r="AU285" s="89"/>
      <c r="AV285" s="89"/>
      <c r="AW285" s="89"/>
      <c r="AX285" s="89"/>
      <c r="AY285" s="89"/>
      <c r="AZ285" s="89"/>
      <c r="BA285" s="89"/>
      <c r="BB285" s="89"/>
      <c r="BC285" s="89"/>
      <c r="BD285" s="89"/>
      <c r="BE285" s="89"/>
      <c r="BF285" s="89"/>
      <c r="BG285" s="89"/>
      <c r="BH285" s="89"/>
      <c r="BI285" s="89"/>
      <c r="BJ285" s="89"/>
      <c r="BK285" s="89"/>
      <c r="BL285" s="89"/>
      <c r="BM285" s="89"/>
      <c r="BN285" s="89"/>
    </row>
    <row r="286" ht="22.5" hidden="1" customHeight="1">
      <c r="A286" s="192" t="s">
        <v>574</v>
      </c>
      <c r="B286" s="193"/>
      <c r="C286" s="194" t="s">
        <v>704</v>
      </c>
      <c r="D286" s="195">
        <v>2401.0</v>
      </c>
      <c r="E286" s="73" t="s">
        <v>29</v>
      </c>
      <c r="F286" s="74" t="s">
        <v>30</v>
      </c>
      <c r="G286" s="196" t="s">
        <v>138</v>
      </c>
      <c r="H286" s="76" t="s">
        <v>31</v>
      </c>
      <c r="I286" s="76" t="s">
        <v>132</v>
      </c>
      <c r="J286" s="70">
        <v>20000.0</v>
      </c>
      <c r="K286" s="197">
        <v>1063.0</v>
      </c>
      <c r="L286" s="78">
        <v>46148.0</v>
      </c>
      <c r="M286" s="78">
        <v>46154.0</v>
      </c>
      <c r="N286" s="198"/>
      <c r="O286" s="80" t="s">
        <v>34</v>
      </c>
      <c r="P286" s="199"/>
      <c r="Q286" s="52" t="s">
        <v>35</v>
      </c>
      <c r="R286" s="200"/>
      <c r="S286" s="82" t="s">
        <v>35</v>
      </c>
      <c r="T286" s="82" t="s">
        <v>36</v>
      </c>
      <c r="U286" s="201" t="s">
        <v>37</v>
      </c>
      <c r="V286" s="84"/>
      <c r="W286" s="85"/>
      <c r="X286" s="202"/>
      <c r="Y286" s="259" t="s">
        <v>700</v>
      </c>
      <c r="Z286" s="259">
        <f t="shared" si="17"/>
        <v>8</v>
      </c>
      <c r="AA286" s="259" t="s">
        <v>700</v>
      </c>
      <c r="AB286" s="88"/>
      <c r="AC286" s="88"/>
      <c r="AD286" s="88"/>
      <c r="AE286" s="88"/>
      <c r="AF286" s="88"/>
      <c r="AG286" s="88"/>
      <c r="AH286" s="88"/>
      <c r="AI286" s="88"/>
      <c r="AJ286" s="88"/>
      <c r="AK286" s="88"/>
      <c r="AL286" s="88"/>
      <c r="AM286" s="89"/>
      <c r="AN286" s="89"/>
      <c r="AO286" s="89"/>
      <c r="AP286" s="89"/>
      <c r="AQ286" s="89"/>
      <c r="AR286" s="89"/>
      <c r="AS286" s="89"/>
      <c r="AT286" s="89"/>
      <c r="AU286" s="89"/>
      <c r="AV286" s="89"/>
      <c r="AW286" s="89"/>
      <c r="AX286" s="89"/>
      <c r="AY286" s="89"/>
      <c r="AZ286" s="89"/>
      <c r="BA286" s="89"/>
      <c r="BB286" s="89"/>
      <c r="BC286" s="89"/>
      <c r="BD286" s="89"/>
      <c r="BE286" s="89"/>
      <c r="BF286" s="89"/>
      <c r="BG286" s="89"/>
      <c r="BH286" s="89"/>
      <c r="BI286" s="89"/>
      <c r="BJ286" s="89"/>
      <c r="BK286" s="89"/>
      <c r="BL286" s="89"/>
      <c r="BM286" s="89"/>
      <c r="BN286" s="89"/>
    </row>
    <row r="287" ht="22.5" hidden="1" customHeight="1">
      <c r="A287" s="192" t="s">
        <v>574</v>
      </c>
      <c r="B287" s="193"/>
      <c r="C287" s="194" t="s">
        <v>705</v>
      </c>
      <c r="D287" s="195">
        <v>2402.0</v>
      </c>
      <c r="E287" s="73" t="s">
        <v>29</v>
      </c>
      <c r="F287" s="74" t="s">
        <v>30</v>
      </c>
      <c r="G287" s="196" t="s">
        <v>138</v>
      </c>
      <c r="H287" s="76" t="s">
        <v>31</v>
      </c>
      <c r="I287" s="76" t="s">
        <v>132</v>
      </c>
      <c r="J287" s="70">
        <v>10000.0</v>
      </c>
      <c r="K287" s="197">
        <v>689.0</v>
      </c>
      <c r="L287" s="78">
        <v>46148.0</v>
      </c>
      <c r="M287" s="78">
        <v>46154.0</v>
      </c>
      <c r="N287" s="198"/>
      <c r="O287" s="80" t="s">
        <v>34</v>
      </c>
      <c r="P287" s="199"/>
      <c r="Q287" s="52" t="s">
        <v>35</v>
      </c>
      <c r="R287" s="52" t="s">
        <v>133</v>
      </c>
      <c r="S287" s="82" t="s">
        <v>35</v>
      </c>
      <c r="T287" s="82" t="s">
        <v>36</v>
      </c>
      <c r="U287" s="201" t="s">
        <v>37</v>
      </c>
      <c r="V287" s="84"/>
      <c r="W287" s="85"/>
      <c r="X287" s="334"/>
      <c r="Y287" s="259" t="s">
        <v>700</v>
      </c>
      <c r="Z287" s="259">
        <f t="shared" si="17"/>
        <v>4</v>
      </c>
      <c r="AA287" s="259" t="s">
        <v>700</v>
      </c>
      <c r="AB287" s="88"/>
      <c r="AC287" s="88"/>
      <c r="AD287" s="88"/>
      <c r="AE287" s="88"/>
      <c r="AF287" s="88"/>
      <c r="AG287" s="88"/>
      <c r="AH287" s="88"/>
      <c r="AI287" s="88"/>
      <c r="AJ287" s="88"/>
      <c r="AK287" s="88"/>
      <c r="AL287" s="88"/>
      <c r="AM287" s="89"/>
      <c r="AN287" s="89"/>
      <c r="AO287" s="89"/>
      <c r="AP287" s="89"/>
      <c r="AQ287" s="89"/>
      <c r="AR287" s="89"/>
      <c r="AS287" s="89"/>
      <c r="AT287" s="89"/>
      <c r="AU287" s="89"/>
      <c r="AV287" s="89"/>
      <c r="AW287" s="89"/>
      <c r="AX287" s="89"/>
      <c r="AY287" s="89"/>
      <c r="AZ287" s="89"/>
      <c r="BA287" s="89"/>
      <c r="BB287" s="89"/>
      <c r="BC287" s="89"/>
      <c r="BD287" s="89"/>
      <c r="BE287" s="89"/>
      <c r="BF287" s="89"/>
      <c r="BG287" s="89"/>
      <c r="BH287" s="89"/>
      <c r="BI287" s="89"/>
      <c r="BJ287" s="89"/>
      <c r="BK287" s="89"/>
      <c r="BL287" s="89"/>
      <c r="BM287" s="89"/>
      <c r="BN287" s="89"/>
    </row>
    <row r="288" ht="22.5" hidden="1" customHeight="1">
      <c r="A288" s="340" t="s">
        <v>706</v>
      </c>
      <c r="B288" s="104"/>
      <c r="C288" s="124" t="s">
        <v>707</v>
      </c>
      <c r="D288" s="106">
        <v>2407.0</v>
      </c>
      <c r="E288" s="107" t="s">
        <v>164</v>
      </c>
      <c r="F288" s="108" t="s">
        <v>96</v>
      </c>
      <c r="G288" s="109" t="s">
        <v>708</v>
      </c>
      <c r="H288" s="110" t="s">
        <v>116</v>
      </c>
      <c r="I288" s="110" t="s">
        <v>274</v>
      </c>
      <c r="J288" s="111">
        <v>5.0</v>
      </c>
      <c r="K288" s="112"/>
      <c r="L288" s="113">
        <v>46157.0</v>
      </c>
      <c r="M288" s="113">
        <v>46161.0</v>
      </c>
      <c r="N288" s="114"/>
      <c r="O288" s="115" t="s">
        <v>70</v>
      </c>
      <c r="P288" s="116"/>
      <c r="Q288" s="167" t="s">
        <v>35</v>
      </c>
      <c r="R288" s="167" t="s">
        <v>133</v>
      </c>
      <c r="S288" s="253"/>
      <c r="T288" s="253"/>
      <c r="U288" s="127" t="s">
        <v>37</v>
      </c>
      <c r="V288" s="128"/>
      <c r="W288" s="136"/>
      <c r="X288" s="341" t="s">
        <v>257</v>
      </c>
      <c r="Y288" s="120"/>
      <c r="Z288" s="121"/>
      <c r="AA288" s="121"/>
      <c r="AB288" s="122"/>
      <c r="AC288" s="122"/>
      <c r="AD288" s="122"/>
      <c r="AE288" s="122"/>
      <c r="AF288" s="122"/>
      <c r="AG288" s="122"/>
      <c r="AH288" s="122"/>
      <c r="AI288" s="122"/>
      <c r="AJ288" s="122"/>
      <c r="AK288" s="122"/>
      <c r="AL288" s="122"/>
    </row>
    <row r="289" ht="22.5" hidden="1" customHeight="1">
      <c r="A289" s="103" t="s">
        <v>709</v>
      </c>
      <c r="B289" s="104"/>
      <c r="C289" s="194" t="s">
        <v>710</v>
      </c>
      <c r="D289" s="190"/>
      <c r="E289" s="107" t="s">
        <v>157</v>
      </c>
      <c r="F289" s="108" t="s">
        <v>30</v>
      </c>
      <c r="G289" s="109" t="s">
        <v>711</v>
      </c>
      <c r="H289" s="110" t="s">
        <v>116</v>
      </c>
      <c r="I289" s="110" t="s">
        <v>274</v>
      </c>
      <c r="J289" s="111" t="s">
        <v>712</v>
      </c>
      <c r="K289" s="135"/>
      <c r="L289" s="113">
        <v>46129.0</v>
      </c>
      <c r="M289" s="113">
        <v>46132.0</v>
      </c>
      <c r="N289" s="114"/>
      <c r="O289" s="115" t="s">
        <v>70</v>
      </c>
      <c r="P289" s="116"/>
      <c r="Q289" s="107" t="s">
        <v>144</v>
      </c>
      <c r="R289" s="107" t="s">
        <v>133</v>
      </c>
      <c r="S289" s="115" t="s">
        <v>55</v>
      </c>
      <c r="T289" s="115" t="s">
        <v>100</v>
      </c>
      <c r="U289" s="118" t="s">
        <v>37</v>
      </c>
      <c r="V289" s="119"/>
      <c r="W289" s="111" t="s">
        <v>416</v>
      </c>
      <c r="X289" s="341" t="s">
        <v>257</v>
      </c>
      <c r="Y289" s="120"/>
      <c r="Z289" s="121"/>
      <c r="AA289" s="121"/>
      <c r="AB289" s="122"/>
      <c r="AC289" s="122"/>
      <c r="AD289" s="122"/>
      <c r="AE289" s="122"/>
      <c r="AF289" s="122"/>
      <c r="AG289" s="122"/>
      <c r="AH289" s="122"/>
      <c r="AI289" s="122"/>
      <c r="AJ289" s="122"/>
      <c r="AK289" s="122"/>
      <c r="AL289" s="122"/>
    </row>
    <row r="290" ht="22.5" hidden="1" customHeight="1">
      <c r="A290" s="103" t="s">
        <v>411</v>
      </c>
      <c r="B290" s="104"/>
      <c r="C290" s="265" t="s">
        <v>713</v>
      </c>
      <c r="D290" s="190"/>
      <c r="E290" s="107" t="s">
        <v>157</v>
      </c>
      <c r="F290" s="108" t="s">
        <v>30</v>
      </c>
      <c r="G290" s="109" t="s">
        <v>711</v>
      </c>
      <c r="H290" s="110" t="s">
        <v>116</v>
      </c>
      <c r="I290" s="110" t="s">
        <v>274</v>
      </c>
      <c r="J290" s="111" t="s">
        <v>714</v>
      </c>
      <c r="K290" s="135"/>
      <c r="L290" s="113">
        <v>46141.0</v>
      </c>
      <c r="M290" s="113">
        <v>46146.0</v>
      </c>
      <c r="N290" s="114"/>
      <c r="O290" s="115" t="s">
        <v>70</v>
      </c>
      <c r="P290" s="116"/>
      <c r="Q290" s="107" t="s">
        <v>144</v>
      </c>
      <c r="R290" s="107" t="s">
        <v>133</v>
      </c>
      <c r="S290" s="115" t="s">
        <v>55</v>
      </c>
      <c r="T290" s="115" t="s">
        <v>100</v>
      </c>
      <c r="U290" s="118" t="s">
        <v>37</v>
      </c>
      <c r="V290" s="119"/>
      <c r="W290" s="136"/>
      <c r="X290" s="341" t="s">
        <v>257</v>
      </c>
      <c r="Y290" s="120"/>
      <c r="Z290" s="121"/>
      <c r="AA290" s="121"/>
      <c r="AB290" s="122"/>
      <c r="AC290" s="122"/>
      <c r="AD290" s="122"/>
      <c r="AE290" s="122"/>
      <c r="AF290" s="122"/>
      <c r="AG290" s="122"/>
      <c r="AH290" s="122"/>
      <c r="AI290" s="122"/>
      <c r="AJ290" s="122"/>
      <c r="AK290" s="122"/>
      <c r="AL290" s="122"/>
    </row>
    <row r="291" ht="22.5" hidden="1" customHeight="1">
      <c r="A291" s="192" t="s">
        <v>574</v>
      </c>
      <c r="B291" s="193"/>
      <c r="C291" s="194" t="s">
        <v>715</v>
      </c>
      <c r="D291" s="195">
        <v>2408.0</v>
      </c>
      <c r="E291" s="296" t="s">
        <v>29</v>
      </c>
      <c r="F291" s="74" t="s">
        <v>30</v>
      </c>
      <c r="G291" s="196" t="s">
        <v>332</v>
      </c>
      <c r="H291" s="76" t="s">
        <v>31</v>
      </c>
      <c r="I291" s="76" t="s">
        <v>132</v>
      </c>
      <c r="J291" s="70">
        <v>20000.0</v>
      </c>
      <c r="K291" s="197">
        <v>1526.0</v>
      </c>
      <c r="L291" s="78">
        <v>46149.0</v>
      </c>
      <c r="M291" s="78">
        <v>46154.0</v>
      </c>
      <c r="N291" s="198"/>
      <c r="O291" s="284" t="s">
        <v>34</v>
      </c>
      <c r="P291" s="199"/>
      <c r="Q291" s="52" t="s">
        <v>35</v>
      </c>
      <c r="R291" s="200"/>
      <c r="S291" s="82" t="s">
        <v>35</v>
      </c>
      <c r="T291" s="82" t="s">
        <v>36</v>
      </c>
      <c r="U291" s="201" t="s">
        <v>37</v>
      </c>
      <c r="V291" s="84"/>
      <c r="W291" s="85" t="s">
        <v>716</v>
      </c>
      <c r="X291" s="202"/>
      <c r="Y291" s="259" t="s">
        <v>700</v>
      </c>
      <c r="Z291" s="259" t="s">
        <v>700</v>
      </c>
      <c r="AA291" s="259" t="s">
        <v>700</v>
      </c>
      <c r="AB291" s="88"/>
      <c r="AC291" s="88"/>
      <c r="AD291" s="88"/>
      <c r="AE291" s="88"/>
      <c r="AF291" s="88"/>
      <c r="AG291" s="88"/>
      <c r="AH291" s="88"/>
      <c r="AI291" s="88"/>
      <c r="AJ291" s="88"/>
      <c r="AK291" s="88"/>
      <c r="AL291" s="88"/>
      <c r="AM291" s="89"/>
      <c r="AN291" s="89"/>
      <c r="AO291" s="89"/>
      <c r="AP291" s="89"/>
      <c r="AQ291" s="89"/>
      <c r="AR291" s="89"/>
      <c r="AS291" s="89"/>
      <c r="AT291" s="89"/>
      <c r="AU291" s="89"/>
      <c r="AV291" s="89"/>
      <c r="AW291" s="89"/>
      <c r="AX291" s="89"/>
      <c r="AY291" s="89"/>
      <c r="AZ291" s="89"/>
      <c r="BA291" s="89"/>
      <c r="BB291" s="89"/>
      <c r="BC291" s="89"/>
      <c r="BD291" s="89"/>
      <c r="BE291" s="89"/>
      <c r="BF291" s="89"/>
      <c r="BG291" s="89"/>
      <c r="BH291" s="89"/>
      <c r="BI291" s="89"/>
      <c r="BJ291" s="89"/>
      <c r="BK291" s="89"/>
      <c r="BL291" s="89"/>
      <c r="BM291" s="89"/>
      <c r="BN291" s="89"/>
    </row>
    <row r="292" ht="22.5" hidden="1" customHeight="1">
      <c r="A292" s="192" t="s">
        <v>574</v>
      </c>
      <c r="B292" s="193"/>
      <c r="C292" s="194" t="s">
        <v>717</v>
      </c>
      <c r="D292" s="195">
        <v>2416.0</v>
      </c>
      <c r="E292" s="73" t="s">
        <v>29</v>
      </c>
      <c r="F292" s="74" t="s">
        <v>30</v>
      </c>
      <c r="G292" s="196" t="s">
        <v>718</v>
      </c>
      <c r="H292" s="76" t="s">
        <v>31</v>
      </c>
      <c r="I292" s="76" t="s">
        <v>132</v>
      </c>
      <c r="J292" s="70">
        <v>50000.0</v>
      </c>
      <c r="K292" s="197">
        <v>2225.0</v>
      </c>
      <c r="L292" s="78">
        <v>46157.0</v>
      </c>
      <c r="M292" s="78">
        <v>46157.0</v>
      </c>
      <c r="N292" s="198"/>
      <c r="O292" s="80" t="s">
        <v>34</v>
      </c>
      <c r="P292" s="199"/>
      <c r="Q292" s="52" t="s">
        <v>35</v>
      </c>
      <c r="R292" s="52" t="s">
        <v>133</v>
      </c>
      <c r="S292" s="82" t="s">
        <v>35</v>
      </c>
      <c r="T292" s="82" t="s">
        <v>36</v>
      </c>
      <c r="U292" s="201" t="s">
        <v>37</v>
      </c>
      <c r="V292" s="84"/>
      <c r="W292" s="285"/>
      <c r="X292" s="202"/>
      <c r="Y292" s="259" t="s">
        <v>700</v>
      </c>
      <c r="Z292" s="259" t="s">
        <v>700</v>
      </c>
      <c r="AA292" s="259" t="s">
        <v>700</v>
      </c>
      <c r="AB292" s="88"/>
      <c r="AC292" s="88"/>
      <c r="AD292" s="88"/>
      <c r="AE292" s="88"/>
      <c r="AF292" s="88"/>
      <c r="AG292" s="88"/>
      <c r="AH292" s="88"/>
      <c r="AI292" s="88"/>
      <c r="AJ292" s="88"/>
      <c r="AK292" s="88"/>
      <c r="AL292" s="88"/>
      <c r="AM292" s="89"/>
      <c r="AN292" s="89"/>
      <c r="AO292" s="89"/>
      <c r="AP292" s="89"/>
      <c r="AQ292" s="89"/>
      <c r="AR292" s="89"/>
      <c r="AS292" s="89"/>
      <c r="AT292" s="89"/>
      <c r="AU292" s="89"/>
      <c r="AV292" s="89"/>
      <c r="AW292" s="89"/>
      <c r="AX292" s="89"/>
      <c r="AY292" s="89"/>
      <c r="AZ292" s="89"/>
      <c r="BA292" s="89"/>
      <c r="BB292" s="89"/>
      <c r="BC292" s="89"/>
      <c r="BD292" s="89"/>
      <c r="BE292" s="89"/>
      <c r="BF292" s="89"/>
      <c r="BG292" s="89"/>
      <c r="BH292" s="89"/>
      <c r="BI292" s="89"/>
      <c r="BJ292" s="89"/>
      <c r="BK292" s="89"/>
      <c r="BL292" s="89"/>
      <c r="BM292" s="89"/>
      <c r="BN292" s="89"/>
    </row>
    <row r="293" ht="22.5" hidden="1" customHeight="1">
      <c r="A293" s="192" t="s">
        <v>574</v>
      </c>
      <c r="B293" s="193"/>
      <c r="C293" s="194" t="s">
        <v>719</v>
      </c>
      <c r="D293" s="195">
        <v>2417.0</v>
      </c>
      <c r="E293" s="73" t="s">
        <v>29</v>
      </c>
      <c r="F293" s="74" t="s">
        <v>30</v>
      </c>
      <c r="G293" s="196" t="s">
        <v>332</v>
      </c>
      <c r="H293" s="76" t="s">
        <v>31</v>
      </c>
      <c r="I293" s="76" t="s">
        <v>132</v>
      </c>
      <c r="J293" s="70">
        <v>20000.0</v>
      </c>
      <c r="K293" s="197">
        <v>1426.0</v>
      </c>
      <c r="L293" s="78">
        <v>46157.0</v>
      </c>
      <c r="M293" s="78">
        <v>46160.0</v>
      </c>
      <c r="N293" s="198"/>
      <c r="O293" s="80" t="s">
        <v>34</v>
      </c>
      <c r="P293" s="199"/>
      <c r="Q293" s="200"/>
      <c r="R293" s="52" t="s">
        <v>133</v>
      </c>
      <c r="S293" s="82" t="s">
        <v>36</v>
      </c>
      <c r="T293" s="82" t="s">
        <v>36</v>
      </c>
      <c r="U293" s="201" t="s">
        <v>37</v>
      </c>
      <c r="V293" s="84"/>
      <c r="W293" s="285"/>
      <c r="X293" s="202"/>
      <c r="Y293" s="259" t="s">
        <v>700</v>
      </c>
      <c r="Z293" s="259" t="s">
        <v>700</v>
      </c>
      <c r="AA293" s="259" t="s">
        <v>700</v>
      </c>
      <c r="AB293" s="88"/>
      <c r="AC293" s="88"/>
      <c r="AD293" s="88"/>
      <c r="AE293" s="88"/>
      <c r="AF293" s="88"/>
      <c r="AG293" s="88"/>
      <c r="AH293" s="88"/>
      <c r="AI293" s="88"/>
      <c r="AJ293" s="88"/>
      <c r="AK293" s="88"/>
      <c r="AL293" s="88"/>
      <c r="AM293" s="89"/>
      <c r="AN293" s="89"/>
      <c r="AO293" s="89"/>
      <c r="AP293" s="89"/>
      <c r="AQ293" s="89"/>
      <c r="AR293" s="89"/>
      <c r="AS293" s="89"/>
      <c r="AT293" s="89"/>
      <c r="AU293" s="89"/>
      <c r="AV293" s="89"/>
      <c r="AW293" s="89"/>
      <c r="AX293" s="89"/>
      <c r="AY293" s="89"/>
      <c r="AZ293" s="89"/>
      <c r="BA293" s="89"/>
      <c r="BB293" s="89"/>
      <c r="BC293" s="89"/>
      <c r="BD293" s="89"/>
      <c r="BE293" s="89"/>
      <c r="BF293" s="89"/>
      <c r="BG293" s="89"/>
      <c r="BH293" s="89"/>
      <c r="BI293" s="89"/>
      <c r="BJ293" s="89"/>
      <c r="BK293" s="89"/>
      <c r="BL293" s="89"/>
      <c r="BM293" s="89"/>
      <c r="BN293" s="89"/>
    </row>
    <row r="294" ht="22.5" hidden="1" customHeight="1">
      <c r="A294" s="192" t="s">
        <v>720</v>
      </c>
      <c r="B294" s="193"/>
      <c r="C294" s="105" t="s">
        <v>721</v>
      </c>
      <c r="D294" s="195">
        <v>2418.0</v>
      </c>
      <c r="E294" s="73" t="s">
        <v>157</v>
      </c>
      <c r="F294" s="74" t="s">
        <v>30</v>
      </c>
      <c r="G294" s="196" t="s">
        <v>722</v>
      </c>
      <c r="H294" s="76" t="s">
        <v>31</v>
      </c>
      <c r="I294" s="342"/>
      <c r="J294" s="70">
        <v>10000.0</v>
      </c>
      <c r="K294" s="197">
        <v>773.0</v>
      </c>
      <c r="L294" s="78">
        <v>46157.0</v>
      </c>
      <c r="M294" s="78">
        <v>46162.0</v>
      </c>
      <c r="N294" s="198"/>
      <c r="O294" s="80" t="s">
        <v>70</v>
      </c>
      <c r="P294" s="199"/>
      <c r="Q294" s="73" t="s">
        <v>35</v>
      </c>
      <c r="R294" s="73" t="s">
        <v>133</v>
      </c>
      <c r="S294" s="80" t="s">
        <v>35</v>
      </c>
      <c r="T294" s="80" t="s">
        <v>36</v>
      </c>
      <c r="U294" s="343" t="s">
        <v>37</v>
      </c>
      <c r="V294" s="79"/>
      <c r="W294" s="70" t="s">
        <v>723</v>
      </c>
      <c r="X294" s="259" t="s">
        <v>724</v>
      </c>
      <c r="Y294" s="259" t="s">
        <v>700</v>
      </c>
      <c r="Z294" s="259" t="s">
        <v>700</v>
      </c>
      <c r="AA294" s="259" t="s">
        <v>700</v>
      </c>
      <c r="AB294" s="88"/>
      <c r="AC294" s="88"/>
      <c r="AD294" s="88"/>
      <c r="AE294" s="88"/>
      <c r="AF294" s="88"/>
      <c r="AG294" s="88"/>
      <c r="AH294" s="88"/>
      <c r="AI294" s="88"/>
      <c r="AJ294" s="88"/>
      <c r="AK294" s="88"/>
      <c r="AL294" s="88"/>
      <c r="AM294" s="89"/>
      <c r="AN294" s="89"/>
      <c r="AO294" s="89"/>
      <c r="AP294" s="89"/>
      <c r="AQ294" s="89"/>
      <c r="AR294" s="89"/>
      <c r="AS294" s="89"/>
      <c r="AT294" s="89"/>
      <c r="AU294" s="89"/>
      <c r="AV294" s="89"/>
      <c r="AW294" s="89"/>
      <c r="AX294" s="89"/>
      <c r="AY294" s="89"/>
      <c r="AZ294" s="89"/>
      <c r="BA294" s="89"/>
      <c r="BB294" s="89"/>
      <c r="BC294" s="89"/>
      <c r="BD294" s="89"/>
      <c r="BE294" s="89"/>
      <c r="BF294" s="89"/>
      <c r="BG294" s="89"/>
      <c r="BH294" s="89"/>
      <c r="BI294" s="89"/>
      <c r="BJ294" s="89"/>
      <c r="BK294" s="89"/>
      <c r="BL294" s="89"/>
      <c r="BM294" s="89"/>
      <c r="BN294" s="89"/>
    </row>
    <row r="295" ht="22.5" hidden="1" customHeight="1">
      <c r="A295" s="192" t="s">
        <v>574</v>
      </c>
      <c r="B295" s="193"/>
      <c r="C295" s="194" t="s">
        <v>725</v>
      </c>
      <c r="D295" s="195">
        <v>2423.0</v>
      </c>
      <c r="E295" s="73" t="s">
        <v>29</v>
      </c>
      <c r="F295" s="74" t="s">
        <v>30</v>
      </c>
      <c r="G295" s="196" t="s">
        <v>332</v>
      </c>
      <c r="H295" s="76" t="s">
        <v>31</v>
      </c>
      <c r="I295" s="76" t="s">
        <v>132</v>
      </c>
      <c r="J295" s="70">
        <v>20000.0</v>
      </c>
      <c r="K295" s="197">
        <v>1426.0</v>
      </c>
      <c r="L295" s="78">
        <v>46157.0</v>
      </c>
      <c r="M295" s="78">
        <v>46163.0</v>
      </c>
      <c r="N295" s="198"/>
      <c r="O295" s="80" t="s">
        <v>34</v>
      </c>
      <c r="P295" s="199"/>
      <c r="Q295" s="200"/>
      <c r="R295" s="52" t="s">
        <v>133</v>
      </c>
      <c r="S295" s="82" t="s">
        <v>35</v>
      </c>
      <c r="T295" s="82" t="s">
        <v>36</v>
      </c>
      <c r="U295" s="201" t="s">
        <v>37</v>
      </c>
      <c r="V295" s="84"/>
      <c r="W295" s="285"/>
      <c r="X295" s="202"/>
      <c r="Y295" s="259" t="s">
        <v>700</v>
      </c>
      <c r="Z295" s="259" t="s">
        <v>700</v>
      </c>
      <c r="AA295" s="259" t="s">
        <v>700</v>
      </c>
      <c r="AB295" s="88"/>
      <c r="AC295" s="88"/>
      <c r="AD295" s="88"/>
      <c r="AE295" s="88"/>
      <c r="AF295" s="88"/>
      <c r="AG295" s="88"/>
      <c r="AH295" s="88"/>
      <c r="AI295" s="88"/>
      <c r="AJ295" s="88"/>
      <c r="AK295" s="88"/>
      <c r="AL295" s="88"/>
      <c r="AM295" s="89"/>
      <c r="AN295" s="89"/>
      <c r="AO295" s="89"/>
      <c r="AP295" s="89"/>
      <c r="AQ295" s="89"/>
      <c r="AR295" s="89"/>
      <c r="AS295" s="89"/>
      <c r="AT295" s="89"/>
      <c r="AU295" s="89"/>
      <c r="AV295" s="89"/>
      <c r="AW295" s="89"/>
      <c r="AX295" s="89"/>
      <c r="AY295" s="89"/>
      <c r="AZ295" s="89"/>
      <c r="BA295" s="89"/>
      <c r="BB295" s="89"/>
      <c r="BC295" s="89"/>
      <c r="BD295" s="89"/>
      <c r="BE295" s="89"/>
      <c r="BF295" s="89"/>
      <c r="BG295" s="89"/>
      <c r="BH295" s="89"/>
      <c r="BI295" s="89"/>
      <c r="BJ295" s="89"/>
      <c r="BK295" s="89"/>
      <c r="BL295" s="89"/>
      <c r="BM295" s="89"/>
      <c r="BN295" s="89"/>
    </row>
    <row r="296" ht="22.5" hidden="1" customHeight="1">
      <c r="A296" s="192" t="s">
        <v>574</v>
      </c>
      <c r="B296" s="193"/>
      <c r="C296" s="105" t="s">
        <v>726</v>
      </c>
      <c r="D296" s="195">
        <v>2424.0</v>
      </c>
      <c r="E296" s="73" t="s">
        <v>29</v>
      </c>
      <c r="F296" s="74" t="s">
        <v>30</v>
      </c>
      <c r="G296" s="196" t="s">
        <v>727</v>
      </c>
      <c r="H296" s="76" t="s">
        <v>31</v>
      </c>
      <c r="I296" s="76" t="s">
        <v>132</v>
      </c>
      <c r="J296" s="70">
        <v>20000.0</v>
      </c>
      <c r="K296" s="197">
        <v>1434.0</v>
      </c>
      <c r="L296" s="78">
        <v>46149.0</v>
      </c>
      <c r="M296" s="78">
        <v>46154.0</v>
      </c>
      <c r="N296" s="198"/>
      <c r="O296" s="284" t="s">
        <v>34</v>
      </c>
      <c r="P296" s="199"/>
      <c r="Q296" s="52" t="s">
        <v>35</v>
      </c>
      <c r="R296" s="200"/>
      <c r="S296" s="82" t="s">
        <v>35</v>
      </c>
      <c r="T296" s="82" t="s">
        <v>36</v>
      </c>
      <c r="U296" s="201" t="s">
        <v>37</v>
      </c>
      <c r="V296" s="84"/>
      <c r="W296" s="85"/>
      <c r="X296" s="202"/>
      <c r="Y296" s="259">
        <v>4.0</v>
      </c>
      <c r="Z296" s="259">
        <v>8.0</v>
      </c>
      <c r="AA296" s="259" t="s">
        <v>437</v>
      </c>
      <c r="AB296" s="88"/>
      <c r="AC296" s="88"/>
      <c r="AD296" s="88"/>
      <c r="AE296" s="88"/>
      <c r="AF296" s="88"/>
      <c r="AG296" s="88"/>
      <c r="AH296" s="88"/>
      <c r="AI296" s="88"/>
      <c r="AJ296" s="88"/>
      <c r="AK296" s="88"/>
      <c r="AL296" s="88"/>
      <c r="AM296" s="89"/>
      <c r="AN296" s="89"/>
      <c r="AO296" s="89"/>
      <c r="AP296" s="89"/>
      <c r="AQ296" s="89"/>
      <c r="AR296" s="89"/>
      <c r="AS296" s="89"/>
      <c r="AT296" s="89"/>
      <c r="AU296" s="89"/>
      <c r="AV296" s="89"/>
      <c r="AW296" s="89"/>
      <c r="AX296" s="89"/>
      <c r="AY296" s="89"/>
      <c r="AZ296" s="89"/>
      <c r="BA296" s="89"/>
      <c r="BB296" s="89"/>
      <c r="BC296" s="89"/>
      <c r="BD296" s="89"/>
      <c r="BE296" s="89"/>
      <c r="BF296" s="89"/>
      <c r="BG296" s="89"/>
      <c r="BH296" s="89"/>
      <c r="BI296" s="89"/>
      <c r="BJ296" s="89"/>
      <c r="BK296" s="89"/>
      <c r="BL296" s="89"/>
      <c r="BM296" s="89"/>
      <c r="BN296" s="89"/>
    </row>
    <row r="297" ht="22.5" hidden="1" customHeight="1">
      <c r="A297" s="103" t="s">
        <v>155</v>
      </c>
      <c r="B297" s="104"/>
      <c r="C297" s="265" t="s">
        <v>728</v>
      </c>
      <c r="D297" s="106" t="s">
        <v>729</v>
      </c>
      <c r="E297" s="107" t="s">
        <v>157</v>
      </c>
      <c r="F297" s="108" t="s">
        <v>30</v>
      </c>
      <c r="G297" s="109" t="s">
        <v>551</v>
      </c>
      <c r="H297" s="110" t="s">
        <v>31</v>
      </c>
      <c r="I297" s="110" t="s">
        <v>98</v>
      </c>
      <c r="J297" s="111" t="s">
        <v>730</v>
      </c>
      <c r="K297" s="112">
        <v>5271.0</v>
      </c>
      <c r="L297" s="113">
        <v>46146.0</v>
      </c>
      <c r="M297" s="113">
        <v>46149.0</v>
      </c>
      <c r="N297" s="114"/>
      <c r="O297" s="115" t="s">
        <v>731</v>
      </c>
      <c r="P297" s="116"/>
      <c r="Q297" s="107" t="s">
        <v>35</v>
      </c>
      <c r="R297" s="107" t="s">
        <v>133</v>
      </c>
      <c r="S297" s="115" t="s">
        <v>35</v>
      </c>
      <c r="T297" s="115" t="s">
        <v>36</v>
      </c>
      <c r="U297" s="118" t="s">
        <v>37</v>
      </c>
      <c r="V297" s="119"/>
      <c r="W297" s="111" t="s">
        <v>536</v>
      </c>
      <c r="X297" s="164" t="s">
        <v>160</v>
      </c>
      <c r="Y297" s="120"/>
      <c r="Z297" s="121"/>
      <c r="AA297" s="121"/>
      <c r="AB297" s="122"/>
      <c r="AC297" s="122"/>
      <c r="AD297" s="122"/>
      <c r="AE297" s="122"/>
      <c r="AF297" s="122"/>
      <c r="AG297" s="122"/>
      <c r="AH297" s="122"/>
      <c r="AI297" s="122"/>
      <c r="AJ297" s="122"/>
      <c r="AK297" s="122"/>
      <c r="AL297" s="122"/>
    </row>
    <row r="298" ht="22.5" hidden="1" customHeight="1">
      <c r="A298" s="103" t="s">
        <v>155</v>
      </c>
      <c r="B298" s="104"/>
      <c r="C298" s="265" t="s">
        <v>732</v>
      </c>
      <c r="D298" s="106" t="s">
        <v>733</v>
      </c>
      <c r="E298" s="107" t="s">
        <v>157</v>
      </c>
      <c r="F298" s="108" t="s">
        <v>30</v>
      </c>
      <c r="G298" s="109" t="s">
        <v>734</v>
      </c>
      <c r="H298" s="110" t="s">
        <v>31</v>
      </c>
      <c r="I298" s="110" t="s">
        <v>98</v>
      </c>
      <c r="J298" s="111" t="s">
        <v>735</v>
      </c>
      <c r="K298" s="112">
        <v>8216.0</v>
      </c>
      <c r="L298" s="113">
        <v>46146.0</v>
      </c>
      <c r="M298" s="113">
        <v>46149.0</v>
      </c>
      <c r="N298" s="114"/>
      <c r="O298" s="115" t="s">
        <v>212</v>
      </c>
      <c r="P298" s="116"/>
      <c r="Q298" s="107" t="s">
        <v>144</v>
      </c>
      <c r="R298" s="107" t="s">
        <v>133</v>
      </c>
      <c r="S298" s="115" t="s">
        <v>35</v>
      </c>
      <c r="T298" s="115" t="s">
        <v>36</v>
      </c>
      <c r="U298" s="118" t="s">
        <v>37</v>
      </c>
      <c r="V298" s="119"/>
      <c r="W298" s="111" t="s">
        <v>536</v>
      </c>
      <c r="X298" s="164" t="s">
        <v>160</v>
      </c>
      <c r="Y298" s="120"/>
      <c r="Z298" s="121"/>
      <c r="AA298" s="121"/>
      <c r="AB298" s="122"/>
      <c r="AC298" s="122"/>
      <c r="AD298" s="122"/>
      <c r="AE298" s="122"/>
      <c r="AF298" s="122"/>
      <c r="AG298" s="122"/>
      <c r="AH298" s="122"/>
      <c r="AI298" s="122"/>
      <c r="AJ298" s="122"/>
      <c r="AK298" s="122"/>
      <c r="AL298" s="122"/>
    </row>
    <row r="299" ht="22.5" hidden="1" customHeight="1">
      <c r="A299" s="103" t="s">
        <v>155</v>
      </c>
      <c r="B299" s="104"/>
      <c r="C299" s="105" t="s">
        <v>736</v>
      </c>
      <c r="D299" s="106" t="s">
        <v>737</v>
      </c>
      <c r="E299" s="107" t="s">
        <v>157</v>
      </c>
      <c r="F299" s="108" t="s">
        <v>30</v>
      </c>
      <c r="G299" s="109" t="s">
        <v>738</v>
      </c>
      <c r="H299" s="110" t="s">
        <v>31</v>
      </c>
      <c r="I299" s="110" t="s">
        <v>98</v>
      </c>
      <c r="J299" s="111" t="s">
        <v>459</v>
      </c>
      <c r="K299" s="112">
        <v>2674.0</v>
      </c>
      <c r="L299" s="113">
        <v>46148.0</v>
      </c>
      <c r="M299" s="113">
        <v>46153.0</v>
      </c>
      <c r="N299" s="114"/>
      <c r="O299" s="115" t="s">
        <v>70</v>
      </c>
      <c r="P299" s="116"/>
      <c r="Q299" s="107" t="s">
        <v>144</v>
      </c>
      <c r="R299" s="107" t="s">
        <v>133</v>
      </c>
      <c r="S299" s="115" t="s">
        <v>35</v>
      </c>
      <c r="T299" s="115" t="s">
        <v>36</v>
      </c>
      <c r="U299" s="118" t="s">
        <v>37</v>
      </c>
      <c r="V299" s="119"/>
      <c r="W299" s="111" t="s">
        <v>536</v>
      </c>
      <c r="X299" s="164" t="s">
        <v>160</v>
      </c>
      <c r="Y299" s="120"/>
      <c r="Z299" s="121"/>
      <c r="AA299" s="121"/>
      <c r="AB299" s="122"/>
      <c r="AC299" s="122"/>
      <c r="AD299" s="122"/>
      <c r="AE299" s="122"/>
      <c r="AF299" s="122"/>
      <c r="AG299" s="122"/>
      <c r="AH299" s="122"/>
      <c r="AI299" s="122"/>
      <c r="AJ299" s="122"/>
      <c r="AK299" s="122"/>
      <c r="AL299" s="122"/>
    </row>
    <row r="300" ht="22.5" hidden="1" customHeight="1">
      <c r="A300" s="103" t="s">
        <v>184</v>
      </c>
      <c r="B300" s="104"/>
      <c r="C300" s="307" t="s">
        <v>739</v>
      </c>
      <c r="D300" s="106">
        <v>2468.0</v>
      </c>
      <c r="E300" s="107" t="s">
        <v>164</v>
      </c>
      <c r="F300" s="108" t="s">
        <v>72</v>
      </c>
      <c r="G300" s="109" t="s">
        <v>690</v>
      </c>
      <c r="H300" s="110" t="s">
        <v>31</v>
      </c>
      <c r="I300" s="110" t="s">
        <v>132</v>
      </c>
      <c r="J300" s="111" t="s">
        <v>740</v>
      </c>
      <c r="K300" s="112">
        <v>1535.0</v>
      </c>
      <c r="L300" s="113">
        <v>46154.0</v>
      </c>
      <c r="M300" s="113">
        <v>46167.0</v>
      </c>
      <c r="N300" s="114"/>
      <c r="O300" s="115" t="s">
        <v>99</v>
      </c>
      <c r="P300" s="116"/>
      <c r="Q300" s="167" t="s">
        <v>35</v>
      </c>
      <c r="R300" s="167" t="s">
        <v>133</v>
      </c>
      <c r="S300" s="126" t="s">
        <v>36</v>
      </c>
      <c r="T300" s="126" t="s">
        <v>36</v>
      </c>
      <c r="U300" s="127" t="s">
        <v>37</v>
      </c>
      <c r="V300" s="128"/>
      <c r="W300" s="129" t="s">
        <v>262</v>
      </c>
      <c r="X300" s="257" t="s">
        <v>189</v>
      </c>
      <c r="Y300" s="164" t="s">
        <v>516</v>
      </c>
      <c r="Z300" s="130" t="s">
        <v>516</v>
      </c>
      <c r="AA300" s="121"/>
      <c r="AB300" s="122"/>
      <c r="AC300" s="122"/>
      <c r="AD300" s="122"/>
      <c r="AE300" s="122"/>
      <c r="AF300" s="122"/>
      <c r="AG300" s="122"/>
      <c r="AH300" s="122"/>
      <c r="AI300" s="122"/>
      <c r="AJ300" s="122"/>
      <c r="AK300" s="122"/>
      <c r="AL300" s="122"/>
    </row>
    <row r="301" ht="22.5" hidden="1" customHeight="1">
      <c r="A301" s="103" t="s">
        <v>741</v>
      </c>
      <c r="B301" s="104"/>
      <c r="C301" s="105" t="s">
        <v>742</v>
      </c>
      <c r="D301" s="106">
        <v>2485.0</v>
      </c>
      <c r="E301" s="107" t="s">
        <v>29</v>
      </c>
      <c r="F301" s="108" t="s">
        <v>96</v>
      </c>
      <c r="G301" s="109" t="s">
        <v>743</v>
      </c>
      <c r="H301" s="110" t="s">
        <v>31</v>
      </c>
      <c r="I301" s="110" t="s">
        <v>132</v>
      </c>
      <c r="J301" s="111">
        <v>1800.0</v>
      </c>
      <c r="K301" s="112">
        <v>341.0</v>
      </c>
      <c r="L301" s="113">
        <v>46164.0</v>
      </c>
      <c r="M301" s="113">
        <v>46167.0</v>
      </c>
      <c r="N301" s="114"/>
      <c r="O301" s="115" t="s">
        <v>212</v>
      </c>
      <c r="P301" s="116"/>
      <c r="Q301" s="167" t="s">
        <v>144</v>
      </c>
      <c r="R301" s="167" t="s">
        <v>133</v>
      </c>
      <c r="S301" s="126" t="s">
        <v>36</v>
      </c>
      <c r="T301" s="126" t="s">
        <v>36</v>
      </c>
      <c r="U301" s="127" t="s">
        <v>37</v>
      </c>
      <c r="V301" s="128"/>
      <c r="W301" s="136"/>
      <c r="X301" s="120"/>
      <c r="Y301" s="120"/>
      <c r="Z301" s="121"/>
      <c r="AA301" s="121"/>
      <c r="AB301" s="122"/>
      <c r="AC301" s="122"/>
      <c r="AD301" s="122"/>
      <c r="AE301" s="122"/>
      <c r="AF301" s="122"/>
      <c r="AG301" s="122"/>
      <c r="AH301" s="122"/>
      <c r="AI301" s="122"/>
      <c r="AJ301" s="122"/>
      <c r="AK301" s="122"/>
      <c r="AL301" s="122"/>
    </row>
    <row r="302" ht="22.5" hidden="1" customHeight="1">
      <c r="A302" s="103" t="s">
        <v>744</v>
      </c>
      <c r="B302" s="104"/>
      <c r="C302" s="105" t="s">
        <v>745</v>
      </c>
      <c r="D302" s="242">
        <v>2502.0</v>
      </c>
      <c r="E302" s="107" t="s">
        <v>95</v>
      </c>
      <c r="F302" s="108" t="s">
        <v>72</v>
      </c>
      <c r="G302" s="109" t="s">
        <v>501</v>
      </c>
      <c r="H302" s="110" t="s">
        <v>31</v>
      </c>
      <c r="I302" s="110" t="s">
        <v>98</v>
      </c>
      <c r="J302" s="111">
        <v>10000.0</v>
      </c>
      <c r="K302" s="112">
        <v>778.0</v>
      </c>
      <c r="L302" s="113">
        <v>46164.0</v>
      </c>
      <c r="M302" s="113">
        <v>46168.0</v>
      </c>
      <c r="N302" s="114"/>
      <c r="O302" s="115" t="s">
        <v>99</v>
      </c>
      <c r="P302" s="116"/>
      <c r="Q302" s="107" t="s">
        <v>35</v>
      </c>
      <c r="R302" s="107" t="s">
        <v>133</v>
      </c>
      <c r="S302" s="115" t="s">
        <v>36</v>
      </c>
      <c r="T302" s="115" t="s">
        <v>36</v>
      </c>
      <c r="U302" s="127" t="s">
        <v>37</v>
      </c>
      <c r="V302" s="128"/>
      <c r="W302" s="344" t="s">
        <v>746</v>
      </c>
      <c r="X302" s="120"/>
      <c r="Y302" s="164" t="s">
        <v>516</v>
      </c>
      <c r="Z302" s="130" t="s">
        <v>516</v>
      </c>
      <c r="AA302" s="130" t="s">
        <v>516</v>
      </c>
      <c r="AB302" s="122"/>
      <c r="AC302" s="122"/>
      <c r="AD302" s="122"/>
      <c r="AE302" s="122"/>
      <c r="AF302" s="122"/>
      <c r="AG302" s="122"/>
      <c r="AH302" s="122"/>
      <c r="AI302" s="122"/>
      <c r="AJ302" s="122"/>
      <c r="AK302" s="122"/>
      <c r="AL302" s="122"/>
    </row>
    <row r="303" ht="22.5" hidden="1" customHeight="1">
      <c r="A303" s="103" t="s">
        <v>747</v>
      </c>
      <c r="B303" s="104"/>
      <c r="C303" s="105" t="s">
        <v>285</v>
      </c>
      <c r="D303" s="345">
        <v>2503.0</v>
      </c>
      <c r="E303" s="107" t="s">
        <v>95</v>
      </c>
      <c r="F303" s="108" t="s">
        <v>72</v>
      </c>
      <c r="G303" s="109" t="s">
        <v>748</v>
      </c>
      <c r="H303" s="179"/>
      <c r="I303" s="179"/>
      <c r="J303" s="111" t="s">
        <v>749</v>
      </c>
      <c r="K303" s="112">
        <v>10666.0</v>
      </c>
      <c r="L303" s="113">
        <v>46163.0</v>
      </c>
      <c r="M303" s="113">
        <v>46177.0</v>
      </c>
      <c r="N303" s="114"/>
      <c r="O303" s="115" t="s">
        <v>99</v>
      </c>
      <c r="P303" s="116"/>
      <c r="Q303" s="107" t="s">
        <v>35</v>
      </c>
      <c r="R303" s="107" t="s">
        <v>133</v>
      </c>
      <c r="S303" s="115" t="s">
        <v>36</v>
      </c>
      <c r="T303" s="115" t="s">
        <v>36</v>
      </c>
      <c r="U303" s="118" t="s">
        <v>37</v>
      </c>
      <c r="V303" s="119"/>
      <c r="W303" s="111" t="s">
        <v>262</v>
      </c>
      <c r="X303" s="164" t="s">
        <v>750</v>
      </c>
      <c r="Y303" s="346" t="s">
        <v>751</v>
      </c>
      <c r="Z303" s="130" t="s">
        <v>533</v>
      </c>
      <c r="AA303" s="121"/>
      <c r="AB303" s="122"/>
      <c r="AC303" s="122"/>
      <c r="AD303" s="122"/>
      <c r="AE303" s="122"/>
      <c r="AF303" s="122"/>
      <c r="AG303" s="122"/>
      <c r="AH303" s="122"/>
      <c r="AI303" s="122"/>
      <c r="AJ303" s="122"/>
      <c r="AK303" s="122"/>
      <c r="AL303" s="122"/>
    </row>
    <row r="304" ht="22.5" hidden="1" customHeight="1">
      <c r="A304" s="103" t="s">
        <v>747</v>
      </c>
      <c r="B304" s="104"/>
      <c r="C304" s="105" t="s">
        <v>752</v>
      </c>
      <c r="D304" s="345">
        <v>2505.0</v>
      </c>
      <c r="E304" s="107" t="s">
        <v>95</v>
      </c>
      <c r="F304" s="108" t="s">
        <v>72</v>
      </c>
      <c r="G304" s="109" t="s">
        <v>291</v>
      </c>
      <c r="H304" s="179"/>
      <c r="I304" s="179"/>
      <c r="J304" s="111" t="s">
        <v>197</v>
      </c>
      <c r="K304" s="112">
        <v>267.0</v>
      </c>
      <c r="L304" s="113">
        <v>46163.0</v>
      </c>
      <c r="M304" s="113">
        <v>46177.0</v>
      </c>
      <c r="N304" s="114"/>
      <c r="O304" s="115" t="s">
        <v>99</v>
      </c>
      <c r="P304" s="116"/>
      <c r="Q304" s="107" t="s">
        <v>35</v>
      </c>
      <c r="R304" s="107" t="s">
        <v>133</v>
      </c>
      <c r="S304" s="115" t="s">
        <v>36</v>
      </c>
      <c r="T304" s="115" t="s">
        <v>36</v>
      </c>
      <c r="U304" s="118" t="s">
        <v>37</v>
      </c>
      <c r="V304" s="119"/>
      <c r="W304" s="111" t="s">
        <v>262</v>
      </c>
      <c r="X304" s="164" t="s">
        <v>750</v>
      </c>
      <c r="Y304" s="346" t="s">
        <v>751</v>
      </c>
      <c r="Z304" s="130" t="s">
        <v>533</v>
      </c>
      <c r="AA304" s="130" t="s">
        <v>516</v>
      </c>
      <c r="AB304" s="122"/>
      <c r="AC304" s="122"/>
      <c r="AD304" s="122"/>
      <c r="AE304" s="122"/>
      <c r="AF304" s="122"/>
      <c r="AG304" s="122"/>
      <c r="AH304" s="122"/>
      <c r="AI304" s="122"/>
      <c r="AJ304" s="122"/>
      <c r="AK304" s="122"/>
      <c r="AL304" s="122"/>
    </row>
    <row r="305" ht="22.5" hidden="1" customHeight="1">
      <c r="A305" s="103" t="s">
        <v>747</v>
      </c>
      <c r="B305" s="104"/>
      <c r="C305" s="105" t="s">
        <v>753</v>
      </c>
      <c r="D305" s="345">
        <v>2506.0</v>
      </c>
      <c r="E305" s="107" t="s">
        <v>95</v>
      </c>
      <c r="F305" s="108" t="s">
        <v>72</v>
      </c>
      <c r="G305" s="109" t="s">
        <v>291</v>
      </c>
      <c r="H305" s="179"/>
      <c r="I305" s="179"/>
      <c r="J305" s="111" t="s">
        <v>187</v>
      </c>
      <c r="K305" s="112">
        <v>572.0</v>
      </c>
      <c r="L305" s="113">
        <v>46163.0</v>
      </c>
      <c r="M305" s="113">
        <v>46177.0</v>
      </c>
      <c r="N305" s="114"/>
      <c r="O305" s="115" t="s">
        <v>99</v>
      </c>
      <c r="P305" s="116"/>
      <c r="Q305" s="107" t="s">
        <v>35</v>
      </c>
      <c r="R305" s="107" t="s">
        <v>133</v>
      </c>
      <c r="S305" s="115" t="s">
        <v>36</v>
      </c>
      <c r="T305" s="115" t="s">
        <v>36</v>
      </c>
      <c r="U305" s="118" t="s">
        <v>37</v>
      </c>
      <c r="V305" s="119"/>
      <c r="W305" s="111" t="s">
        <v>262</v>
      </c>
      <c r="X305" s="341" t="s">
        <v>750</v>
      </c>
      <c r="Y305" s="346" t="s">
        <v>751</v>
      </c>
      <c r="Z305" s="130" t="s">
        <v>533</v>
      </c>
      <c r="AA305" s="130" t="s">
        <v>516</v>
      </c>
      <c r="AB305" s="122"/>
      <c r="AC305" s="122"/>
      <c r="AD305" s="122"/>
      <c r="AE305" s="122"/>
      <c r="AF305" s="122"/>
      <c r="AG305" s="122"/>
      <c r="AH305" s="122"/>
      <c r="AI305" s="122"/>
      <c r="AJ305" s="122"/>
      <c r="AK305" s="122"/>
      <c r="AL305" s="122"/>
    </row>
    <row r="306" ht="22.5" hidden="1" customHeight="1">
      <c r="A306" s="103" t="s">
        <v>747</v>
      </c>
      <c r="B306" s="104"/>
      <c r="C306" s="105" t="s">
        <v>556</v>
      </c>
      <c r="D306" s="345">
        <v>2507.0</v>
      </c>
      <c r="E306" s="107" t="s">
        <v>95</v>
      </c>
      <c r="F306" s="108" t="s">
        <v>72</v>
      </c>
      <c r="G306" s="109" t="s">
        <v>291</v>
      </c>
      <c r="H306" s="179"/>
      <c r="I306" s="179"/>
      <c r="J306" s="111" t="s">
        <v>754</v>
      </c>
      <c r="K306" s="112">
        <v>1334.0</v>
      </c>
      <c r="L306" s="113">
        <v>46163.0</v>
      </c>
      <c r="M306" s="113">
        <v>46177.0</v>
      </c>
      <c r="N306" s="114"/>
      <c r="O306" s="115" t="s">
        <v>99</v>
      </c>
      <c r="P306" s="116"/>
      <c r="Q306" s="107" t="s">
        <v>35</v>
      </c>
      <c r="R306" s="107" t="s">
        <v>133</v>
      </c>
      <c r="S306" s="115" t="s">
        <v>36</v>
      </c>
      <c r="T306" s="115" t="s">
        <v>36</v>
      </c>
      <c r="U306" s="118" t="s">
        <v>37</v>
      </c>
      <c r="V306" s="119"/>
      <c r="W306" s="111" t="s">
        <v>262</v>
      </c>
      <c r="X306" s="164" t="s">
        <v>750</v>
      </c>
      <c r="Y306" s="346" t="s">
        <v>751</v>
      </c>
      <c r="Z306" s="130" t="s">
        <v>533</v>
      </c>
      <c r="AA306" s="130" t="s">
        <v>516</v>
      </c>
      <c r="AB306" s="122"/>
      <c r="AC306" s="122"/>
      <c r="AD306" s="122"/>
      <c r="AE306" s="122"/>
      <c r="AF306" s="122"/>
      <c r="AG306" s="122"/>
      <c r="AH306" s="122"/>
      <c r="AI306" s="122"/>
      <c r="AJ306" s="122"/>
      <c r="AK306" s="122"/>
      <c r="AL306" s="122"/>
    </row>
    <row r="307" ht="22.5" hidden="1" customHeight="1">
      <c r="A307" s="103" t="s">
        <v>747</v>
      </c>
      <c r="B307" s="104"/>
      <c r="C307" s="105" t="s">
        <v>755</v>
      </c>
      <c r="D307" s="345">
        <v>2508.0</v>
      </c>
      <c r="E307" s="107" t="s">
        <v>95</v>
      </c>
      <c r="F307" s="108" t="s">
        <v>72</v>
      </c>
      <c r="G307" s="109" t="s">
        <v>291</v>
      </c>
      <c r="H307" s="179"/>
      <c r="I307" s="179"/>
      <c r="J307" s="111" t="s">
        <v>740</v>
      </c>
      <c r="K307" s="112">
        <v>877.0</v>
      </c>
      <c r="L307" s="113">
        <v>46163.0</v>
      </c>
      <c r="M307" s="113">
        <v>46177.0</v>
      </c>
      <c r="N307" s="114"/>
      <c r="O307" s="115" t="s">
        <v>99</v>
      </c>
      <c r="P307" s="116"/>
      <c r="Q307" s="107" t="s">
        <v>35</v>
      </c>
      <c r="R307" s="107" t="s">
        <v>133</v>
      </c>
      <c r="S307" s="115" t="s">
        <v>36</v>
      </c>
      <c r="T307" s="115" t="s">
        <v>36</v>
      </c>
      <c r="U307" s="118" t="s">
        <v>37</v>
      </c>
      <c r="V307" s="119"/>
      <c r="W307" s="111" t="s">
        <v>262</v>
      </c>
      <c r="X307" s="164" t="s">
        <v>750</v>
      </c>
      <c r="Y307" s="346" t="s">
        <v>751</v>
      </c>
      <c r="Z307" s="130" t="s">
        <v>533</v>
      </c>
      <c r="AA307" s="130" t="s">
        <v>516</v>
      </c>
      <c r="AB307" s="122"/>
      <c r="AC307" s="122"/>
      <c r="AD307" s="122"/>
      <c r="AE307" s="122"/>
      <c r="AF307" s="122"/>
      <c r="AG307" s="122"/>
      <c r="AH307" s="122"/>
      <c r="AI307" s="122"/>
      <c r="AJ307" s="122"/>
      <c r="AK307" s="122"/>
      <c r="AL307" s="122"/>
    </row>
    <row r="308" ht="22.5" hidden="1" customHeight="1">
      <c r="A308" s="103" t="s">
        <v>747</v>
      </c>
      <c r="B308" s="104"/>
      <c r="C308" s="105" t="s">
        <v>756</v>
      </c>
      <c r="D308" s="345">
        <v>2509.0</v>
      </c>
      <c r="E308" s="107" t="s">
        <v>95</v>
      </c>
      <c r="F308" s="108" t="s">
        <v>72</v>
      </c>
      <c r="G308" s="109" t="s">
        <v>291</v>
      </c>
      <c r="H308" s="179"/>
      <c r="I308" s="179"/>
      <c r="J308" s="111" t="s">
        <v>172</v>
      </c>
      <c r="K308" s="112">
        <v>1029.0</v>
      </c>
      <c r="L308" s="113">
        <v>46163.0</v>
      </c>
      <c r="M308" s="113">
        <v>46177.0</v>
      </c>
      <c r="N308" s="114"/>
      <c r="O308" s="115" t="s">
        <v>99</v>
      </c>
      <c r="P308" s="116"/>
      <c r="Q308" s="107" t="s">
        <v>35</v>
      </c>
      <c r="R308" s="107" t="s">
        <v>133</v>
      </c>
      <c r="S308" s="115" t="s">
        <v>36</v>
      </c>
      <c r="T308" s="115" t="s">
        <v>36</v>
      </c>
      <c r="U308" s="118" t="s">
        <v>37</v>
      </c>
      <c r="V308" s="119"/>
      <c r="W308" s="111" t="s">
        <v>262</v>
      </c>
      <c r="X308" s="164" t="s">
        <v>750</v>
      </c>
      <c r="Y308" s="346" t="s">
        <v>751</v>
      </c>
      <c r="Z308" s="130" t="s">
        <v>533</v>
      </c>
      <c r="AA308" s="130" t="s">
        <v>516</v>
      </c>
      <c r="AB308" s="122"/>
      <c r="AC308" s="122"/>
      <c r="AD308" s="122"/>
      <c r="AE308" s="122"/>
      <c r="AF308" s="122"/>
      <c r="AG308" s="122"/>
      <c r="AH308" s="122"/>
      <c r="AI308" s="122"/>
      <c r="AJ308" s="122"/>
      <c r="AK308" s="122"/>
      <c r="AL308" s="122"/>
    </row>
    <row r="309" ht="22.5" hidden="1" customHeight="1">
      <c r="A309" s="103" t="s">
        <v>747</v>
      </c>
      <c r="B309" s="104"/>
      <c r="C309" s="105" t="s">
        <v>757</v>
      </c>
      <c r="D309" s="345">
        <v>2510.0</v>
      </c>
      <c r="E309" s="107" t="s">
        <v>95</v>
      </c>
      <c r="F309" s="108" t="s">
        <v>72</v>
      </c>
      <c r="G309" s="109" t="s">
        <v>291</v>
      </c>
      <c r="H309" s="179"/>
      <c r="I309" s="179"/>
      <c r="J309" s="111" t="s">
        <v>740</v>
      </c>
      <c r="K309" s="112">
        <v>877.0</v>
      </c>
      <c r="L309" s="113">
        <v>46163.0</v>
      </c>
      <c r="M309" s="113">
        <v>46177.0</v>
      </c>
      <c r="N309" s="114"/>
      <c r="O309" s="115" t="s">
        <v>99</v>
      </c>
      <c r="P309" s="116"/>
      <c r="Q309" s="107" t="s">
        <v>35</v>
      </c>
      <c r="R309" s="107" t="s">
        <v>133</v>
      </c>
      <c r="S309" s="115" t="s">
        <v>36</v>
      </c>
      <c r="T309" s="115" t="s">
        <v>36</v>
      </c>
      <c r="U309" s="118" t="s">
        <v>37</v>
      </c>
      <c r="V309" s="119"/>
      <c r="W309" s="111" t="s">
        <v>262</v>
      </c>
      <c r="X309" s="164" t="s">
        <v>750</v>
      </c>
      <c r="Y309" s="346" t="s">
        <v>751</v>
      </c>
      <c r="Z309" s="130" t="s">
        <v>533</v>
      </c>
      <c r="AA309" s="130" t="s">
        <v>516</v>
      </c>
      <c r="AB309" s="122"/>
      <c r="AC309" s="122"/>
      <c r="AD309" s="122"/>
      <c r="AE309" s="122"/>
      <c r="AF309" s="122"/>
      <c r="AG309" s="122"/>
      <c r="AH309" s="122"/>
      <c r="AI309" s="122"/>
      <c r="AJ309" s="122"/>
      <c r="AK309" s="122"/>
      <c r="AL309" s="122"/>
    </row>
    <row r="310" ht="22.5" hidden="1" customHeight="1">
      <c r="A310" s="103" t="s">
        <v>747</v>
      </c>
      <c r="B310" s="104"/>
      <c r="C310" s="105" t="s">
        <v>563</v>
      </c>
      <c r="D310" s="345">
        <v>2511.0</v>
      </c>
      <c r="E310" s="107" t="s">
        <v>95</v>
      </c>
      <c r="F310" s="108" t="s">
        <v>72</v>
      </c>
      <c r="G310" s="109" t="s">
        <v>291</v>
      </c>
      <c r="H310" s="179"/>
      <c r="I310" s="179"/>
      <c r="J310" s="111" t="s">
        <v>758</v>
      </c>
      <c r="K310" s="112">
        <v>2898.0</v>
      </c>
      <c r="L310" s="113">
        <v>46163.0</v>
      </c>
      <c r="M310" s="113">
        <v>46177.0</v>
      </c>
      <c r="N310" s="114"/>
      <c r="O310" s="115" t="s">
        <v>99</v>
      </c>
      <c r="P310" s="116"/>
      <c r="Q310" s="107" t="s">
        <v>35</v>
      </c>
      <c r="R310" s="107" t="s">
        <v>133</v>
      </c>
      <c r="S310" s="115" t="s">
        <v>36</v>
      </c>
      <c r="T310" s="115" t="s">
        <v>36</v>
      </c>
      <c r="U310" s="118" t="s">
        <v>37</v>
      </c>
      <c r="V310" s="119"/>
      <c r="W310" s="111" t="s">
        <v>262</v>
      </c>
      <c r="X310" s="164" t="s">
        <v>750</v>
      </c>
      <c r="Y310" s="346" t="s">
        <v>751</v>
      </c>
      <c r="Z310" s="130" t="s">
        <v>533</v>
      </c>
      <c r="AA310" s="130" t="s">
        <v>516</v>
      </c>
      <c r="AB310" s="122"/>
      <c r="AC310" s="122"/>
      <c r="AD310" s="122"/>
      <c r="AE310" s="122"/>
      <c r="AF310" s="122"/>
      <c r="AG310" s="122"/>
      <c r="AH310" s="122"/>
      <c r="AI310" s="122"/>
      <c r="AJ310" s="122"/>
      <c r="AK310" s="122"/>
      <c r="AL310" s="122"/>
    </row>
    <row r="311" ht="22.5" hidden="1" customHeight="1">
      <c r="A311" s="103" t="s">
        <v>759</v>
      </c>
      <c r="B311" s="104"/>
      <c r="C311" s="105" t="s">
        <v>760</v>
      </c>
      <c r="D311" s="106">
        <v>2518.0</v>
      </c>
      <c r="E311" s="107" t="s">
        <v>29</v>
      </c>
      <c r="F311" s="108" t="s">
        <v>72</v>
      </c>
      <c r="G311" s="109" t="s">
        <v>761</v>
      </c>
      <c r="H311" s="110" t="s">
        <v>31</v>
      </c>
      <c r="I311" s="110" t="s">
        <v>261</v>
      </c>
      <c r="J311" s="111">
        <v>10000.0</v>
      </c>
      <c r="K311" s="112">
        <v>569.0</v>
      </c>
      <c r="L311" s="113">
        <v>46161.0</v>
      </c>
      <c r="M311" s="113">
        <v>46167.0</v>
      </c>
      <c r="N311" s="114"/>
      <c r="O311" s="115" t="s">
        <v>34</v>
      </c>
      <c r="P311" s="116"/>
      <c r="Q311" s="234"/>
      <c r="R311" s="167" t="s">
        <v>133</v>
      </c>
      <c r="S311" s="126" t="s">
        <v>36</v>
      </c>
      <c r="T311" s="126" t="s">
        <v>36</v>
      </c>
      <c r="U311" s="127" t="s">
        <v>37</v>
      </c>
      <c r="V311" s="128"/>
      <c r="W311" s="136"/>
      <c r="X311" s="120"/>
      <c r="Y311" s="120"/>
      <c r="Z311" s="121"/>
      <c r="AA311" s="121"/>
      <c r="AB311" s="122"/>
      <c r="AC311" s="122"/>
      <c r="AD311" s="122"/>
      <c r="AE311" s="122"/>
      <c r="AF311" s="122"/>
      <c r="AG311" s="122"/>
      <c r="AH311" s="122"/>
      <c r="AI311" s="122"/>
      <c r="AJ311" s="122"/>
      <c r="AK311" s="122"/>
      <c r="AL311" s="122"/>
    </row>
    <row r="312" ht="22.5" hidden="1" customHeight="1">
      <c r="A312" s="103" t="s">
        <v>744</v>
      </c>
      <c r="B312" s="104"/>
      <c r="C312" s="105" t="s">
        <v>762</v>
      </c>
      <c r="D312" s="242">
        <v>2524.0</v>
      </c>
      <c r="E312" s="107" t="s">
        <v>95</v>
      </c>
      <c r="F312" s="108" t="s">
        <v>68</v>
      </c>
      <c r="G312" s="109" t="s">
        <v>128</v>
      </c>
      <c r="H312" s="110" t="s">
        <v>31</v>
      </c>
      <c r="I312" s="110" t="s">
        <v>98</v>
      </c>
      <c r="J312" s="111">
        <v>10000.0</v>
      </c>
      <c r="K312" s="112">
        <v>678.0</v>
      </c>
      <c r="L312" s="113">
        <v>46164.0</v>
      </c>
      <c r="M312" s="113">
        <v>46168.0</v>
      </c>
      <c r="N312" s="114"/>
      <c r="O312" s="115" t="s">
        <v>99</v>
      </c>
      <c r="P312" s="116"/>
      <c r="Q312" s="107" t="s">
        <v>35</v>
      </c>
      <c r="R312" s="107" t="s">
        <v>133</v>
      </c>
      <c r="S312" s="115" t="s">
        <v>36</v>
      </c>
      <c r="T312" s="115" t="s">
        <v>36</v>
      </c>
      <c r="U312" s="118" t="s">
        <v>37</v>
      </c>
      <c r="V312" s="119"/>
      <c r="W312" s="344" t="s">
        <v>746</v>
      </c>
      <c r="X312" s="120"/>
      <c r="Y312" s="164" t="s">
        <v>516</v>
      </c>
      <c r="Z312" s="130" t="s">
        <v>516</v>
      </c>
      <c r="AA312" s="130" t="s">
        <v>516</v>
      </c>
      <c r="AB312" s="122"/>
      <c r="AC312" s="122"/>
      <c r="AD312" s="122"/>
      <c r="AE312" s="122"/>
      <c r="AF312" s="122"/>
      <c r="AG312" s="122"/>
      <c r="AH312" s="122"/>
      <c r="AI312" s="122"/>
      <c r="AJ312" s="122"/>
      <c r="AK312" s="122"/>
      <c r="AL312" s="122"/>
    </row>
    <row r="313" ht="22.5" hidden="1" customHeight="1">
      <c r="A313" s="192" t="s">
        <v>574</v>
      </c>
      <c r="B313" s="193"/>
      <c r="C313" s="105" t="s">
        <v>763</v>
      </c>
      <c r="D313" s="195">
        <v>2525.0</v>
      </c>
      <c r="E313" s="73" t="s">
        <v>29</v>
      </c>
      <c r="F313" s="74" t="s">
        <v>30</v>
      </c>
      <c r="G313" s="196" t="s">
        <v>138</v>
      </c>
      <c r="H313" s="76" t="s">
        <v>31</v>
      </c>
      <c r="I313" s="76" t="s">
        <v>132</v>
      </c>
      <c r="J313" s="70">
        <v>50000.0</v>
      </c>
      <c r="K313" s="197">
        <v>2275.0</v>
      </c>
      <c r="L313" s="78">
        <v>46157.0</v>
      </c>
      <c r="M313" s="78">
        <v>46160.0</v>
      </c>
      <c r="N313" s="198"/>
      <c r="O313" s="80" t="s">
        <v>34</v>
      </c>
      <c r="P313" s="199"/>
      <c r="Q313" s="200"/>
      <c r="R313" s="52" t="s">
        <v>133</v>
      </c>
      <c r="S313" s="82" t="s">
        <v>36</v>
      </c>
      <c r="T313" s="82" t="s">
        <v>36</v>
      </c>
      <c r="U313" s="201" t="s">
        <v>37</v>
      </c>
      <c r="V313" s="84"/>
      <c r="W313" s="285"/>
      <c r="X313" s="202"/>
      <c r="Y313" s="259">
        <v>10.0</v>
      </c>
      <c r="Z313" s="260">
        <v>20.0</v>
      </c>
      <c r="AA313" s="260" t="s">
        <v>437</v>
      </c>
      <c r="AB313" s="88"/>
      <c r="AC313" s="88"/>
      <c r="AD313" s="88"/>
      <c r="AE313" s="88"/>
      <c r="AF313" s="88"/>
      <c r="AG313" s="88"/>
      <c r="AH313" s="88"/>
      <c r="AI313" s="88"/>
      <c r="AJ313" s="88"/>
      <c r="AK313" s="88"/>
      <c r="AL313" s="88"/>
      <c r="AM313" s="89"/>
      <c r="AN313" s="89"/>
      <c r="AO313" s="89"/>
      <c r="AP313" s="89"/>
      <c r="AQ313" s="89"/>
      <c r="AR313" s="89"/>
      <c r="AS313" s="89"/>
      <c r="AT313" s="89"/>
      <c r="AU313" s="89"/>
      <c r="AV313" s="89"/>
      <c r="AW313" s="89"/>
      <c r="AX313" s="89"/>
      <c r="AY313" s="89"/>
      <c r="AZ313" s="89"/>
      <c r="BA313" s="89"/>
      <c r="BB313" s="89"/>
      <c r="BC313" s="89"/>
      <c r="BD313" s="89"/>
      <c r="BE313" s="89"/>
      <c r="BF313" s="89"/>
      <c r="BG313" s="89"/>
      <c r="BH313" s="89"/>
      <c r="BI313" s="89"/>
      <c r="BJ313" s="89"/>
      <c r="BK313" s="89"/>
      <c r="BL313" s="89"/>
      <c r="BM313" s="89"/>
      <c r="BN313" s="89"/>
    </row>
    <row r="314" ht="22.5" hidden="1" customHeight="1">
      <c r="A314" s="103" t="s">
        <v>617</v>
      </c>
      <c r="B314" s="104"/>
      <c r="C314" s="105" t="s">
        <v>764</v>
      </c>
      <c r="D314" s="106">
        <v>2526.0</v>
      </c>
      <c r="E314" s="107" t="s">
        <v>29</v>
      </c>
      <c r="F314" s="108" t="s">
        <v>30</v>
      </c>
      <c r="G314" s="109" t="s">
        <v>765</v>
      </c>
      <c r="H314" s="110" t="s">
        <v>31</v>
      </c>
      <c r="I314" s="110" t="s">
        <v>132</v>
      </c>
      <c r="J314" s="111">
        <v>20000.0</v>
      </c>
      <c r="K314" s="112">
        <v>1162.0</v>
      </c>
      <c r="L314" s="113">
        <v>46154.0</v>
      </c>
      <c r="M314" s="113">
        <v>46160.0</v>
      </c>
      <c r="N314" s="114"/>
      <c r="O314" s="115" t="s">
        <v>34</v>
      </c>
      <c r="P314" s="116"/>
      <c r="Q314" s="167" t="s">
        <v>35</v>
      </c>
      <c r="R314" s="167" t="s">
        <v>133</v>
      </c>
      <c r="S314" s="126" t="s">
        <v>36</v>
      </c>
      <c r="T314" s="126" t="s">
        <v>36</v>
      </c>
      <c r="U314" s="127" t="s">
        <v>37</v>
      </c>
      <c r="V314" s="128"/>
      <c r="W314" s="129" t="s">
        <v>766</v>
      </c>
      <c r="X314" s="120"/>
      <c r="Y314" s="164" t="s">
        <v>657</v>
      </c>
      <c r="Z314" s="121"/>
      <c r="AA314" s="121"/>
      <c r="AB314" s="122"/>
      <c r="AC314" s="122"/>
      <c r="AD314" s="122"/>
      <c r="AE314" s="122"/>
      <c r="AF314" s="122"/>
      <c r="AG314" s="122"/>
      <c r="AH314" s="122"/>
      <c r="AI314" s="122"/>
      <c r="AJ314" s="122"/>
      <c r="AK314" s="122"/>
      <c r="AL314" s="122"/>
    </row>
    <row r="315" ht="22.5" hidden="1" customHeight="1">
      <c r="A315" s="103" t="s">
        <v>767</v>
      </c>
      <c r="B315" s="104"/>
      <c r="C315" s="105" t="s">
        <v>768</v>
      </c>
      <c r="D315" s="106">
        <v>2527.0</v>
      </c>
      <c r="E315" s="107" t="s">
        <v>157</v>
      </c>
      <c r="F315" s="108" t="s">
        <v>30</v>
      </c>
      <c r="G315" s="109" t="s">
        <v>769</v>
      </c>
      <c r="H315" s="110" t="s">
        <v>31</v>
      </c>
      <c r="I315" s="110" t="s">
        <v>98</v>
      </c>
      <c r="J315" s="111">
        <v>10000.0</v>
      </c>
      <c r="K315" s="112">
        <v>831.0</v>
      </c>
      <c r="L315" s="113">
        <v>46164.0</v>
      </c>
      <c r="M315" s="113">
        <v>46168.0</v>
      </c>
      <c r="N315" s="114"/>
      <c r="O315" s="115" t="s">
        <v>70</v>
      </c>
      <c r="P315" s="116"/>
      <c r="Q315" s="107" t="s">
        <v>35</v>
      </c>
      <c r="R315" s="107" t="s">
        <v>133</v>
      </c>
      <c r="S315" s="115" t="s">
        <v>35</v>
      </c>
      <c r="T315" s="115" t="s">
        <v>36</v>
      </c>
      <c r="U315" s="118" t="s">
        <v>37</v>
      </c>
      <c r="V315" s="119"/>
      <c r="W315" s="111" t="s">
        <v>770</v>
      </c>
      <c r="X315" s="164" t="s">
        <v>771</v>
      </c>
      <c r="Y315" s="120"/>
      <c r="Z315" s="121"/>
      <c r="AA315" s="121"/>
      <c r="AB315" s="122"/>
      <c r="AC315" s="122"/>
      <c r="AD315" s="122"/>
      <c r="AE315" s="122"/>
      <c r="AF315" s="122"/>
      <c r="AG315" s="122"/>
      <c r="AH315" s="122"/>
      <c r="AI315" s="122"/>
      <c r="AJ315" s="122"/>
      <c r="AK315" s="122"/>
      <c r="AL315" s="122"/>
    </row>
    <row r="316" ht="22.5" hidden="1" customHeight="1">
      <c r="A316" s="103" t="s">
        <v>772</v>
      </c>
      <c r="B316" s="104"/>
      <c r="C316" s="105" t="s">
        <v>773</v>
      </c>
      <c r="D316" s="242">
        <v>2528.0</v>
      </c>
      <c r="E316" s="107" t="s">
        <v>164</v>
      </c>
      <c r="F316" s="108" t="s">
        <v>30</v>
      </c>
      <c r="G316" s="347" t="s">
        <v>774</v>
      </c>
      <c r="H316" s="110" t="s">
        <v>31</v>
      </c>
      <c r="I316" s="110" t="s">
        <v>132</v>
      </c>
      <c r="J316" s="111" t="s">
        <v>754</v>
      </c>
      <c r="K316" s="112">
        <v>2543.0</v>
      </c>
      <c r="L316" s="113">
        <v>46162.0</v>
      </c>
      <c r="M316" s="113">
        <v>46170.0</v>
      </c>
      <c r="N316" s="114"/>
      <c r="O316" s="115" t="s">
        <v>70</v>
      </c>
      <c r="P316" s="116"/>
      <c r="Q316" s="167" t="s">
        <v>35</v>
      </c>
      <c r="R316" s="167" t="s">
        <v>133</v>
      </c>
      <c r="S316" s="126" t="s">
        <v>36</v>
      </c>
      <c r="T316" s="126" t="s">
        <v>36</v>
      </c>
      <c r="U316" s="127" t="s">
        <v>37</v>
      </c>
      <c r="V316" s="128"/>
      <c r="W316" s="129" t="s">
        <v>775</v>
      </c>
      <c r="X316" s="189" t="s">
        <v>776</v>
      </c>
      <c r="Y316" s="164" t="s">
        <v>516</v>
      </c>
      <c r="Z316" s="130" t="s">
        <v>516</v>
      </c>
      <c r="AA316" s="121"/>
      <c r="AB316" s="122"/>
      <c r="AC316" s="122"/>
      <c r="AD316" s="122"/>
      <c r="AE316" s="122"/>
      <c r="AF316" s="122"/>
      <c r="AG316" s="122"/>
      <c r="AH316" s="122"/>
      <c r="AI316" s="122"/>
      <c r="AJ316" s="122"/>
      <c r="AK316" s="122"/>
      <c r="AL316" s="122"/>
    </row>
    <row r="317" ht="22.5" hidden="1" customHeight="1">
      <c r="A317" s="103" t="s">
        <v>772</v>
      </c>
      <c r="B317" s="348"/>
      <c r="C317" s="105" t="s">
        <v>777</v>
      </c>
      <c r="D317" s="242">
        <v>2529.0</v>
      </c>
      <c r="E317" s="107" t="s">
        <v>164</v>
      </c>
      <c r="F317" s="108" t="s">
        <v>30</v>
      </c>
      <c r="G317" s="109" t="s">
        <v>774</v>
      </c>
      <c r="H317" s="110" t="s">
        <v>31</v>
      </c>
      <c r="I317" s="110" t="s">
        <v>132</v>
      </c>
      <c r="J317" s="111" t="s">
        <v>207</v>
      </c>
      <c r="K317" s="112">
        <v>1434.0</v>
      </c>
      <c r="L317" s="113">
        <v>46162.0</v>
      </c>
      <c r="M317" s="113">
        <v>46170.0</v>
      </c>
      <c r="N317" s="114"/>
      <c r="O317" s="115" t="s">
        <v>70</v>
      </c>
      <c r="P317" s="116"/>
      <c r="Q317" s="167" t="s">
        <v>35</v>
      </c>
      <c r="R317" s="167" t="s">
        <v>133</v>
      </c>
      <c r="S317" s="126" t="s">
        <v>36</v>
      </c>
      <c r="T317" s="126" t="s">
        <v>36</v>
      </c>
      <c r="U317" s="127" t="s">
        <v>37</v>
      </c>
      <c r="V317" s="128"/>
      <c r="W317" s="129" t="s">
        <v>778</v>
      </c>
      <c r="X317" s="189" t="s">
        <v>776</v>
      </c>
      <c r="Y317" s="164" t="s">
        <v>516</v>
      </c>
      <c r="Z317" s="130" t="s">
        <v>516</v>
      </c>
      <c r="AA317" s="121"/>
      <c r="AB317" s="122"/>
      <c r="AC317" s="122"/>
      <c r="AD317" s="122"/>
      <c r="AE317" s="122"/>
      <c r="AF317" s="122"/>
      <c r="AG317" s="122"/>
      <c r="AH317" s="122"/>
      <c r="AI317" s="122"/>
      <c r="AJ317" s="122"/>
      <c r="AK317" s="122"/>
      <c r="AL317" s="122"/>
    </row>
    <row r="318" ht="22.5" hidden="1" customHeight="1">
      <c r="A318" s="103" t="s">
        <v>772</v>
      </c>
      <c r="B318" s="104"/>
      <c r="C318" s="105" t="s">
        <v>779</v>
      </c>
      <c r="D318" s="242">
        <v>2530.0</v>
      </c>
      <c r="E318" s="107" t="s">
        <v>164</v>
      </c>
      <c r="F318" s="108" t="s">
        <v>30</v>
      </c>
      <c r="G318" s="109" t="s">
        <v>761</v>
      </c>
      <c r="H318" s="110" t="s">
        <v>31</v>
      </c>
      <c r="I318" s="110" t="s">
        <v>132</v>
      </c>
      <c r="J318" s="111" t="s">
        <v>77</v>
      </c>
      <c r="K318" s="112">
        <v>899.0</v>
      </c>
      <c r="L318" s="113">
        <v>46162.0</v>
      </c>
      <c r="M318" s="113">
        <v>46170.0</v>
      </c>
      <c r="N318" s="114"/>
      <c r="O318" s="115" t="s">
        <v>70</v>
      </c>
      <c r="P318" s="116"/>
      <c r="Q318" s="167" t="s">
        <v>35</v>
      </c>
      <c r="R318" s="167" t="s">
        <v>133</v>
      </c>
      <c r="S318" s="126" t="s">
        <v>36</v>
      </c>
      <c r="T318" s="126" t="s">
        <v>36</v>
      </c>
      <c r="U318" s="127" t="s">
        <v>37</v>
      </c>
      <c r="V318" s="128"/>
      <c r="W318" s="129" t="s">
        <v>778</v>
      </c>
      <c r="X318" s="189" t="s">
        <v>776</v>
      </c>
      <c r="Y318" s="164" t="s">
        <v>516</v>
      </c>
      <c r="Z318" s="130" t="s">
        <v>516</v>
      </c>
      <c r="AA318" s="121"/>
      <c r="AB318" s="122"/>
      <c r="AC318" s="122"/>
      <c r="AD318" s="122"/>
      <c r="AE318" s="122"/>
      <c r="AF318" s="122"/>
      <c r="AG318" s="122"/>
      <c r="AH318" s="122"/>
      <c r="AI318" s="122"/>
      <c r="AJ318" s="122"/>
      <c r="AK318" s="122"/>
      <c r="AL318" s="122"/>
    </row>
    <row r="319" ht="22.5" hidden="1" customHeight="1">
      <c r="A319" s="103" t="s">
        <v>780</v>
      </c>
      <c r="B319" s="104"/>
      <c r="C319" s="105" t="s">
        <v>781</v>
      </c>
      <c r="D319" s="106">
        <v>2534.0</v>
      </c>
      <c r="E319" s="107" t="s">
        <v>95</v>
      </c>
      <c r="F319" s="108" t="s">
        <v>30</v>
      </c>
      <c r="G319" s="109" t="s">
        <v>591</v>
      </c>
      <c r="H319" s="110" t="s">
        <v>31</v>
      </c>
      <c r="I319" s="110" t="s">
        <v>98</v>
      </c>
      <c r="J319" s="111">
        <v>25000.0</v>
      </c>
      <c r="K319" s="112">
        <v>1629.0</v>
      </c>
      <c r="L319" s="113">
        <v>46162.0</v>
      </c>
      <c r="M319" s="113">
        <v>46165.0</v>
      </c>
      <c r="N319" s="114"/>
      <c r="O319" s="115" t="s">
        <v>70</v>
      </c>
      <c r="P319" s="116"/>
      <c r="Q319" s="107" t="s">
        <v>35</v>
      </c>
      <c r="R319" s="107" t="s">
        <v>133</v>
      </c>
      <c r="S319" s="115" t="s">
        <v>36</v>
      </c>
      <c r="T319" s="115" t="s">
        <v>36</v>
      </c>
      <c r="U319" s="118" t="s">
        <v>37</v>
      </c>
      <c r="V319" s="119"/>
      <c r="W319" s="111" t="s">
        <v>262</v>
      </c>
      <c r="X319" s="164" t="s">
        <v>750</v>
      </c>
      <c r="Y319" s="164" t="s">
        <v>516</v>
      </c>
      <c r="Z319" s="130" t="s">
        <v>533</v>
      </c>
      <c r="AA319" s="121"/>
      <c r="AB319" s="122"/>
      <c r="AC319" s="122"/>
      <c r="AD319" s="122"/>
      <c r="AE319" s="122"/>
      <c r="AF319" s="122"/>
      <c r="AG319" s="122"/>
      <c r="AH319" s="122"/>
      <c r="AI319" s="122"/>
      <c r="AJ319" s="122"/>
      <c r="AK319" s="122"/>
      <c r="AL319" s="122"/>
    </row>
    <row r="320" ht="22.5" hidden="1" customHeight="1">
      <c r="A320" s="103" t="s">
        <v>782</v>
      </c>
      <c r="B320" s="104"/>
      <c r="C320" s="105" t="s">
        <v>783</v>
      </c>
      <c r="D320" s="242">
        <v>2536.0</v>
      </c>
      <c r="E320" s="107" t="s">
        <v>95</v>
      </c>
      <c r="F320" s="108" t="s">
        <v>30</v>
      </c>
      <c r="G320" s="109" t="s">
        <v>784</v>
      </c>
      <c r="H320" s="110" t="s">
        <v>31</v>
      </c>
      <c r="I320" s="110" t="s">
        <v>98</v>
      </c>
      <c r="J320" s="111">
        <v>50000.0</v>
      </c>
      <c r="K320" s="112">
        <v>3778.0</v>
      </c>
      <c r="L320" s="113">
        <v>46162.0</v>
      </c>
      <c r="M320" s="113">
        <v>46165.0</v>
      </c>
      <c r="N320" s="114"/>
      <c r="O320" s="115" t="s">
        <v>70</v>
      </c>
      <c r="P320" s="116"/>
      <c r="Q320" s="107" t="s">
        <v>35</v>
      </c>
      <c r="R320" s="107" t="s">
        <v>133</v>
      </c>
      <c r="S320" s="115" t="s">
        <v>35</v>
      </c>
      <c r="T320" s="115" t="s">
        <v>36</v>
      </c>
      <c r="U320" s="118" t="s">
        <v>37</v>
      </c>
      <c r="V320" s="119"/>
      <c r="W320" s="111" t="s">
        <v>262</v>
      </c>
      <c r="X320" s="164" t="s">
        <v>750</v>
      </c>
      <c r="Y320" s="164" t="s">
        <v>516</v>
      </c>
      <c r="Z320" s="130" t="s">
        <v>533</v>
      </c>
      <c r="AA320" s="121"/>
      <c r="AB320" s="122"/>
      <c r="AC320" s="122"/>
      <c r="AD320" s="122"/>
      <c r="AE320" s="122"/>
      <c r="AF320" s="122"/>
      <c r="AG320" s="122"/>
      <c r="AH320" s="122"/>
      <c r="AI320" s="122"/>
      <c r="AJ320" s="122"/>
      <c r="AK320" s="122"/>
      <c r="AL320" s="122"/>
    </row>
    <row r="321" ht="22.5" hidden="1" customHeight="1">
      <c r="A321" s="103" t="s">
        <v>782</v>
      </c>
      <c r="B321" s="104"/>
      <c r="C321" s="105" t="s">
        <v>785</v>
      </c>
      <c r="D321" s="106">
        <v>2547.0</v>
      </c>
      <c r="E321" s="107" t="s">
        <v>95</v>
      </c>
      <c r="F321" s="108" t="s">
        <v>30</v>
      </c>
      <c r="G321" s="109" t="s">
        <v>786</v>
      </c>
      <c r="H321" s="110" t="s">
        <v>52</v>
      </c>
      <c r="I321" s="110" t="s">
        <v>274</v>
      </c>
      <c r="J321" s="111">
        <v>3000.0</v>
      </c>
      <c r="K321" s="112">
        <v>324.0</v>
      </c>
      <c r="L321" s="113">
        <v>46162.0</v>
      </c>
      <c r="M321" s="113">
        <v>46164.0</v>
      </c>
      <c r="N321" s="114"/>
      <c r="O321" s="115" t="s">
        <v>70</v>
      </c>
      <c r="P321" s="116"/>
      <c r="Q321" s="107" t="s">
        <v>35</v>
      </c>
      <c r="R321" s="107" t="s">
        <v>133</v>
      </c>
      <c r="S321" s="115" t="s">
        <v>35</v>
      </c>
      <c r="T321" s="115" t="s">
        <v>36</v>
      </c>
      <c r="U321" s="118" t="s">
        <v>37</v>
      </c>
      <c r="V321" s="119"/>
      <c r="W321" s="111" t="s">
        <v>262</v>
      </c>
      <c r="X321" s="164" t="s">
        <v>750</v>
      </c>
      <c r="Y321" s="164" t="s">
        <v>516</v>
      </c>
      <c r="Z321" s="130" t="s">
        <v>533</v>
      </c>
      <c r="AA321" s="121"/>
      <c r="AB321" s="122"/>
      <c r="AC321" s="122"/>
      <c r="AD321" s="122"/>
      <c r="AE321" s="122"/>
      <c r="AF321" s="122"/>
      <c r="AG321" s="122"/>
      <c r="AH321" s="122"/>
      <c r="AI321" s="122"/>
      <c r="AJ321" s="122"/>
      <c r="AK321" s="122"/>
      <c r="AL321" s="122"/>
    </row>
    <row r="322" ht="22.5" hidden="1" customHeight="1">
      <c r="A322" s="349" t="s">
        <v>155</v>
      </c>
      <c r="B322" s="350"/>
      <c r="C322" s="351" t="s">
        <v>787</v>
      </c>
      <c r="D322" s="352">
        <v>2560.0</v>
      </c>
      <c r="E322" s="353" t="s">
        <v>157</v>
      </c>
      <c r="F322" s="354" t="s">
        <v>30</v>
      </c>
      <c r="G322" s="355" t="s">
        <v>734</v>
      </c>
      <c r="H322" s="356" t="s">
        <v>31</v>
      </c>
      <c r="I322" s="356" t="s">
        <v>98</v>
      </c>
      <c r="J322" s="357" t="s">
        <v>77</v>
      </c>
      <c r="K322" s="358">
        <v>1007.0</v>
      </c>
      <c r="L322" s="359">
        <v>46164.0</v>
      </c>
      <c r="M322" s="359">
        <v>46169.0</v>
      </c>
      <c r="N322" s="360"/>
      <c r="O322" s="361" t="s">
        <v>212</v>
      </c>
      <c r="P322" s="362"/>
      <c r="Q322" s="353" t="s">
        <v>144</v>
      </c>
      <c r="R322" s="353" t="s">
        <v>133</v>
      </c>
      <c r="S322" s="361" t="s">
        <v>35</v>
      </c>
      <c r="T322" s="361" t="s">
        <v>36</v>
      </c>
      <c r="U322" s="363" t="s">
        <v>37</v>
      </c>
      <c r="V322" s="364"/>
      <c r="W322" s="357" t="s">
        <v>536</v>
      </c>
      <c r="X322" s="365" t="s">
        <v>160</v>
      </c>
      <c r="Y322" s="366"/>
      <c r="Z322" s="367"/>
      <c r="AA322" s="367"/>
      <c r="AB322" s="13"/>
      <c r="AC322" s="13"/>
      <c r="AD322" s="13"/>
      <c r="AE322" s="13"/>
      <c r="AF322" s="13"/>
      <c r="AG322" s="13"/>
      <c r="AH322" s="13"/>
      <c r="AI322" s="13"/>
      <c r="AJ322" s="13"/>
      <c r="AK322" s="13"/>
      <c r="AL322" s="13"/>
      <c r="AM322" s="14"/>
      <c r="AN322" s="14"/>
      <c r="AO322" s="14"/>
      <c r="AP322" s="14"/>
      <c r="AQ322" s="14"/>
      <c r="AR322" s="14"/>
      <c r="AS322" s="14"/>
      <c r="AT322" s="14"/>
      <c r="AU322" s="14"/>
      <c r="AV322" s="14"/>
      <c r="AW322" s="14"/>
      <c r="AX322" s="14"/>
      <c r="AY322" s="14"/>
      <c r="AZ322" s="14"/>
      <c r="BA322" s="14"/>
      <c r="BB322" s="14"/>
      <c r="BC322" s="14"/>
      <c r="BD322" s="14"/>
      <c r="BE322" s="14"/>
      <c r="BF322" s="14"/>
      <c r="BG322" s="14"/>
      <c r="BH322" s="14"/>
      <c r="BI322" s="14"/>
      <c r="BJ322" s="14"/>
      <c r="BK322" s="14"/>
      <c r="BL322" s="14"/>
      <c r="BM322" s="14"/>
      <c r="BN322" s="14"/>
    </row>
    <row r="323" ht="22.5" hidden="1" customHeight="1">
      <c r="A323" s="349" t="s">
        <v>155</v>
      </c>
      <c r="B323" s="350"/>
      <c r="C323" s="351" t="s">
        <v>788</v>
      </c>
      <c r="D323" s="352">
        <v>2575.0</v>
      </c>
      <c r="E323" s="353" t="s">
        <v>157</v>
      </c>
      <c r="F323" s="354" t="s">
        <v>30</v>
      </c>
      <c r="G323" s="355" t="s">
        <v>551</v>
      </c>
      <c r="H323" s="356" t="s">
        <v>31</v>
      </c>
      <c r="I323" s="356" t="s">
        <v>98</v>
      </c>
      <c r="J323" s="357" t="s">
        <v>77</v>
      </c>
      <c r="K323" s="358">
        <v>1857.0</v>
      </c>
      <c r="L323" s="359">
        <v>46164.0</v>
      </c>
      <c r="M323" s="359">
        <v>46169.0</v>
      </c>
      <c r="N323" s="360"/>
      <c r="O323" s="361" t="s">
        <v>212</v>
      </c>
      <c r="P323" s="362"/>
      <c r="Q323" s="353" t="s">
        <v>35</v>
      </c>
      <c r="R323" s="353" t="s">
        <v>133</v>
      </c>
      <c r="S323" s="361" t="s">
        <v>35</v>
      </c>
      <c r="T323" s="361" t="s">
        <v>36</v>
      </c>
      <c r="U323" s="363" t="s">
        <v>37</v>
      </c>
      <c r="V323" s="364"/>
      <c r="W323" s="357" t="s">
        <v>536</v>
      </c>
      <c r="X323" s="365" t="s">
        <v>160</v>
      </c>
      <c r="Y323" s="366"/>
      <c r="Z323" s="367"/>
      <c r="AA323" s="367"/>
      <c r="AB323" s="13"/>
      <c r="AC323" s="13"/>
      <c r="AD323" s="13"/>
      <c r="AE323" s="13"/>
      <c r="AF323" s="13"/>
      <c r="AG323" s="13"/>
      <c r="AH323" s="13"/>
      <c r="AI323" s="13"/>
      <c r="AJ323" s="13"/>
      <c r="AK323" s="13"/>
      <c r="AL323" s="13"/>
      <c r="AM323" s="14"/>
      <c r="AN323" s="14"/>
      <c r="AO323" s="14"/>
      <c r="AP323" s="14"/>
      <c r="AQ323" s="14"/>
      <c r="AR323" s="14"/>
      <c r="AS323" s="14"/>
      <c r="AT323" s="14"/>
      <c r="AU323" s="14"/>
      <c r="AV323" s="14"/>
      <c r="AW323" s="14"/>
      <c r="AX323" s="14"/>
      <c r="AY323" s="14"/>
      <c r="AZ323" s="14"/>
      <c r="BA323" s="14"/>
      <c r="BB323" s="14"/>
      <c r="BC323" s="14"/>
      <c r="BD323" s="14"/>
      <c r="BE323" s="14"/>
      <c r="BF323" s="14"/>
      <c r="BG323" s="14"/>
      <c r="BH323" s="14"/>
      <c r="BI323" s="14"/>
      <c r="BJ323" s="14"/>
      <c r="BK323" s="14"/>
      <c r="BL323" s="14"/>
      <c r="BM323" s="14"/>
      <c r="BN323" s="14"/>
    </row>
    <row r="324" ht="22.5" hidden="1" customHeight="1">
      <c r="A324" s="349" t="s">
        <v>155</v>
      </c>
      <c r="B324" s="350"/>
      <c r="C324" s="351" t="s">
        <v>789</v>
      </c>
      <c r="D324" s="352">
        <v>2576.0</v>
      </c>
      <c r="E324" s="353" t="s">
        <v>157</v>
      </c>
      <c r="F324" s="354" t="s">
        <v>30</v>
      </c>
      <c r="G324" s="355" t="s">
        <v>790</v>
      </c>
      <c r="H324" s="356" t="s">
        <v>31</v>
      </c>
      <c r="I324" s="356" t="s">
        <v>98</v>
      </c>
      <c r="J324" s="357">
        <v>10000.0</v>
      </c>
      <c r="K324" s="358">
        <v>884.0</v>
      </c>
      <c r="L324" s="359">
        <v>46164.0</v>
      </c>
      <c r="M324" s="359">
        <v>46169.0</v>
      </c>
      <c r="N324" s="360"/>
      <c r="O324" s="361" t="s">
        <v>70</v>
      </c>
      <c r="P324" s="362"/>
      <c r="Q324" s="353" t="s">
        <v>144</v>
      </c>
      <c r="R324" s="353" t="s">
        <v>133</v>
      </c>
      <c r="S324" s="361" t="s">
        <v>35</v>
      </c>
      <c r="T324" s="361" t="s">
        <v>36</v>
      </c>
      <c r="U324" s="363" t="s">
        <v>37</v>
      </c>
      <c r="V324" s="364"/>
      <c r="W324" s="357" t="s">
        <v>536</v>
      </c>
      <c r="X324" s="365" t="s">
        <v>160</v>
      </c>
      <c r="Y324" s="366"/>
      <c r="Z324" s="367"/>
      <c r="AA324" s="367"/>
      <c r="AB324" s="13"/>
      <c r="AC324" s="13"/>
      <c r="AD324" s="13"/>
      <c r="AE324" s="13"/>
      <c r="AF324" s="13"/>
      <c r="AG324" s="13"/>
      <c r="AH324" s="13"/>
      <c r="AI324" s="13"/>
      <c r="AJ324" s="13"/>
      <c r="AK324" s="13"/>
      <c r="AL324" s="13"/>
      <c r="AM324" s="14"/>
      <c r="AN324" s="14"/>
      <c r="AO324" s="14"/>
      <c r="AP324" s="14"/>
      <c r="AQ324" s="14"/>
      <c r="AR324" s="14"/>
      <c r="AS324" s="14"/>
      <c r="AT324" s="14"/>
      <c r="AU324" s="14"/>
      <c r="AV324" s="14"/>
      <c r="AW324" s="14"/>
      <c r="AX324" s="14"/>
      <c r="AY324" s="14"/>
      <c r="AZ324" s="14"/>
      <c r="BA324" s="14"/>
      <c r="BB324" s="14"/>
      <c r="BC324" s="14"/>
      <c r="BD324" s="14"/>
      <c r="BE324" s="14"/>
      <c r="BF324" s="14"/>
      <c r="BG324" s="14"/>
      <c r="BH324" s="14"/>
      <c r="BI324" s="14"/>
      <c r="BJ324" s="14"/>
      <c r="BK324" s="14"/>
      <c r="BL324" s="14"/>
      <c r="BM324" s="14"/>
      <c r="BN324" s="14"/>
    </row>
    <row r="325" ht="22.5" hidden="1" customHeight="1">
      <c r="A325" s="103" t="s">
        <v>155</v>
      </c>
      <c r="B325" s="104"/>
      <c r="C325" s="105" t="s">
        <v>791</v>
      </c>
      <c r="D325" s="106">
        <v>2577.0</v>
      </c>
      <c r="E325" s="107" t="s">
        <v>157</v>
      </c>
      <c r="F325" s="108" t="s">
        <v>68</v>
      </c>
      <c r="G325" s="109" t="s">
        <v>792</v>
      </c>
      <c r="H325" s="110" t="s">
        <v>31</v>
      </c>
      <c r="I325" s="110" t="s">
        <v>98</v>
      </c>
      <c r="J325" s="111">
        <v>20000.0</v>
      </c>
      <c r="K325" s="112">
        <v>1807.0</v>
      </c>
      <c r="L325" s="113">
        <v>46167.0</v>
      </c>
      <c r="M325" s="113">
        <v>46171.0</v>
      </c>
      <c r="N325" s="114"/>
      <c r="O325" s="115" t="s">
        <v>731</v>
      </c>
      <c r="P325" s="116"/>
      <c r="Q325" s="107" t="s">
        <v>35</v>
      </c>
      <c r="R325" s="107" t="s">
        <v>133</v>
      </c>
      <c r="S325" s="115" t="s">
        <v>35</v>
      </c>
      <c r="T325" s="115" t="s">
        <v>36</v>
      </c>
      <c r="U325" s="118" t="s">
        <v>37</v>
      </c>
      <c r="V325" s="119"/>
      <c r="W325" s="111" t="s">
        <v>536</v>
      </c>
      <c r="X325" s="164" t="s">
        <v>160</v>
      </c>
      <c r="Y325" s="120"/>
      <c r="Z325" s="121"/>
      <c r="AA325" s="121"/>
      <c r="AB325" s="122"/>
      <c r="AC325" s="122"/>
      <c r="AD325" s="122"/>
      <c r="AE325" s="122"/>
      <c r="AF325" s="122"/>
      <c r="AG325" s="122"/>
      <c r="AH325" s="122"/>
      <c r="AI325" s="122"/>
      <c r="AJ325" s="122"/>
      <c r="AK325" s="122"/>
      <c r="AL325" s="122"/>
    </row>
    <row r="326" ht="22.5" hidden="1" customHeight="1">
      <c r="A326" s="103" t="s">
        <v>155</v>
      </c>
      <c r="B326" s="104"/>
      <c r="C326" s="105" t="s">
        <v>793</v>
      </c>
      <c r="D326" s="106">
        <v>2578.0</v>
      </c>
      <c r="E326" s="107" t="s">
        <v>157</v>
      </c>
      <c r="F326" s="108" t="s">
        <v>68</v>
      </c>
      <c r="G326" s="109" t="s">
        <v>794</v>
      </c>
      <c r="H326" s="110" t="s">
        <v>31</v>
      </c>
      <c r="I326" s="110" t="s">
        <v>98</v>
      </c>
      <c r="J326" s="111">
        <v>30000.0</v>
      </c>
      <c r="K326" s="112">
        <v>2501.0</v>
      </c>
      <c r="L326" s="113">
        <v>46164.0</v>
      </c>
      <c r="M326" s="113">
        <v>46169.0</v>
      </c>
      <c r="N326" s="114"/>
      <c r="O326" s="115" t="s">
        <v>731</v>
      </c>
      <c r="P326" s="116"/>
      <c r="Q326" s="107" t="s">
        <v>35</v>
      </c>
      <c r="R326" s="107" t="s">
        <v>133</v>
      </c>
      <c r="S326" s="115" t="s">
        <v>35</v>
      </c>
      <c r="T326" s="115" t="s">
        <v>36</v>
      </c>
      <c r="U326" s="118" t="s">
        <v>37</v>
      </c>
      <c r="V326" s="119"/>
      <c r="W326" s="111" t="s">
        <v>536</v>
      </c>
      <c r="X326" s="164" t="s">
        <v>160</v>
      </c>
      <c r="Y326" s="120"/>
      <c r="Z326" s="121"/>
      <c r="AA326" s="121"/>
      <c r="AB326" s="122"/>
      <c r="AC326" s="122"/>
      <c r="AD326" s="122"/>
      <c r="AE326" s="122"/>
      <c r="AF326" s="122"/>
      <c r="AG326" s="122"/>
      <c r="AH326" s="122"/>
      <c r="AI326" s="122"/>
      <c r="AJ326" s="122"/>
      <c r="AK326" s="122"/>
      <c r="AL326" s="122"/>
    </row>
    <row r="327" ht="22.5" hidden="1" customHeight="1">
      <c r="A327" s="103" t="s">
        <v>653</v>
      </c>
      <c r="B327" s="104"/>
      <c r="C327" s="105" t="s">
        <v>795</v>
      </c>
      <c r="D327" s="106">
        <v>2582.0</v>
      </c>
      <c r="E327" s="107" t="s">
        <v>95</v>
      </c>
      <c r="F327" s="108" t="s">
        <v>72</v>
      </c>
      <c r="G327" s="109" t="s">
        <v>485</v>
      </c>
      <c r="H327" s="110" t="s">
        <v>31</v>
      </c>
      <c r="I327" s="110" t="s">
        <v>98</v>
      </c>
      <c r="J327" s="111">
        <v>20000.0</v>
      </c>
      <c r="K327" s="112">
        <v>1270.0</v>
      </c>
      <c r="L327" s="113">
        <v>46168.0</v>
      </c>
      <c r="M327" s="113">
        <v>46170.0</v>
      </c>
      <c r="N327" s="114"/>
      <c r="O327" s="115" t="s">
        <v>99</v>
      </c>
      <c r="P327" s="116"/>
      <c r="Q327" s="107" t="s">
        <v>35</v>
      </c>
      <c r="R327" s="107" t="s">
        <v>133</v>
      </c>
      <c r="S327" s="115" t="s">
        <v>36</v>
      </c>
      <c r="T327" s="115" t="s">
        <v>36</v>
      </c>
      <c r="U327" s="118" t="s">
        <v>37</v>
      </c>
      <c r="V327" s="119"/>
      <c r="W327" s="111" t="s">
        <v>796</v>
      </c>
      <c r="X327" s="120"/>
      <c r="Y327" s="164" t="s">
        <v>516</v>
      </c>
      <c r="Z327" s="130" t="s">
        <v>516</v>
      </c>
      <c r="AA327" s="130" t="s">
        <v>516</v>
      </c>
      <c r="AB327" s="122"/>
      <c r="AC327" s="122"/>
      <c r="AD327" s="122"/>
      <c r="AE327" s="122"/>
      <c r="AF327" s="122"/>
      <c r="AG327" s="122"/>
      <c r="AH327" s="122"/>
      <c r="AI327" s="122"/>
      <c r="AJ327" s="122"/>
      <c r="AK327" s="122"/>
      <c r="AL327" s="122"/>
    </row>
    <row r="328" ht="22.5" hidden="1" customHeight="1">
      <c r="A328" s="103" t="s">
        <v>767</v>
      </c>
      <c r="B328" s="104"/>
      <c r="C328" s="105" t="s">
        <v>768</v>
      </c>
      <c r="D328" s="106">
        <v>2593.0</v>
      </c>
      <c r="E328" s="107" t="s">
        <v>157</v>
      </c>
      <c r="F328" s="108" t="s">
        <v>68</v>
      </c>
      <c r="G328" s="109" t="s">
        <v>769</v>
      </c>
      <c r="H328" s="110" t="s">
        <v>31</v>
      </c>
      <c r="I328" s="110" t="s">
        <v>98</v>
      </c>
      <c r="J328" s="111">
        <v>10000.0</v>
      </c>
      <c r="K328" s="112">
        <v>831.0</v>
      </c>
      <c r="L328" s="113">
        <v>46168.0</v>
      </c>
      <c r="M328" s="113">
        <v>46169.0</v>
      </c>
      <c r="N328" s="114"/>
      <c r="O328" s="115" t="s">
        <v>338</v>
      </c>
      <c r="P328" s="116"/>
      <c r="Q328" s="107" t="s">
        <v>35</v>
      </c>
      <c r="R328" s="107" t="s">
        <v>133</v>
      </c>
      <c r="S328" s="115" t="s">
        <v>36</v>
      </c>
      <c r="T328" s="115" t="s">
        <v>36</v>
      </c>
      <c r="U328" s="118" t="s">
        <v>37</v>
      </c>
      <c r="V328" s="119"/>
      <c r="W328" s="111" t="s">
        <v>797</v>
      </c>
      <c r="X328" s="164" t="s">
        <v>771</v>
      </c>
      <c r="Y328" s="120"/>
      <c r="Z328" s="121"/>
      <c r="AA328" s="121"/>
      <c r="AB328" s="122"/>
      <c r="AC328" s="122"/>
      <c r="AD328" s="122"/>
      <c r="AE328" s="122"/>
      <c r="AF328" s="122"/>
      <c r="AG328" s="122"/>
      <c r="AH328" s="122"/>
      <c r="AI328" s="122"/>
      <c r="AJ328" s="122"/>
      <c r="AK328" s="122"/>
      <c r="AL328" s="122"/>
    </row>
    <row r="329" ht="22.5" hidden="1" customHeight="1">
      <c r="A329" s="349" t="s">
        <v>626</v>
      </c>
      <c r="B329" s="350"/>
      <c r="C329" s="368" t="s">
        <v>628</v>
      </c>
      <c r="D329" s="352">
        <v>2253.0</v>
      </c>
      <c r="E329" s="369" t="s">
        <v>29</v>
      </c>
      <c r="F329" s="354" t="s">
        <v>96</v>
      </c>
      <c r="G329" s="355" t="s">
        <v>629</v>
      </c>
      <c r="H329" s="370" t="s">
        <v>31</v>
      </c>
      <c r="I329" s="370" t="s">
        <v>132</v>
      </c>
      <c r="J329" s="357">
        <v>2500.0</v>
      </c>
      <c r="K329" s="358">
        <v>46181.0</v>
      </c>
      <c r="L329" s="359">
        <v>46181.0</v>
      </c>
      <c r="M329" s="359">
        <v>46178.0</v>
      </c>
      <c r="N329" s="360" t="s">
        <v>37</v>
      </c>
      <c r="O329" s="371" t="s">
        <v>34</v>
      </c>
      <c r="P329" s="362"/>
      <c r="Q329" s="372" t="s">
        <v>35</v>
      </c>
      <c r="R329" s="372" t="s">
        <v>133</v>
      </c>
      <c r="S329" s="373" t="s">
        <v>36</v>
      </c>
      <c r="T329" s="373" t="s">
        <v>36</v>
      </c>
      <c r="U329" s="374" t="s">
        <v>37</v>
      </c>
      <c r="V329" s="375"/>
      <c r="W329" s="376"/>
      <c r="X329" s="376"/>
      <c r="Y329" s="377"/>
      <c r="Z329" s="376"/>
      <c r="AA329" s="376"/>
      <c r="AB329" s="13"/>
      <c r="AC329" s="13"/>
      <c r="AD329" s="13"/>
      <c r="AE329" s="13"/>
      <c r="AF329" s="13"/>
      <c r="AG329" s="13"/>
      <c r="AH329" s="13"/>
      <c r="AI329" s="13"/>
      <c r="AJ329" s="13"/>
      <c r="AK329" s="13"/>
      <c r="AL329" s="13"/>
      <c r="AM329" s="14"/>
      <c r="AN329" s="14"/>
      <c r="AO329" s="14"/>
      <c r="AP329" s="14"/>
      <c r="AQ329" s="14"/>
      <c r="AR329" s="14"/>
      <c r="AS329" s="14"/>
      <c r="AT329" s="14"/>
      <c r="AU329" s="14"/>
      <c r="AV329" s="14"/>
      <c r="AW329" s="14"/>
      <c r="AX329" s="14"/>
      <c r="AY329" s="14"/>
      <c r="AZ329" s="14"/>
      <c r="BA329" s="14"/>
      <c r="BB329" s="14"/>
      <c r="BC329" s="14"/>
      <c r="BD329" s="14"/>
      <c r="BE329" s="14"/>
      <c r="BF329" s="14"/>
      <c r="BG329" s="14"/>
      <c r="BH329" s="14"/>
      <c r="BI329" s="14"/>
      <c r="BJ329" s="14"/>
      <c r="BK329" s="14"/>
      <c r="BL329" s="14"/>
      <c r="BM329" s="14"/>
      <c r="BN329" s="14"/>
    </row>
    <row r="330" ht="22.5" hidden="1" customHeight="1">
      <c r="A330" s="103" t="s">
        <v>798</v>
      </c>
      <c r="B330" s="104"/>
      <c r="C330" s="378" t="s">
        <v>799</v>
      </c>
      <c r="D330" s="242">
        <v>2619.0</v>
      </c>
      <c r="E330" s="107" t="s">
        <v>164</v>
      </c>
      <c r="F330" s="108" t="s">
        <v>30</v>
      </c>
      <c r="G330" s="109" t="s">
        <v>642</v>
      </c>
      <c r="H330" s="110" t="s">
        <v>31</v>
      </c>
      <c r="I330" s="110" t="s">
        <v>98</v>
      </c>
      <c r="J330" s="111" t="s">
        <v>84</v>
      </c>
      <c r="K330" s="112">
        <v>1008.0</v>
      </c>
      <c r="L330" s="113">
        <v>46169.0</v>
      </c>
      <c r="M330" s="113">
        <v>46176.0</v>
      </c>
      <c r="N330" s="114"/>
      <c r="O330" s="115" t="s">
        <v>99</v>
      </c>
      <c r="P330" s="116"/>
      <c r="Q330" s="167" t="s">
        <v>35</v>
      </c>
      <c r="R330" s="167" t="s">
        <v>133</v>
      </c>
      <c r="S330" s="126" t="s">
        <v>36</v>
      </c>
      <c r="T330" s="126" t="s">
        <v>36</v>
      </c>
      <c r="U330" s="127" t="s">
        <v>37</v>
      </c>
      <c r="V330" s="128"/>
      <c r="W330" s="129" t="s">
        <v>262</v>
      </c>
      <c r="X330" s="120"/>
      <c r="Y330" s="164" t="s">
        <v>516</v>
      </c>
      <c r="Z330" s="130" t="s">
        <v>516</v>
      </c>
      <c r="AA330" s="130" t="s">
        <v>800</v>
      </c>
      <c r="AB330" s="122"/>
      <c r="AC330" s="122"/>
      <c r="AD330" s="122"/>
      <c r="AE330" s="122"/>
      <c r="AF330" s="122"/>
      <c r="AG330" s="122"/>
      <c r="AH330" s="122"/>
      <c r="AI330" s="122"/>
      <c r="AJ330" s="122"/>
      <c r="AK330" s="122"/>
      <c r="AL330" s="122"/>
    </row>
    <row r="331" ht="22.5" hidden="1" customHeight="1">
      <c r="A331" s="349" t="s">
        <v>664</v>
      </c>
      <c r="B331" s="350"/>
      <c r="C331" s="351" t="s">
        <v>801</v>
      </c>
      <c r="D331" s="379">
        <v>2618.0</v>
      </c>
      <c r="E331" s="353" t="s">
        <v>95</v>
      </c>
      <c r="F331" s="354" t="s">
        <v>72</v>
      </c>
      <c r="G331" s="355" t="s">
        <v>529</v>
      </c>
      <c r="H331" s="356" t="s">
        <v>31</v>
      </c>
      <c r="I331" s="356" t="s">
        <v>98</v>
      </c>
      <c r="J331" s="357">
        <v>6000.0</v>
      </c>
      <c r="K331" s="358">
        <v>762.0</v>
      </c>
      <c r="L331" s="359">
        <v>46169.0</v>
      </c>
      <c r="M331" s="359">
        <v>46171.0</v>
      </c>
      <c r="N331" s="360"/>
      <c r="O331" s="361" t="s">
        <v>70</v>
      </c>
      <c r="P331" s="362"/>
      <c r="Q331" s="353" t="s">
        <v>35</v>
      </c>
      <c r="R331" s="353" t="s">
        <v>133</v>
      </c>
      <c r="S331" s="361" t="s">
        <v>36</v>
      </c>
      <c r="T331" s="361" t="s">
        <v>36</v>
      </c>
      <c r="U331" s="363" t="s">
        <v>37</v>
      </c>
      <c r="V331" s="364"/>
      <c r="W331" s="357" t="s">
        <v>802</v>
      </c>
      <c r="X331" s="365" t="s">
        <v>288</v>
      </c>
      <c r="Y331" s="365" t="s">
        <v>516</v>
      </c>
      <c r="Z331" s="380" t="s">
        <v>516</v>
      </c>
      <c r="AA331" s="367"/>
      <c r="AB331" s="13"/>
      <c r="AC331" s="13"/>
      <c r="AD331" s="13"/>
      <c r="AE331" s="13"/>
      <c r="AF331" s="13"/>
      <c r="AG331" s="13"/>
      <c r="AH331" s="13"/>
      <c r="AI331" s="13"/>
      <c r="AJ331" s="13"/>
      <c r="AK331" s="13"/>
      <c r="AL331" s="13"/>
      <c r="AM331" s="14"/>
      <c r="AN331" s="14"/>
      <c r="AO331" s="14"/>
      <c r="AP331" s="14"/>
      <c r="AQ331" s="14"/>
      <c r="AR331" s="14"/>
      <c r="AS331" s="14"/>
      <c r="AT331" s="14"/>
      <c r="AU331" s="14"/>
      <c r="AV331" s="14"/>
      <c r="AW331" s="14"/>
      <c r="AX331" s="14"/>
      <c r="AY331" s="14"/>
      <c r="AZ331" s="14"/>
      <c r="BA331" s="14"/>
      <c r="BB331" s="14"/>
      <c r="BC331" s="14"/>
      <c r="BD331" s="14"/>
      <c r="BE331" s="14"/>
      <c r="BF331" s="14"/>
      <c r="BG331" s="14"/>
      <c r="BH331" s="14"/>
      <c r="BI331" s="14"/>
      <c r="BJ331" s="14"/>
      <c r="BK331" s="14"/>
      <c r="BL331" s="14"/>
      <c r="BM331" s="14"/>
      <c r="BN331" s="14"/>
    </row>
    <row r="332" ht="22.5" hidden="1" customHeight="1">
      <c r="A332" s="349" t="s">
        <v>803</v>
      </c>
      <c r="B332" s="350"/>
      <c r="C332" s="351" t="s">
        <v>298</v>
      </c>
      <c r="D332" s="379">
        <v>2652.0</v>
      </c>
      <c r="E332" s="353" t="s">
        <v>29</v>
      </c>
      <c r="F332" s="354" t="s">
        <v>72</v>
      </c>
      <c r="G332" s="355" t="s">
        <v>138</v>
      </c>
      <c r="H332" s="356" t="s">
        <v>31</v>
      </c>
      <c r="I332" s="356" t="s">
        <v>132</v>
      </c>
      <c r="J332" s="357">
        <v>10000.0</v>
      </c>
      <c r="K332" s="358">
        <v>689.0</v>
      </c>
      <c r="L332" s="359">
        <v>46168.0</v>
      </c>
      <c r="M332" s="359">
        <v>46174.0</v>
      </c>
      <c r="N332" s="360"/>
      <c r="O332" s="361" t="s">
        <v>34</v>
      </c>
      <c r="P332" s="362"/>
      <c r="Q332" s="353" t="s">
        <v>35</v>
      </c>
      <c r="R332" s="353" t="s">
        <v>133</v>
      </c>
      <c r="S332" s="381" t="s">
        <v>36</v>
      </c>
      <c r="T332" s="381" t="s">
        <v>36</v>
      </c>
      <c r="U332" s="363" t="s">
        <v>37</v>
      </c>
      <c r="V332" s="364"/>
      <c r="W332" s="382"/>
      <c r="X332" s="383"/>
      <c r="Y332" s="384">
        <v>2.0</v>
      </c>
      <c r="Z332" s="385">
        <f>10000/2500</f>
        <v>4</v>
      </c>
      <c r="AA332" s="386" t="s">
        <v>804</v>
      </c>
      <c r="AB332" s="13"/>
      <c r="AC332" s="13"/>
      <c r="AD332" s="13"/>
      <c r="AE332" s="13"/>
      <c r="AF332" s="13"/>
      <c r="AG332" s="13"/>
      <c r="AH332" s="13"/>
      <c r="AI332" s="13"/>
      <c r="AJ332" s="13"/>
      <c r="AK332" s="13"/>
      <c r="AL332" s="13"/>
      <c r="AM332" s="14"/>
      <c r="AN332" s="14"/>
      <c r="AO332" s="14"/>
      <c r="AP332" s="14"/>
      <c r="AQ332" s="14"/>
      <c r="AR332" s="14"/>
      <c r="AS332" s="14"/>
      <c r="AT332" s="14"/>
      <c r="AU332" s="14"/>
      <c r="AV332" s="14"/>
      <c r="AW332" s="14"/>
      <c r="AX332" s="14"/>
      <c r="AY332" s="14"/>
      <c r="AZ332" s="14"/>
      <c r="BA332" s="14"/>
      <c r="BB332" s="14"/>
      <c r="BC332" s="14"/>
      <c r="BD332" s="14"/>
      <c r="BE332" s="14"/>
      <c r="BF332" s="14"/>
      <c r="BG332" s="14"/>
      <c r="BH332" s="14"/>
      <c r="BI332" s="14"/>
      <c r="BJ332" s="14"/>
      <c r="BK332" s="14"/>
      <c r="BL332" s="14"/>
      <c r="BM332" s="14"/>
      <c r="BN332" s="14"/>
    </row>
    <row r="333" ht="22.5" hidden="1" customHeight="1">
      <c r="A333" s="349" t="s">
        <v>803</v>
      </c>
      <c r="B333" s="350"/>
      <c r="C333" s="351" t="s">
        <v>236</v>
      </c>
      <c r="D333" s="379">
        <v>2653.0</v>
      </c>
      <c r="E333" s="353" t="s">
        <v>29</v>
      </c>
      <c r="F333" s="354" t="s">
        <v>72</v>
      </c>
      <c r="G333" s="355" t="s">
        <v>234</v>
      </c>
      <c r="H333" s="356" t="s">
        <v>31</v>
      </c>
      <c r="I333" s="356" t="s">
        <v>132</v>
      </c>
      <c r="J333" s="357">
        <v>10000.0</v>
      </c>
      <c r="K333" s="358">
        <v>1156.0</v>
      </c>
      <c r="L333" s="359">
        <v>46168.0</v>
      </c>
      <c r="M333" s="359">
        <v>46174.0</v>
      </c>
      <c r="N333" s="360"/>
      <c r="O333" s="361" t="s">
        <v>34</v>
      </c>
      <c r="P333" s="362"/>
      <c r="Q333" s="353" t="s">
        <v>35</v>
      </c>
      <c r="R333" s="353" t="s">
        <v>133</v>
      </c>
      <c r="S333" s="381" t="s">
        <v>36</v>
      </c>
      <c r="T333" s="381" t="s">
        <v>36</v>
      </c>
      <c r="U333" s="363" t="s">
        <v>37</v>
      </c>
      <c r="V333" s="364"/>
      <c r="W333" s="382"/>
      <c r="X333" s="383"/>
      <c r="Y333" s="384">
        <v>1.0</v>
      </c>
      <c r="Z333" s="386">
        <v>4.0</v>
      </c>
      <c r="AA333" s="386" t="s">
        <v>805</v>
      </c>
      <c r="AB333" s="13"/>
      <c r="AC333" s="13"/>
      <c r="AD333" s="13"/>
      <c r="AE333" s="13"/>
      <c r="AF333" s="13"/>
      <c r="AG333" s="13"/>
      <c r="AH333" s="13"/>
      <c r="AI333" s="13"/>
      <c r="AJ333" s="13"/>
      <c r="AK333" s="13"/>
      <c r="AL333" s="13"/>
      <c r="AM333" s="14"/>
      <c r="AN333" s="14"/>
      <c r="AO333" s="14"/>
      <c r="AP333" s="14"/>
      <c r="AQ333" s="14"/>
      <c r="AR333" s="14"/>
      <c r="AS333" s="14"/>
      <c r="AT333" s="14"/>
      <c r="AU333" s="14"/>
      <c r="AV333" s="14"/>
      <c r="AW333" s="14"/>
      <c r="AX333" s="14"/>
      <c r="AY333" s="14"/>
      <c r="AZ333" s="14"/>
      <c r="BA333" s="14"/>
      <c r="BB333" s="14"/>
      <c r="BC333" s="14"/>
      <c r="BD333" s="14"/>
      <c r="BE333" s="14"/>
      <c r="BF333" s="14"/>
      <c r="BG333" s="14"/>
      <c r="BH333" s="14"/>
      <c r="BI333" s="14"/>
      <c r="BJ333" s="14"/>
      <c r="BK333" s="14"/>
      <c r="BL333" s="14"/>
      <c r="BM333" s="14"/>
      <c r="BN333" s="14"/>
    </row>
    <row r="334" ht="22.5" hidden="1" customHeight="1">
      <c r="A334" s="349" t="s">
        <v>803</v>
      </c>
      <c r="B334" s="350"/>
      <c r="C334" s="351" t="s">
        <v>446</v>
      </c>
      <c r="D334" s="379">
        <v>2654.0</v>
      </c>
      <c r="E334" s="353" t="s">
        <v>29</v>
      </c>
      <c r="F334" s="354" t="s">
        <v>72</v>
      </c>
      <c r="G334" s="355" t="s">
        <v>234</v>
      </c>
      <c r="H334" s="356" t="s">
        <v>31</v>
      </c>
      <c r="I334" s="356" t="s">
        <v>132</v>
      </c>
      <c r="J334" s="357">
        <v>30000.0</v>
      </c>
      <c r="K334" s="358">
        <v>2929.0</v>
      </c>
      <c r="L334" s="359">
        <v>46169.0</v>
      </c>
      <c r="M334" s="359">
        <v>46175.0</v>
      </c>
      <c r="N334" s="360"/>
      <c r="O334" s="361" t="s">
        <v>34</v>
      </c>
      <c r="P334" s="362"/>
      <c r="Q334" s="387"/>
      <c r="R334" s="388" t="s">
        <v>133</v>
      </c>
      <c r="S334" s="381" t="s">
        <v>36</v>
      </c>
      <c r="T334" s="381" t="s">
        <v>36</v>
      </c>
      <c r="U334" s="363" t="s">
        <v>37</v>
      </c>
      <c r="V334" s="364"/>
      <c r="W334" s="382"/>
      <c r="X334" s="383"/>
      <c r="Y334" s="384">
        <v>3.0</v>
      </c>
      <c r="Z334" s="386">
        <v>12.0</v>
      </c>
      <c r="AA334" s="386" t="s">
        <v>806</v>
      </c>
      <c r="AB334" s="13"/>
      <c r="AC334" s="13"/>
      <c r="AD334" s="13"/>
      <c r="AE334" s="13"/>
      <c r="AF334" s="13"/>
      <c r="AG334" s="13"/>
      <c r="AH334" s="13"/>
      <c r="AI334" s="13"/>
      <c r="AJ334" s="13"/>
      <c r="AK334" s="13"/>
      <c r="AL334" s="13"/>
      <c r="AM334" s="14"/>
      <c r="AN334" s="14"/>
      <c r="AO334" s="14"/>
      <c r="AP334" s="14"/>
      <c r="AQ334" s="14"/>
      <c r="AR334" s="14"/>
      <c r="AS334" s="14"/>
      <c r="AT334" s="14"/>
      <c r="AU334" s="14"/>
      <c r="AV334" s="14"/>
      <c r="AW334" s="14"/>
      <c r="AX334" s="14"/>
      <c r="AY334" s="14"/>
      <c r="AZ334" s="14"/>
      <c r="BA334" s="14"/>
      <c r="BB334" s="14"/>
      <c r="BC334" s="14"/>
      <c r="BD334" s="14"/>
      <c r="BE334" s="14"/>
      <c r="BF334" s="14"/>
      <c r="BG334" s="14"/>
      <c r="BH334" s="14"/>
      <c r="BI334" s="14"/>
      <c r="BJ334" s="14"/>
      <c r="BK334" s="14"/>
      <c r="BL334" s="14"/>
      <c r="BM334" s="14"/>
      <c r="BN334" s="14"/>
    </row>
    <row r="335" ht="22.5" hidden="1" customHeight="1">
      <c r="A335" s="103" t="s">
        <v>798</v>
      </c>
      <c r="B335" s="104"/>
      <c r="C335" s="389" t="s">
        <v>807</v>
      </c>
      <c r="D335" s="242">
        <v>2656.0</v>
      </c>
      <c r="E335" s="107" t="s">
        <v>164</v>
      </c>
      <c r="F335" s="108" t="s">
        <v>30</v>
      </c>
      <c r="G335" s="109" t="s">
        <v>642</v>
      </c>
      <c r="H335" s="110" t="s">
        <v>31</v>
      </c>
      <c r="I335" s="110" t="s">
        <v>98</v>
      </c>
      <c r="J335" s="111">
        <v>60000.0</v>
      </c>
      <c r="K335" s="112">
        <v>1277.0</v>
      </c>
      <c r="L335" s="113">
        <v>46170.0</v>
      </c>
      <c r="M335" s="113">
        <v>46177.0</v>
      </c>
      <c r="N335" s="114"/>
      <c r="O335" s="115" t="s">
        <v>99</v>
      </c>
      <c r="P335" s="116"/>
      <c r="Q335" s="167" t="s">
        <v>35</v>
      </c>
      <c r="R335" s="167" t="s">
        <v>133</v>
      </c>
      <c r="S335" s="126" t="s">
        <v>36</v>
      </c>
      <c r="T335" s="126" t="s">
        <v>36</v>
      </c>
      <c r="U335" s="127" t="s">
        <v>37</v>
      </c>
      <c r="V335" s="128"/>
      <c r="W335" s="129" t="s">
        <v>808</v>
      </c>
      <c r="X335" s="120"/>
      <c r="Y335" s="164" t="s">
        <v>516</v>
      </c>
      <c r="Z335" s="130" t="s">
        <v>516</v>
      </c>
      <c r="AA335" s="130" t="s">
        <v>800</v>
      </c>
      <c r="AB335" s="122"/>
      <c r="AC335" s="122"/>
      <c r="AD335" s="122"/>
      <c r="AE335" s="122"/>
      <c r="AF335" s="122"/>
      <c r="AG335" s="122"/>
      <c r="AH335" s="122"/>
      <c r="AI335" s="122"/>
      <c r="AJ335" s="122"/>
      <c r="AK335" s="122"/>
      <c r="AL335" s="122"/>
    </row>
    <row r="336" ht="22.5" hidden="1" customHeight="1">
      <c r="A336" s="103" t="s">
        <v>798</v>
      </c>
      <c r="B336" s="104"/>
      <c r="C336" s="389" t="s">
        <v>809</v>
      </c>
      <c r="D336" s="242">
        <v>2657.0</v>
      </c>
      <c r="E336" s="107" t="s">
        <v>164</v>
      </c>
      <c r="F336" s="108" t="s">
        <v>30</v>
      </c>
      <c r="G336" s="109" t="s">
        <v>642</v>
      </c>
      <c r="H336" s="110" t="s">
        <v>31</v>
      </c>
      <c r="I336" s="110" t="s">
        <v>98</v>
      </c>
      <c r="J336" s="111">
        <v>60000.0</v>
      </c>
      <c r="K336" s="112">
        <v>1277.0</v>
      </c>
      <c r="L336" s="113">
        <v>46170.0</v>
      </c>
      <c r="M336" s="113">
        <v>46177.0</v>
      </c>
      <c r="N336" s="114"/>
      <c r="O336" s="115" t="s">
        <v>99</v>
      </c>
      <c r="P336" s="116"/>
      <c r="Q336" s="167" t="s">
        <v>35</v>
      </c>
      <c r="R336" s="167" t="s">
        <v>133</v>
      </c>
      <c r="S336" s="126" t="s">
        <v>36</v>
      </c>
      <c r="T336" s="126" t="s">
        <v>36</v>
      </c>
      <c r="U336" s="127" t="s">
        <v>37</v>
      </c>
      <c r="V336" s="128"/>
      <c r="W336" s="129" t="s">
        <v>808</v>
      </c>
      <c r="X336" s="120"/>
      <c r="Y336" s="164" t="s">
        <v>516</v>
      </c>
      <c r="Z336" s="130" t="s">
        <v>516</v>
      </c>
      <c r="AA336" s="130" t="s">
        <v>800</v>
      </c>
      <c r="AB336" s="122"/>
      <c r="AC336" s="122"/>
      <c r="AD336" s="122"/>
      <c r="AE336" s="122"/>
      <c r="AF336" s="122"/>
      <c r="AG336" s="122"/>
      <c r="AH336" s="122"/>
      <c r="AI336" s="122"/>
      <c r="AJ336" s="122"/>
      <c r="AK336" s="122"/>
      <c r="AL336" s="122"/>
    </row>
    <row r="337" ht="22.5" hidden="1" customHeight="1">
      <c r="A337" s="349" t="s">
        <v>810</v>
      </c>
      <c r="B337" s="350"/>
      <c r="C337" s="351" t="s">
        <v>811</v>
      </c>
      <c r="D337" s="352">
        <v>2671.0</v>
      </c>
      <c r="E337" s="353" t="s">
        <v>164</v>
      </c>
      <c r="F337" s="354" t="s">
        <v>30</v>
      </c>
      <c r="G337" s="355" t="s">
        <v>812</v>
      </c>
      <c r="H337" s="356" t="s">
        <v>31</v>
      </c>
      <c r="I337" s="356" t="s">
        <v>98</v>
      </c>
      <c r="J337" s="357">
        <v>1000.0</v>
      </c>
      <c r="K337" s="358">
        <v>324.0</v>
      </c>
      <c r="L337" s="359">
        <v>46164.0</v>
      </c>
      <c r="M337" s="359">
        <v>46177.0</v>
      </c>
      <c r="N337" s="360"/>
      <c r="O337" s="361" t="s">
        <v>34</v>
      </c>
      <c r="P337" s="362"/>
      <c r="Q337" s="388" t="s">
        <v>35</v>
      </c>
      <c r="R337" s="388" t="s">
        <v>133</v>
      </c>
      <c r="S337" s="381" t="s">
        <v>36</v>
      </c>
      <c r="T337" s="381" t="s">
        <v>36</v>
      </c>
      <c r="U337" s="374" t="s">
        <v>37</v>
      </c>
      <c r="V337" s="375"/>
      <c r="W337" s="390" t="s">
        <v>813</v>
      </c>
      <c r="X337" s="338" t="s">
        <v>399</v>
      </c>
      <c r="Y337" s="365" t="s">
        <v>516</v>
      </c>
      <c r="Z337" s="380" t="s">
        <v>814</v>
      </c>
      <c r="AA337" s="367"/>
      <c r="AB337" s="13"/>
      <c r="AC337" s="13"/>
      <c r="AD337" s="13"/>
      <c r="AE337" s="13"/>
      <c r="AF337" s="13"/>
      <c r="AG337" s="13"/>
      <c r="AH337" s="13"/>
      <c r="AI337" s="13"/>
      <c r="AJ337" s="13"/>
      <c r="AK337" s="13"/>
      <c r="AL337" s="13"/>
      <c r="AM337" s="14"/>
      <c r="AN337" s="14"/>
      <c r="AO337" s="14"/>
      <c r="AP337" s="14"/>
      <c r="AQ337" s="14"/>
      <c r="AR337" s="14"/>
      <c r="AS337" s="14"/>
      <c r="AT337" s="14"/>
      <c r="AU337" s="14"/>
      <c r="AV337" s="14"/>
      <c r="AW337" s="14"/>
      <c r="AX337" s="14"/>
      <c r="AY337" s="14"/>
      <c r="AZ337" s="14"/>
      <c r="BA337" s="14"/>
      <c r="BB337" s="14"/>
      <c r="BC337" s="14"/>
      <c r="BD337" s="14"/>
      <c r="BE337" s="14"/>
      <c r="BF337" s="14"/>
      <c r="BG337" s="14"/>
      <c r="BH337" s="14"/>
      <c r="BI337" s="14"/>
      <c r="BJ337" s="14"/>
      <c r="BK337" s="14"/>
      <c r="BL337" s="14"/>
      <c r="BM337" s="14"/>
      <c r="BN337" s="14"/>
    </row>
    <row r="338" ht="22.5" hidden="1" customHeight="1">
      <c r="A338" s="103" t="s">
        <v>759</v>
      </c>
      <c r="B338" s="104"/>
      <c r="C338" s="105" t="s">
        <v>447</v>
      </c>
      <c r="D338" s="106" t="s">
        <v>815</v>
      </c>
      <c r="E338" s="107" t="s">
        <v>29</v>
      </c>
      <c r="F338" s="108" t="s">
        <v>72</v>
      </c>
      <c r="G338" s="109" t="s">
        <v>816</v>
      </c>
      <c r="H338" s="110" t="s">
        <v>31</v>
      </c>
      <c r="I338" s="110" t="s">
        <v>261</v>
      </c>
      <c r="J338" s="111">
        <v>201000.0</v>
      </c>
      <c r="K338" s="391" t="s">
        <v>817</v>
      </c>
      <c r="L338" s="113">
        <v>46161.0</v>
      </c>
      <c r="M338" s="113">
        <v>46167.0</v>
      </c>
      <c r="N338" s="114"/>
      <c r="O338" s="115" t="s">
        <v>99</v>
      </c>
      <c r="P338" s="116"/>
      <c r="Q338" s="234"/>
      <c r="R338" s="167" t="s">
        <v>133</v>
      </c>
      <c r="S338" s="126" t="s">
        <v>36</v>
      </c>
      <c r="T338" s="126" t="s">
        <v>36</v>
      </c>
      <c r="U338" s="127" t="s">
        <v>37</v>
      </c>
      <c r="V338" s="128"/>
      <c r="W338" s="136"/>
      <c r="X338" s="164" t="s">
        <v>818</v>
      </c>
      <c r="Y338" s="120"/>
      <c r="Z338" s="121"/>
      <c r="AA338" s="121"/>
      <c r="AB338" s="122"/>
      <c r="AC338" s="122"/>
      <c r="AD338" s="122"/>
      <c r="AE338" s="122"/>
      <c r="AF338" s="122"/>
      <c r="AG338" s="122"/>
      <c r="AH338" s="122"/>
      <c r="AI338" s="122"/>
      <c r="AJ338" s="122"/>
      <c r="AK338" s="122"/>
      <c r="AL338" s="122"/>
    </row>
    <row r="339" ht="22.5" hidden="1" customHeight="1">
      <c r="A339" s="349" t="s">
        <v>810</v>
      </c>
      <c r="B339" s="350"/>
      <c r="C339" s="339" t="s">
        <v>819</v>
      </c>
      <c r="D339" s="352">
        <v>2672.0</v>
      </c>
      <c r="E339" s="353" t="s">
        <v>164</v>
      </c>
      <c r="F339" s="354" t="s">
        <v>30</v>
      </c>
      <c r="G339" s="355" t="s">
        <v>812</v>
      </c>
      <c r="H339" s="356" t="s">
        <v>31</v>
      </c>
      <c r="I339" s="356" t="s">
        <v>98</v>
      </c>
      <c r="J339" s="357">
        <v>1000.0</v>
      </c>
      <c r="K339" s="358">
        <v>324.0</v>
      </c>
      <c r="L339" s="359">
        <v>46169.0</v>
      </c>
      <c r="M339" s="359">
        <v>46177.0</v>
      </c>
      <c r="N339" s="360"/>
      <c r="O339" s="361" t="s">
        <v>34</v>
      </c>
      <c r="P339" s="362"/>
      <c r="Q339" s="388" t="s">
        <v>35</v>
      </c>
      <c r="R339" s="388" t="s">
        <v>133</v>
      </c>
      <c r="S339" s="381" t="s">
        <v>36</v>
      </c>
      <c r="T339" s="381" t="s">
        <v>36</v>
      </c>
      <c r="U339" s="374" t="s">
        <v>37</v>
      </c>
      <c r="V339" s="375"/>
      <c r="W339" s="390" t="s">
        <v>813</v>
      </c>
      <c r="X339" s="338" t="s">
        <v>399</v>
      </c>
      <c r="Y339" s="365" t="s">
        <v>516</v>
      </c>
      <c r="Z339" s="380" t="s">
        <v>814</v>
      </c>
      <c r="AA339" s="367"/>
      <c r="AB339" s="13"/>
      <c r="AC339" s="13"/>
      <c r="AD339" s="13"/>
      <c r="AE339" s="13"/>
      <c r="AF339" s="13"/>
      <c r="AG339" s="13"/>
      <c r="AH339" s="13"/>
      <c r="AI339" s="13"/>
      <c r="AJ339" s="13"/>
      <c r="AK339" s="13"/>
      <c r="AL339" s="13"/>
      <c r="AM339" s="14"/>
      <c r="AN339" s="14"/>
      <c r="AO339" s="14"/>
      <c r="AP339" s="14"/>
      <c r="AQ339" s="14"/>
      <c r="AR339" s="14"/>
      <c r="AS339" s="14"/>
      <c r="AT339" s="14"/>
      <c r="AU339" s="14"/>
      <c r="AV339" s="14"/>
      <c r="AW339" s="14"/>
      <c r="AX339" s="14"/>
      <c r="AY339" s="14"/>
      <c r="AZ339" s="14"/>
      <c r="BA339" s="14"/>
      <c r="BB339" s="14"/>
      <c r="BC339" s="14"/>
      <c r="BD339" s="14"/>
      <c r="BE339" s="14"/>
      <c r="BF339" s="14"/>
      <c r="BG339" s="14"/>
      <c r="BH339" s="14"/>
      <c r="BI339" s="14"/>
      <c r="BJ339" s="14"/>
      <c r="BK339" s="14"/>
      <c r="BL339" s="14"/>
      <c r="BM339" s="14"/>
      <c r="BN339" s="14"/>
    </row>
    <row r="340" ht="22.5" hidden="1" customHeight="1">
      <c r="A340" s="349" t="s">
        <v>810</v>
      </c>
      <c r="B340" s="350"/>
      <c r="C340" s="339" t="s">
        <v>820</v>
      </c>
      <c r="D340" s="352">
        <v>2673.0</v>
      </c>
      <c r="E340" s="353" t="s">
        <v>164</v>
      </c>
      <c r="F340" s="354" t="s">
        <v>30</v>
      </c>
      <c r="G340" s="355" t="s">
        <v>812</v>
      </c>
      <c r="H340" s="356" t="s">
        <v>31</v>
      </c>
      <c r="I340" s="356" t="s">
        <v>98</v>
      </c>
      <c r="J340" s="357">
        <v>2000.0</v>
      </c>
      <c r="K340" s="358">
        <v>384.0</v>
      </c>
      <c r="L340" s="359">
        <v>46169.0</v>
      </c>
      <c r="M340" s="359">
        <v>46177.0</v>
      </c>
      <c r="N340" s="360"/>
      <c r="O340" s="361" t="s">
        <v>34</v>
      </c>
      <c r="P340" s="362"/>
      <c r="Q340" s="388" t="s">
        <v>35</v>
      </c>
      <c r="R340" s="388" t="s">
        <v>133</v>
      </c>
      <c r="S340" s="381" t="s">
        <v>36</v>
      </c>
      <c r="T340" s="381" t="s">
        <v>36</v>
      </c>
      <c r="U340" s="374" t="s">
        <v>37</v>
      </c>
      <c r="V340" s="375"/>
      <c r="W340" s="390" t="s">
        <v>813</v>
      </c>
      <c r="X340" s="338" t="s">
        <v>399</v>
      </c>
      <c r="Y340" s="365" t="s">
        <v>516</v>
      </c>
      <c r="Z340" s="380" t="s">
        <v>814</v>
      </c>
      <c r="AA340" s="367"/>
      <c r="AB340" s="13"/>
      <c r="AC340" s="13"/>
      <c r="AD340" s="13"/>
      <c r="AE340" s="13"/>
      <c r="AF340" s="13"/>
      <c r="AG340" s="13"/>
      <c r="AH340" s="13"/>
      <c r="AI340" s="13"/>
      <c r="AJ340" s="13"/>
      <c r="AK340" s="13"/>
      <c r="AL340" s="13"/>
      <c r="AM340" s="14"/>
      <c r="AN340" s="14"/>
      <c r="AO340" s="14"/>
      <c r="AP340" s="14"/>
      <c r="AQ340" s="14"/>
      <c r="AR340" s="14"/>
      <c r="AS340" s="14"/>
      <c r="AT340" s="14"/>
      <c r="AU340" s="14"/>
      <c r="AV340" s="14"/>
      <c r="AW340" s="14"/>
      <c r="AX340" s="14"/>
      <c r="AY340" s="14"/>
      <c r="AZ340" s="14"/>
      <c r="BA340" s="14"/>
      <c r="BB340" s="14"/>
      <c r="BC340" s="14"/>
      <c r="BD340" s="14"/>
      <c r="BE340" s="14"/>
      <c r="BF340" s="14"/>
      <c r="BG340" s="14"/>
      <c r="BH340" s="14"/>
      <c r="BI340" s="14"/>
      <c r="BJ340" s="14"/>
      <c r="BK340" s="14"/>
      <c r="BL340" s="14"/>
      <c r="BM340" s="14"/>
      <c r="BN340" s="14"/>
    </row>
    <row r="341" ht="22.5" hidden="1" customHeight="1">
      <c r="A341" s="103" t="s">
        <v>653</v>
      </c>
      <c r="B341" s="104"/>
      <c r="C341" s="105" t="s">
        <v>821</v>
      </c>
      <c r="D341" s="106">
        <v>2688.0</v>
      </c>
      <c r="E341" s="107" t="s">
        <v>95</v>
      </c>
      <c r="F341" s="108" t="s">
        <v>72</v>
      </c>
      <c r="G341" s="109" t="s">
        <v>443</v>
      </c>
      <c r="H341" s="110" t="s">
        <v>31</v>
      </c>
      <c r="I341" s="179"/>
      <c r="J341" s="111">
        <v>10000.0</v>
      </c>
      <c r="K341" s="112">
        <v>1056.0</v>
      </c>
      <c r="L341" s="113">
        <v>46171.0</v>
      </c>
      <c r="M341" s="113">
        <v>46172.0</v>
      </c>
      <c r="N341" s="114"/>
      <c r="O341" s="115" t="s">
        <v>99</v>
      </c>
      <c r="P341" s="116"/>
      <c r="Q341" s="167" t="s">
        <v>35</v>
      </c>
      <c r="R341" s="167" t="s">
        <v>133</v>
      </c>
      <c r="S341" s="126" t="s">
        <v>36</v>
      </c>
      <c r="T341" s="126" t="s">
        <v>36</v>
      </c>
      <c r="U341" s="127" t="s">
        <v>37</v>
      </c>
      <c r="V341" s="128"/>
      <c r="W341" s="129" t="s">
        <v>822</v>
      </c>
      <c r="X341" s="120"/>
      <c r="Y341" s="164" t="s">
        <v>516</v>
      </c>
      <c r="Z341" s="130" t="s">
        <v>516</v>
      </c>
      <c r="AA341" s="121"/>
      <c r="AB341" s="122"/>
      <c r="AC341" s="122"/>
      <c r="AD341" s="122"/>
      <c r="AE341" s="122"/>
      <c r="AF341" s="122"/>
      <c r="AG341" s="122"/>
      <c r="AH341" s="122"/>
      <c r="AI341" s="122"/>
      <c r="AJ341" s="122"/>
      <c r="AK341" s="122"/>
      <c r="AL341" s="122"/>
    </row>
    <row r="342" ht="22.5" hidden="1" customHeight="1">
      <c r="A342" s="349" t="s">
        <v>803</v>
      </c>
      <c r="B342" s="350"/>
      <c r="C342" s="351" t="s">
        <v>316</v>
      </c>
      <c r="D342" s="379">
        <v>2655.0</v>
      </c>
      <c r="E342" s="353" t="s">
        <v>29</v>
      </c>
      <c r="F342" s="354" t="s">
        <v>72</v>
      </c>
      <c r="G342" s="355" t="s">
        <v>317</v>
      </c>
      <c r="H342" s="356" t="s">
        <v>31</v>
      </c>
      <c r="I342" s="356" t="s">
        <v>98</v>
      </c>
      <c r="J342" s="357">
        <v>20000.0</v>
      </c>
      <c r="K342" s="358">
        <v>839.0</v>
      </c>
      <c r="L342" s="359">
        <v>46168.0</v>
      </c>
      <c r="M342" s="359">
        <v>46174.0</v>
      </c>
      <c r="N342" s="360"/>
      <c r="O342" s="361" t="s">
        <v>34</v>
      </c>
      <c r="P342" s="362"/>
      <c r="Q342" s="388" t="s">
        <v>35</v>
      </c>
      <c r="R342" s="353" t="s">
        <v>133</v>
      </c>
      <c r="S342" s="381" t="s">
        <v>36</v>
      </c>
      <c r="T342" s="381" t="s">
        <v>36</v>
      </c>
      <c r="U342" s="363" t="s">
        <v>37</v>
      </c>
      <c r="V342" s="364"/>
      <c r="W342" s="382"/>
      <c r="X342" s="383"/>
      <c r="Y342" s="384">
        <v>2.0</v>
      </c>
      <c r="Z342" s="386">
        <v>8.0</v>
      </c>
      <c r="AA342" s="386" t="s">
        <v>823</v>
      </c>
      <c r="AB342" s="13"/>
      <c r="AC342" s="13"/>
      <c r="AD342" s="13"/>
      <c r="AE342" s="13"/>
      <c r="AF342" s="13"/>
      <c r="AG342" s="13"/>
      <c r="AH342" s="13"/>
      <c r="AI342" s="13"/>
      <c r="AJ342" s="13"/>
      <c r="AK342" s="13"/>
      <c r="AL342" s="13"/>
      <c r="AM342" s="14"/>
      <c r="AN342" s="14"/>
      <c r="AO342" s="14"/>
      <c r="AP342" s="14"/>
      <c r="AQ342" s="14"/>
      <c r="AR342" s="14"/>
      <c r="AS342" s="14"/>
      <c r="AT342" s="14"/>
      <c r="AU342" s="14"/>
      <c r="AV342" s="14"/>
      <c r="AW342" s="14"/>
      <c r="AX342" s="14"/>
      <c r="AY342" s="14"/>
      <c r="AZ342" s="14"/>
      <c r="BA342" s="14"/>
      <c r="BB342" s="14"/>
      <c r="BC342" s="14"/>
      <c r="BD342" s="14"/>
      <c r="BE342" s="14"/>
      <c r="BF342" s="14"/>
      <c r="BG342" s="14"/>
      <c r="BH342" s="14"/>
      <c r="BI342" s="14"/>
      <c r="BJ342" s="14"/>
      <c r="BK342" s="14"/>
      <c r="BL342" s="14"/>
      <c r="BM342" s="14"/>
      <c r="BN342" s="14"/>
    </row>
    <row r="343" ht="22.5" hidden="1" customHeight="1">
      <c r="A343" s="103" t="s">
        <v>335</v>
      </c>
      <c r="B343" s="104"/>
      <c r="C343" s="105" t="s">
        <v>824</v>
      </c>
      <c r="D343" s="106">
        <v>2709.0</v>
      </c>
      <c r="E343" s="107" t="s">
        <v>164</v>
      </c>
      <c r="F343" s="108" t="s">
        <v>96</v>
      </c>
      <c r="G343" s="109" t="s">
        <v>337</v>
      </c>
      <c r="H343" s="110" t="s">
        <v>31</v>
      </c>
      <c r="I343" s="110" t="s">
        <v>132</v>
      </c>
      <c r="J343" s="111">
        <v>600.0</v>
      </c>
      <c r="K343" s="112">
        <v>108.0</v>
      </c>
      <c r="L343" s="113">
        <v>46168.0</v>
      </c>
      <c r="M343" s="113">
        <v>46175.0</v>
      </c>
      <c r="N343" s="114"/>
      <c r="O343" s="115" t="s">
        <v>681</v>
      </c>
      <c r="P343" s="116"/>
      <c r="Q343" s="167" t="s">
        <v>35</v>
      </c>
      <c r="R343" s="167" t="s">
        <v>133</v>
      </c>
      <c r="S343" s="253"/>
      <c r="T343" s="126" t="s">
        <v>36</v>
      </c>
      <c r="U343" s="127" t="s">
        <v>37</v>
      </c>
      <c r="V343" s="128"/>
      <c r="W343" s="129" t="s">
        <v>825</v>
      </c>
      <c r="X343" s="392" t="s">
        <v>826</v>
      </c>
      <c r="Y343" s="164" t="s">
        <v>516</v>
      </c>
      <c r="Z343" s="130" t="s">
        <v>516</v>
      </c>
      <c r="AA343" s="121"/>
      <c r="AB343" s="122"/>
      <c r="AC343" s="122"/>
      <c r="AD343" s="122"/>
      <c r="AE343" s="122"/>
      <c r="AF343" s="122"/>
      <c r="AG343" s="122"/>
      <c r="AH343" s="122"/>
      <c r="AI343" s="122"/>
      <c r="AJ343" s="122"/>
      <c r="AK343" s="122"/>
      <c r="AL343" s="122"/>
    </row>
    <row r="344" ht="22.5" hidden="1" customHeight="1">
      <c r="A344" s="103" t="s">
        <v>335</v>
      </c>
      <c r="B344" s="104"/>
      <c r="C344" s="105" t="s">
        <v>827</v>
      </c>
      <c r="D344" s="106">
        <v>2710.0</v>
      </c>
      <c r="E344" s="107" t="s">
        <v>164</v>
      </c>
      <c r="F344" s="108" t="s">
        <v>96</v>
      </c>
      <c r="G344" s="109" t="s">
        <v>392</v>
      </c>
      <c r="H344" s="110" t="s">
        <v>31</v>
      </c>
      <c r="I344" s="110" t="s">
        <v>132</v>
      </c>
      <c r="J344" s="111">
        <v>450.0</v>
      </c>
      <c r="K344" s="112">
        <v>86.0</v>
      </c>
      <c r="L344" s="113">
        <v>46168.0</v>
      </c>
      <c r="M344" s="113">
        <v>46175.0</v>
      </c>
      <c r="N344" s="114"/>
      <c r="O344" s="115" t="s">
        <v>34</v>
      </c>
      <c r="P344" s="116"/>
      <c r="Q344" s="167" t="s">
        <v>35</v>
      </c>
      <c r="R344" s="167" t="s">
        <v>133</v>
      </c>
      <c r="S344" s="253"/>
      <c r="T344" s="126" t="s">
        <v>36</v>
      </c>
      <c r="U344" s="127" t="s">
        <v>37</v>
      </c>
      <c r="V344" s="128"/>
      <c r="W344" s="129" t="s">
        <v>825</v>
      </c>
      <c r="X344" s="392" t="s">
        <v>826</v>
      </c>
      <c r="Y344" s="164" t="s">
        <v>516</v>
      </c>
      <c r="Z344" s="130" t="s">
        <v>516</v>
      </c>
      <c r="AA344" s="121"/>
      <c r="AB344" s="122"/>
      <c r="AC344" s="122"/>
      <c r="AD344" s="122"/>
      <c r="AE344" s="122"/>
      <c r="AF344" s="122"/>
      <c r="AG344" s="122"/>
      <c r="AH344" s="122"/>
      <c r="AI344" s="122"/>
      <c r="AJ344" s="122"/>
      <c r="AK344" s="122"/>
      <c r="AL344" s="122"/>
    </row>
    <row r="345" ht="22.5" hidden="1" customHeight="1">
      <c r="A345" s="103" t="s">
        <v>744</v>
      </c>
      <c r="B345" s="104"/>
      <c r="C345" s="105" t="s">
        <v>828</v>
      </c>
      <c r="D345" s="242">
        <v>2711.0</v>
      </c>
      <c r="E345" s="107" t="s">
        <v>95</v>
      </c>
      <c r="F345" s="108" t="s">
        <v>30</v>
      </c>
      <c r="G345" s="109" t="s">
        <v>501</v>
      </c>
      <c r="H345" s="110" t="s">
        <v>31</v>
      </c>
      <c r="I345" s="110" t="s">
        <v>98</v>
      </c>
      <c r="J345" s="111">
        <v>10000.0</v>
      </c>
      <c r="K345" s="112">
        <v>778.0</v>
      </c>
      <c r="L345" s="113">
        <v>46171.0</v>
      </c>
      <c r="M345" s="113">
        <v>46176.0</v>
      </c>
      <c r="N345" s="114"/>
      <c r="O345" s="115" t="s">
        <v>99</v>
      </c>
      <c r="P345" s="116"/>
      <c r="Q345" s="167" t="s">
        <v>35</v>
      </c>
      <c r="R345" s="167" t="s">
        <v>133</v>
      </c>
      <c r="S345" s="126" t="s">
        <v>36</v>
      </c>
      <c r="T345" s="126" t="s">
        <v>36</v>
      </c>
      <c r="U345" s="127" t="s">
        <v>37</v>
      </c>
      <c r="V345" s="128"/>
      <c r="W345" s="129" t="s">
        <v>829</v>
      </c>
      <c r="X345" s="120"/>
      <c r="Y345" s="164" t="s">
        <v>516</v>
      </c>
      <c r="Z345" s="130" t="s">
        <v>516</v>
      </c>
      <c r="AA345" s="130" t="s">
        <v>800</v>
      </c>
      <c r="AB345" s="122"/>
      <c r="AC345" s="122"/>
      <c r="AD345" s="122"/>
      <c r="AE345" s="122"/>
      <c r="AF345" s="122"/>
      <c r="AG345" s="122"/>
      <c r="AH345" s="122"/>
      <c r="AI345" s="122"/>
      <c r="AJ345" s="122"/>
      <c r="AK345" s="122"/>
      <c r="AL345" s="122"/>
    </row>
    <row r="346" ht="22.5" hidden="1" customHeight="1">
      <c r="A346" s="103" t="s">
        <v>744</v>
      </c>
      <c r="B346" s="104"/>
      <c r="C346" s="105" t="s">
        <v>830</v>
      </c>
      <c r="D346" s="242">
        <v>2712.0</v>
      </c>
      <c r="E346" s="107" t="s">
        <v>95</v>
      </c>
      <c r="F346" s="108" t="s">
        <v>30</v>
      </c>
      <c r="G346" s="109" t="s">
        <v>128</v>
      </c>
      <c r="H346" s="110" t="s">
        <v>31</v>
      </c>
      <c r="I346" s="110" t="s">
        <v>98</v>
      </c>
      <c r="J346" s="111">
        <v>10000.0</v>
      </c>
      <c r="K346" s="112">
        <v>678.0</v>
      </c>
      <c r="L346" s="113">
        <v>46171.0</v>
      </c>
      <c r="M346" s="113">
        <v>46176.0</v>
      </c>
      <c r="N346" s="114"/>
      <c r="O346" s="115" t="s">
        <v>99</v>
      </c>
      <c r="P346" s="116"/>
      <c r="Q346" s="167" t="s">
        <v>35</v>
      </c>
      <c r="R346" s="167" t="s">
        <v>133</v>
      </c>
      <c r="S346" s="126" t="s">
        <v>36</v>
      </c>
      <c r="T346" s="126" t="s">
        <v>36</v>
      </c>
      <c r="U346" s="127" t="s">
        <v>37</v>
      </c>
      <c r="V346" s="128"/>
      <c r="W346" s="129" t="s">
        <v>829</v>
      </c>
      <c r="X346" s="120"/>
      <c r="Y346" s="164" t="s">
        <v>516</v>
      </c>
      <c r="Z346" s="130" t="s">
        <v>516</v>
      </c>
      <c r="AA346" s="130" t="s">
        <v>800</v>
      </c>
      <c r="AB346" s="122"/>
      <c r="AC346" s="122"/>
      <c r="AD346" s="122"/>
      <c r="AE346" s="122"/>
      <c r="AF346" s="122"/>
      <c r="AG346" s="122"/>
      <c r="AH346" s="122"/>
      <c r="AI346" s="122"/>
      <c r="AJ346" s="122"/>
      <c r="AK346" s="122"/>
      <c r="AL346" s="122"/>
    </row>
    <row r="347" ht="22.5" hidden="1" customHeight="1">
      <c r="A347" s="349" t="s">
        <v>831</v>
      </c>
      <c r="B347" s="350"/>
      <c r="C347" s="393" t="s">
        <v>832</v>
      </c>
      <c r="D347" s="379">
        <v>2697.0</v>
      </c>
      <c r="E347" s="353" t="s">
        <v>95</v>
      </c>
      <c r="F347" s="354" t="s">
        <v>96</v>
      </c>
      <c r="G347" s="355" t="s">
        <v>833</v>
      </c>
      <c r="H347" s="356" t="s">
        <v>31</v>
      </c>
      <c r="I347" s="394"/>
      <c r="J347" s="357">
        <v>500.0</v>
      </c>
      <c r="K347" s="358">
        <v>373.0</v>
      </c>
      <c r="L347" s="359">
        <v>46171.0</v>
      </c>
      <c r="M347" s="359">
        <v>46178.0</v>
      </c>
      <c r="N347" s="360"/>
      <c r="O347" s="361" t="s">
        <v>34</v>
      </c>
      <c r="P347" s="362"/>
      <c r="Q347" s="388" t="s">
        <v>35</v>
      </c>
      <c r="R347" s="388" t="s">
        <v>133</v>
      </c>
      <c r="S347" s="381" t="s">
        <v>35</v>
      </c>
      <c r="T347" s="381" t="s">
        <v>35</v>
      </c>
      <c r="U347" s="374" t="s">
        <v>37</v>
      </c>
      <c r="V347" s="375"/>
      <c r="W347" s="395" t="s">
        <v>834</v>
      </c>
      <c r="X347" s="366"/>
      <c r="Y347" s="366"/>
      <c r="Z347" s="367"/>
      <c r="AA347" s="367"/>
      <c r="AB347" s="13"/>
      <c r="AC347" s="13"/>
      <c r="AD347" s="13"/>
      <c r="AE347" s="13"/>
      <c r="AF347" s="13"/>
      <c r="AG347" s="13"/>
      <c r="AH347" s="13"/>
      <c r="AI347" s="13"/>
      <c r="AJ347" s="13"/>
      <c r="AK347" s="13"/>
      <c r="AL347" s="13"/>
      <c r="AM347" s="14"/>
      <c r="AN347" s="14"/>
      <c r="AO347" s="14"/>
      <c r="AP347" s="14"/>
      <c r="AQ347" s="14"/>
      <c r="AR347" s="14"/>
      <c r="AS347" s="14"/>
      <c r="AT347" s="14"/>
      <c r="AU347" s="14"/>
      <c r="AV347" s="14"/>
      <c r="AW347" s="14"/>
      <c r="AX347" s="14"/>
      <c r="AY347" s="14"/>
      <c r="AZ347" s="14"/>
      <c r="BA347" s="14"/>
      <c r="BB347" s="14"/>
      <c r="BC347" s="14"/>
      <c r="BD347" s="14"/>
      <c r="BE347" s="14"/>
      <c r="BF347" s="14"/>
      <c r="BG347" s="14"/>
      <c r="BH347" s="14"/>
      <c r="BI347" s="14"/>
      <c r="BJ347" s="14"/>
      <c r="BK347" s="14"/>
      <c r="BL347" s="14"/>
      <c r="BM347" s="14"/>
      <c r="BN347" s="14"/>
    </row>
    <row r="348" ht="48.75" hidden="1" customHeight="1">
      <c r="A348" s="349" t="s">
        <v>803</v>
      </c>
      <c r="B348" s="350"/>
      <c r="C348" s="351" t="s">
        <v>394</v>
      </c>
      <c r="D348" s="379">
        <v>2746.0</v>
      </c>
      <c r="E348" s="353" t="s">
        <v>29</v>
      </c>
      <c r="F348" s="354" t="s">
        <v>68</v>
      </c>
      <c r="G348" s="355" t="s">
        <v>328</v>
      </c>
      <c r="H348" s="356" t="s">
        <v>31</v>
      </c>
      <c r="I348" s="356" t="s">
        <v>98</v>
      </c>
      <c r="J348" s="357">
        <v>20000.0</v>
      </c>
      <c r="K348" s="358">
        <v>758.0</v>
      </c>
      <c r="L348" s="359">
        <v>46108.0</v>
      </c>
      <c r="M348" s="359">
        <v>46175.0</v>
      </c>
      <c r="N348" s="360"/>
      <c r="O348" s="361" t="s">
        <v>34</v>
      </c>
      <c r="P348" s="362"/>
      <c r="Q348" s="387"/>
      <c r="R348" s="388" t="s">
        <v>133</v>
      </c>
      <c r="S348" s="381" t="s">
        <v>36</v>
      </c>
      <c r="T348" s="381" t="s">
        <v>36</v>
      </c>
      <c r="U348" s="363" t="s">
        <v>37</v>
      </c>
      <c r="V348" s="364"/>
      <c r="W348" s="395" t="s">
        <v>835</v>
      </c>
      <c r="X348" s="366"/>
      <c r="Y348" s="365">
        <v>2.0</v>
      </c>
      <c r="Z348" s="380">
        <v>8.0</v>
      </c>
      <c r="AA348" s="386" t="s">
        <v>823</v>
      </c>
      <c r="AB348" s="13"/>
      <c r="AC348" s="13"/>
      <c r="AD348" s="13"/>
      <c r="AE348" s="13"/>
      <c r="AF348" s="13"/>
      <c r="AG348" s="13"/>
      <c r="AH348" s="13"/>
      <c r="AI348" s="13"/>
      <c r="AJ348" s="13"/>
      <c r="AK348" s="13"/>
      <c r="AL348" s="13"/>
      <c r="AM348" s="14"/>
      <c r="AN348" s="14"/>
      <c r="AO348" s="14"/>
      <c r="AP348" s="14"/>
      <c r="AQ348" s="14"/>
      <c r="AR348" s="14"/>
      <c r="AS348" s="14"/>
      <c r="AT348" s="14"/>
      <c r="AU348" s="14"/>
      <c r="AV348" s="14"/>
      <c r="AW348" s="14"/>
      <c r="AX348" s="14"/>
      <c r="AY348" s="14"/>
      <c r="AZ348" s="14"/>
      <c r="BA348" s="14"/>
      <c r="BB348" s="14"/>
      <c r="BC348" s="14"/>
      <c r="BD348" s="14"/>
      <c r="BE348" s="14"/>
      <c r="BF348" s="14"/>
      <c r="BG348" s="14"/>
      <c r="BH348" s="14"/>
      <c r="BI348" s="14"/>
      <c r="BJ348" s="14"/>
      <c r="BK348" s="14"/>
      <c r="BL348" s="14"/>
      <c r="BM348" s="14"/>
      <c r="BN348" s="14"/>
    </row>
    <row r="349" ht="35.25" customHeight="1">
      <c r="A349" s="349" t="s">
        <v>836</v>
      </c>
      <c r="B349" s="350"/>
      <c r="C349" s="351" t="s">
        <v>837</v>
      </c>
      <c r="D349" s="379">
        <v>2747.0</v>
      </c>
      <c r="E349" s="353" t="s">
        <v>95</v>
      </c>
      <c r="F349" s="354" t="s">
        <v>30</v>
      </c>
      <c r="G349" s="355" t="s">
        <v>838</v>
      </c>
      <c r="H349" s="356" t="s">
        <v>31</v>
      </c>
      <c r="I349" s="356" t="s">
        <v>98</v>
      </c>
      <c r="J349" s="357">
        <v>30000.0</v>
      </c>
      <c r="K349" s="396">
        <v>2820.0</v>
      </c>
      <c r="L349" s="359">
        <v>46191.0</v>
      </c>
      <c r="M349" s="359">
        <v>46195.0</v>
      </c>
      <c r="N349" s="360"/>
      <c r="O349" s="361" t="s">
        <v>338</v>
      </c>
      <c r="P349" s="362"/>
      <c r="Q349" s="388" t="s">
        <v>35</v>
      </c>
      <c r="R349" s="388" t="s">
        <v>133</v>
      </c>
      <c r="S349" s="381" t="s">
        <v>36</v>
      </c>
      <c r="T349" s="381" t="s">
        <v>36</v>
      </c>
      <c r="U349" s="363" t="s">
        <v>839</v>
      </c>
      <c r="V349" s="364">
        <v>46194.0</v>
      </c>
      <c r="W349" s="357" t="s">
        <v>840</v>
      </c>
      <c r="X349" s="397" t="s">
        <v>841</v>
      </c>
      <c r="Y349" s="365" t="s">
        <v>516</v>
      </c>
      <c r="Z349" s="380" t="s">
        <v>516</v>
      </c>
      <c r="AA349" s="367"/>
      <c r="AB349" s="13"/>
      <c r="AC349" s="13"/>
      <c r="AD349" s="13"/>
      <c r="AE349" s="13"/>
      <c r="AF349" s="13"/>
      <c r="AG349" s="13"/>
      <c r="AH349" s="13"/>
      <c r="AI349" s="13"/>
      <c r="AJ349" s="13"/>
      <c r="AK349" s="13"/>
      <c r="AL349" s="13"/>
      <c r="AM349" s="14"/>
      <c r="AN349" s="14"/>
      <c r="AO349" s="14"/>
      <c r="AP349" s="14"/>
      <c r="AQ349" s="14"/>
      <c r="AR349" s="14"/>
      <c r="AS349" s="14"/>
      <c r="AT349" s="14"/>
      <c r="AU349" s="14"/>
      <c r="AV349" s="14"/>
      <c r="AW349" s="14"/>
      <c r="AX349" s="14"/>
      <c r="AY349" s="14"/>
      <c r="AZ349" s="14"/>
      <c r="BA349" s="14"/>
      <c r="BB349" s="14"/>
      <c r="BC349" s="14"/>
      <c r="BD349" s="14"/>
      <c r="BE349" s="14"/>
      <c r="BF349" s="14"/>
      <c r="BG349" s="14"/>
      <c r="BH349" s="14"/>
      <c r="BI349" s="14"/>
      <c r="BJ349" s="14"/>
      <c r="BK349" s="14"/>
      <c r="BL349" s="14"/>
      <c r="BM349" s="14"/>
      <c r="BN349" s="14"/>
    </row>
    <row r="350" ht="35.25" customHeight="1">
      <c r="A350" s="349" t="s">
        <v>836</v>
      </c>
      <c r="B350" s="350"/>
      <c r="C350" s="351" t="s">
        <v>842</v>
      </c>
      <c r="D350" s="379">
        <v>2749.0</v>
      </c>
      <c r="E350" s="353" t="s">
        <v>95</v>
      </c>
      <c r="F350" s="354" t="s">
        <v>30</v>
      </c>
      <c r="G350" s="355" t="s">
        <v>843</v>
      </c>
      <c r="H350" s="356" t="s">
        <v>31</v>
      </c>
      <c r="I350" s="356" t="s">
        <v>98</v>
      </c>
      <c r="J350" s="357">
        <v>40000.0</v>
      </c>
      <c r="K350" s="396">
        <v>2943.0</v>
      </c>
      <c r="L350" s="359">
        <v>46191.0</v>
      </c>
      <c r="M350" s="359">
        <v>46195.0</v>
      </c>
      <c r="N350" s="360"/>
      <c r="O350" s="361" t="s">
        <v>338</v>
      </c>
      <c r="P350" s="362"/>
      <c r="Q350" s="388" t="s">
        <v>35</v>
      </c>
      <c r="R350" s="388" t="s">
        <v>133</v>
      </c>
      <c r="S350" s="381" t="s">
        <v>36</v>
      </c>
      <c r="T350" s="361" t="s">
        <v>36</v>
      </c>
      <c r="U350" s="363" t="s">
        <v>839</v>
      </c>
      <c r="V350" s="364">
        <v>46194.0</v>
      </c>
      <c r="W350" s="357" t="s">
        <v>840</v>
      </c>
      <c r="X350" s="397" t="s">
        <v>841</v>
      </c>
      <c r="Y350" s="365" t="s">
        <v>516</v>
      </c>
      <c r="Z350" s="380" t="s">
        <v>516</v>
      </c>
      <c r="AA350" s="367"/>
      <c r="AB350" s="13"/>
      <c r="AC350" s="13"/>
      <c r="AD350" s="13"/>
      <c r="AE350" s="13"/>
      <c r="AF350" s="13"/>
      <c r="AG350" s="13"/>
      <c r="AH350" s="13"/>
      <c r="AI350" s="13"/>
      <c r="AJ350" s="13"/>
      <c r="AK350" s="13"/>
      <c r="AL350" s="13"/>
      <c r="AM350" s="14"/>
      <c r="AN350" s="14"/>
      <c r="AO350" s="14"/>
      <c r="AP350" s="14"/>
      <c r="AQ350" s="14"/>
      <c r="AR350" s="14"/>
      <c r="AS350" s="14"/>
      <c r="AT350" s="14"/>
      <c r="AU350" s="14"/>
      <c r="AV350" s="14"/>
      <c r="AW350" s="14"/>
      <c r="AX350" s="14"/>
      <c r="AY350" s="14"/>
      <c r="AZ350" s="14"/>
      <c r="BA350" s="14"/>
      <c r="BB350" s="14"/>
      <c r="BC350" s="14"/>
      <c r="BD350" s="14"/>
      <c r="BE350" s="14"/>
      <c r="BF350" s="14"/>
      <c r="BG350" s="14"/>
      <c r="BH350" s="14"/>
      <c r="BI350" s="14"/>
      <c r="BJ350" s="14"/>
      <c r="BK350" s="14"/>
      <c r="BL350" s="14"/>
      <c r="BM350" s="14"/>
      <c r="BN350" s="14"/>
    </row>
    <row r="351" ht="22.5" hidden="1" customHeight="1">
      <c r="A351" s="349" t="s">
        <v>844</v>
      </c>
      <c r="B351" s="350"/>
      <c r="C351" s="398" t="s">
        <v>845</v>
      </c>
      <c r="D351" s="379">
        <v>2751.0</v>
      </c>
      <c r="E351" s="353" t="s">
        <v>51</v>
      </c>
      <c r="F351" s="354" t="s">
        <v>30</v>
      </c>
      <c r="G351" s="355" t="s">
        <v>846</v>
      </c>
      <c r="H351" s="356" t="s">
        <v>31</v>
      </c>
      <c r="I351" s="356" t="s">
        <v>98</v>
      </c>
      <c r="J351" s="357">
        <v>10000.0</v>
      </c>
      <c r="K351" s="358">
        <v>1662.0</v>
      </c>
      <c r="L351" s="359">
        <v>46170.0</v>
      </c>
      <c r="M351" s="359"/>
      <c r="N351" s="360"/>
      <c r="O351" s="361" t="s">
        <v>34</v>
      </c>
      <c r="P351" s="362"/>
      <c r="Q351" s="388" t="s">
        <v>35</v>
      </c>
      <c r="R351" s="388" t="s">
        <v>133</v>
      </c>
      <c r="S351" s="381" t="s">
        <v>36</v>
      </c>
      <c r="T351" s="381" t="s">
        <v>36</v>
      </c>
      <c r="U351" s="374" t="s">
        <v>37</v>
      </c>
      <c r="V351" s="375"/>
      <c r="W351" s="395"/>
      <c r="X351" s="399" t="s">
        <v>847</v>
      </c>
      <c r="Y351" s="366"/>
      <c r="Z351" s="367"/>
      <c r="AA351" s="367"/>
      <c r="AB351" s="13"/>
      <c r="AC351" s="13"/>
      <c r="AD351" s="13"/>
      <c r="AE351" s="13"/>
      <c r="AF351" s="13"/>
      <c r="AG351" s="13"/>
      <c r="AH351" s="13"/>
      <c r="AI351" s="13"/>
      <c r="AJ351" s="13"/>
      <c r="AK351" s="13"/>
      <c r="AL351" s="13"/>
      <c r="AM351" s="14"/>
      <c r="AN351" s="14"/>
      <c r="AO351" s="14"/>
      <c r="AP351" s="14"/>
      <c r="AQ351" s="14"/>
      <c r="AR351" s="14"/>
      <c r="AS351" s="14"/>
      <c r="AT351" s="14"/>
      <c r="AU351" s="14"/>
      <c r="AV351" s="14"/>
      <c r="AW351" s="14"/>
      <c r="AX351" s="14"/>
      <c r="AY351" s="14"/>
      <c r="AZ351" s="14"/>
      <c r="BA351" s="14"/>
      <c r="BB351" s="14"/>
      <c r="BC351" s="14"/>
      <c r="BD351" s="14"/>
      <c r="BE351" s="14"/>
      <c r="BF351" s="14"/>
      <c r="BG351" s="14"/>
      <c r="BH351" s="14"/>
      <c r="BI351" s="14"/>
      <c r="BJ351" s="14"/>
      <c r="BK351" s="14"/>
      <c r="BL351" s="14"/>
      <c r="BM351" s="14"/>
      <c r="BN351" s="14"/>
    </row>
    <row r="352" ht="22.5" hidden="1" customHeight="1">
      <c r="A352" s="349" t="s">
        <v>844</v>
      </c>
      <c r="B352" s="350"/>
      <c r="C352" s="400" t="s">
        <v>848</v>
      </c>
      <c r="D352" s="379">
        <v>2752.0</v>
      </c>
      <c r="E352" s="353" t="s">
        <v>51</v>
      </c>
      <c r="F352" s="354" t="s">
        <v>30</v>
      </c>
      <c r="G352" s="355" t="s">
        <v>846</v>
      </c>
      <c r="H352" s="356" t="s">
        <v>31</v>
      </c>
      <c r="I352" s="356" t="s">
        <v>98</v>
      </c>
      <c r="J352" s="357">
        <v>10000.0</v>
      </c>
      <c r="K352" s="358">
        <v>1712.0</v>
      </c>
      <c r="L352" s="359">
        <v>46170.0</v>
      </c>
      <c r="M352" s="359"/>
      <c r="N352" s="360"/>
      <c r="O352" s="361" t="s">
        <v>34</v>
      </c>
      <c r="P352" s="362"/>
      <c r="Q352" s="388" t="s">
        <v>35</v>
      </c>
      <c r="R352" s="388" t="s">
        <v>133</v>
      </c>
      <c r="S352" s="381" t="s">
        <v>36</v>
      </c>
      <c r="T352" s="381" t="s">
        <v>36</v>
      </c>
      <c r="U352" s="374" t="s">
        <v>37</v>
      </c>
      <c r="V352" s="375"/>
      <c r="W352" s="395"/>
      <c r="X352" s="399" t="s">
        <v>849</v>
      </c>
      <c r="Y352" s="366"/>
      <c r="Z352" s="367"/>
      <c r="AA352" s="367"/>
      <c r="AB352" s="13"/>
      <c r="AC352" s="13"/>
      <c r="AD352" s="13"/>
      <c r="AE352" s="13"/>
      <c r="AF352" s="13"/>
      <c r="AG352" s="13"/>
      <c r="AH352" s="13"/>
      <c r="AI352" s="13"/>
      <c r="AJ352" s="13"/>
      <c r="AK352" s="13"/>
      <c r="AL352" s="13"/>
      <c r="AM352" s="14"/>
      <c r="AN352" s="14"/>
      <c r="AO352" s="14"/>
      <c r="AP352" s="14"/>
      <c r="AQ352" s="14"/>
      <c r="AR352" s="14"/>
      <c r="AS352" s="14"/>
      <c r="AT352" s="14"/>
      <c r="AU352" s="14"/>
      <c r="AV352" s="14"/>
      <c r="AW352" s="14"/>
      <c r="AX352" s="14"/>
      <c r="AY352" s="14"/>
      <c r="AZ352" s="14"/>
      <c r="BA352" s="14"/>
      <c r="BB352" s="14"/>
      <c r="BC352" s="14"/>
      <c r="BD352" s="14"/>
      <c r="BE352" s="14"/>
      <c r="BF352" s="14"/>
      <c r="BG352" s="14"/>
      <c r="BH352" s="14"/>
      <c r="BI352" s="14"/>
      <c r="BJ352" s="14"/>
      <c r="BK352" s="14"/>
      <c r="BL352" s="14"/>
      <c r="BM352" s="14"/>
      <c r="BN352" s="14"/>
    </row>
    <row r="353" ht="22.5" hidden="1" customHeight="1">
      <c r="A353" s="349" t="s">
        <v>403</v>
      </c>
      <c r="B353" s="350"/>
      <c r="C353" s="351" t="s">
        <v>850</v>
      </c>
      <c r="D353" s="352">
        <v>2754.0</v>
      </c>
      <c r="E353" s="353" t="s">
        <v>157</v>
      </c>
      <c r="F353" s="354" t="s">
        <v>30</v>
      </c>
      <c r="G353" s="355" t="s">
        <v>851</v>
      </c>
      <c r="H353" s="356" t="s">
        <v>52</v>
      </c>
      <c r="I353" s="356" t="s">
        <v>274</v>
      </c>
      <c r="J353" s="357" t="s">
        <v>852</v>
      </c>
      <c r="K353" s="358">
        <v>1208.0</v>
      </c>
      <c r="L353" s="359">
        <v>46175.0</v>
      </c>
      <c r="M353" s="359">
        <v>46176.0</v>
      </c>
      <c r="N353" s="360"/>
      <c r="O353" s="361" t="s">
        <v>99</v>
      </c>
      <c r="P353" s="362"/>
      <c r="Q353" s="353" t="s">
        <v>35</v>
      </c>
      <c r="R353" s="353" t="s">
        <v>133</v>
      </c>
      <c r="S353" s="361" t="s">
        <v>55</v>
      </c>
      <c r="T353" s="361" t="s">
        <v>36</v>
      </c>
      <c r="U353" s="363" t="s">
        <v>37</v>
      </c>
      <c r="V353" s="364"/>
      <c r="W353" s="357" t="s">
        <v>853</v>
      </c>
      <c r="X353" s="365" t="s">
        <v>257</v>
      </c>
      <c r="Y353" s="366"/>
      <c r="Z353" s="367"/>
      <c r="AA353" s="367"/>
      <c r="AB353" s="13"/>
      <c r="AC353" s="13"/>
      <c r="AD353" s="13"/>
      <c r="AE353" s="13"/>
      <c r="AF353" s="13"/>
      <c r="AG353" s="13"/>
      <c r="AH353" s="13"/>
      <c r="AI353" s="13"/>
      <c r="AJ353" s="13"/>
      <c r="AK353" s="13"/>
      <c r="AL353" s="13"/>
      <c r="AM353" s="14"/>
      <c r="AN353" s="14"/>
      <c r="AO353" s="14"/>
      <c r="AP353" s="14"/>
      <c r="AQ353" s="14"/>
      <c r="AR353" s="14"/>
      <c r="AS353" s="14"/>
      <c r="AT353" s="14"/>
      <c r="AU353" s="14"/>
      <c r="AV353" s="14"/>
      <c r="AW353" s="14"/>
      <c r="AX353" s="14"/>
      <c r="AY353" s="14"/>
      <c r="AZ353" s="14"/>
      <c r="BA353" s="14"/>
      <c r="BB353" s="14"/>
      <c r="BC353" s="14"/>
      <c r="BD353" s="14"/>
      <c r="BE353" s="14"/>
      <c r="BF353" s="14"/>
      <c r="BG353" s="14"/>
      <c r="BH353" s="14"/>
      <c r="BI353" s="14"/>
      <c r="BJ353" s="14"/>
      <c r="BK353" s="14"/>
      <c r="BL353" s="14"/>
      <c r="BM353" s="14"/>
      <c r="BN353" s="14"/>
    </row>
    <row r="354" ht="22.5" hidden="1" customHeight="1">
      <c r="A354" s="103" t="s">
        <v>155</v>
      </c>
      <c r="B354" s="104"/>
      <c r="C354" s="105" t="s">
        <v>854</v>
      </c>
      <c r="D354" s="106" t="s">
        <v>855</v>
      </c>
      <c r="E354" s="107" t="s">
        <v>157</v>
      </c>
      <c r="F354" s="108" t="s">
        <v>30</v>
      </c>
      <c r="G354" s="109" t="s">
        <v>856</v>
      </c>
      <c r="H354" s="110" t="s">
        <v>31</v>
      </c>
      <c r="I354" s="110" t="s">
        <v>98</v>
      </c>
      <c r="J354" s="111" t="s">
        <v>459</v>
      </c>
      <c r="K354" s="112">
        <v>2308.0</v>
      </c>
      <c r="L354" s="113">
        <v>46155.0</v>
      </c>
      <c r="M354" s="113">
        <v>46160.0</v>
      </c>
      <c r="N354" s="114"/>
      <c r="O354" s="115" t="s">
        <v>70</v>
      </c>
      <c r="P354" s="116"/>
      <c r="Q354" s="107" t="s">
        <v>144</v>
      </c>
      <c r="R354" s="107" t="s">
        <v>133</v>
      </c>
      <c r="S354" s="115" t="s">
        <v>35</v>
      </c>
      <c r="T354" s="115" t="s">
        <v>36</v>
      </c>
      <c r="U354" s="118" t="s">
        <v>37</v>
      </c>
      <c r="V354" s="119"/>
      <c r="W354" s="111" t="s">
        <v>536</v>
      </c>
      <c r="X354" s="164" t="s">
        <v>160</v>
      </c>
      <c r="Y354" s="120"/>
      <c r="Z354" s="121"/>
      <c r="AA354" s="121"/>
      <c r="AB354" s="122"/>
      <c r="AC354" s="122"/>
      <c r="AD354" s="122"/>
      <c r="AE354" s="122"/>
      <c r="AF354" s="122"/>
      <c r="AG354" s="122"/>
      <c r="AH354" s="122"/>
      <c r="AI354" s="122"/>
      <c r="AJ354" s="122"/>
      <c r="AK354" s="122"/>
      <c r="AL354" s="122"/>
    </row>
    <row r="355" ht="22.5" hidden="1" customHeight="1">
      <c r="A355" s="103" t="s">
        <v>155</v>
      </c>
      <c r="B355" s="104"/>
      <c r="C355" s="105" t="s">
        <v>857</v>
      </c>
      <c r="D355" s="106" t="s">
        <v>858</v>
      </c>
      <c r="E355" s="107" t="s">
        <v>157</v>
      </c>
      <c r="F355" s="108" t="s">
        <v>72</v>
      </c>
      <c r="G355" s="109" t="s">
        <v>859</v>
      </c>
      <c r="H355" s="110" t="s">
        <v>31</v>
      </c>
      <c r="I355" s="110" t="s">
        <v>98</v>
      </c>
      <c r="J355" s="111" t="s">
        <v>860</v>
      </c>
      <c r="K355" s="112">
        <v>4789.0</v>
      </c>
      <c r="L355" s="113">
        <v>46164.0</v>
      </c>
      <c r="M355" s="113">
        <v>46169.0</v>
      </c>
      <c r="N355" s="114"/>
      <c r="O355" s="115" t="s">
        <v>70</v>
      </c>
      <c r="P355" s="116"/>
      <c r="Q355" s="107" t="s">
        <v>35</v>
      </c>
      <c r="R355" s="107" t="s">
        <v>133</v>
      </c>
      <c r="S355" s="115" t="s">
        <v>36</v>
      </c>
      <c r="T355" s="115" t="s">
        <v>36</v>
      </c>
      <c r="U355" s="118" t="s">
        <v>37</v>
      </c>
      <c r="V355" s="119"/>
      <c r="W355" s="111" t="s">
        <v>536</v>
      </c>
      <c r="X355" s="164" t="s">
        <v>160</v>
      </c>
      <c r="Y355" s="120"/>
      <c r="Z355" s="121"/>
      <c r="AA355" s="121"/>
      <c r="AB355" s="122"/>
      <c r="AC355" s="122"/>
      <c r="AD355" s="122"/>
      <c r="AE355" s="122"/>
      <c r="AF355" s="122"/>
      <c r="AG355" s="122"/>
      <c r="AH355" s="122"/>
      <c r="AI355" s="122"/>
      <c r="AJ355" s="122"/>
      <c r="AK355" s="122"/>
      <c r="AL355" s="122"/>
    </row>
    <row r="356" ht="22.5" hidden="1" customHeight="1">
      <c r="A356" s="349" t="s">
        <v>861</v>
      </c>
      <c r="B356" s="350"/>
      <c r="C356" s="339" t="s">
        <v>862</v>
      </c>
      <c r="D356" s="352">
        <v>2774.0</v>
      </c>
      <c r="E356" s="353" t="s">
        <v>164</v>
      </c>
      <c r="F356" s="354" t="s">
        <v>30</v>
      </c>
      <c r="G356" s="355" t="s">
        <v>863</v>
      </c>
      <c r="H356" s="356" t="s">
        <v>31</v>
      </c>
      <c r="I356" s="356" t="s">
        <v>311</v>
      </c>
      <c r="J356" s="357">
        <v>5000.0</v>
      </c>
      <c r="K356" s="358">
        <v>433.0</v>
      </c>
      <c r="L356" s="359">
        <v>46174.0</v>
      </c>
      <c r="M356" s="359">
        <v>46178.0</v>
      </c>
      <c r="N356" s="360"/>
      <c r="O356" s="361" t="s">
        <v>212</v>
      </c>
      <c r="P356" s="362"/>
      <c r="Q356" s="388" t="s">
        <v>35</v>
      </c>
      <c r="R356" s="388" t="s">
        <v>133</v>
      </c>
      <c r="S356" s="381" t="s">
        <v>35</v>
      </c>
      <c r="T356" s="381" t="s">
        <v>35</v>
      </c>
      <c r="U356" s="374" t="s">
        <v>37</v>
      </c>
      <c r="V356" s="375"/>
      <c r="W356" s="395" t="s">
        <v>864</v>
      </c>
      <c r="X356" s="338" t="s">
        <v>399</v>
      </c>
      <c r="Y356" s="365" t="s">
        <v>516</v>
      </c>
      <c r="Z356" s="380" t="s">
        <v>814</v>
      </c>
      <c r="AA356" s="367"/>
      <c r="AB356" s="13"/>
      <c r="AC356" s="13"/>
      <c r="AD356" s="13"/>
      <c r="AE356" s="13"/>
      <c r="AF356" s="13"/>
      <c r="AG356" s="13"/>
      <c r="AH356" s="13"/>
      <c r="AI356" s="13"/>
      <c r="AJ356" s="13"/>
      <c r="AK356" s="13"/>
      <c r="AL356" s="13"/>
      <c r="AM356" s="14"/>
      <c r="AN356" s="14"/>
      <c r="AO356" s="14"/>
      <c r="AP356" s="14"/>
      <c r="AQ356" s="14"/>
      <c r="AR356" s="14"/>
      <c r="AS356" s="14"/>
      <c r="AT356" s="14"/>
      <c r="AU356" s="14"/>
      <c r="AV356" s="14"/>
      <c r="AW356" s="14"/>
      <c r="AX356" s="14"/>
      <c r="AY356" s="14"/>
      <c r="AZ356" s="14"/>
      <c r="BA356" s="14"/>
      <c r="BB356" s="14"/>
      <c r="BC356" s="14"/>
      <c r="BD356" s="14"/>
      <c r="BE356" s="14"/>
      <c r="BF356" s="14"/>
      <c r="BG356" s="14"/>
      <c r="BH356" s="14"/>
      <c r="BI356" s="14"/>
      <c r="BJ356" s="14"/>
      <c r="BK356" s="14"/>
      <c r="BL356" s="14"/>
      <c r="BM356" s="14"/>
      <c r="BN356" s="14"/>
    </row>
    <row r="357" ht="22.5" hidden="1" customHeight="1">
      <c r="A357" s="103" t="s">
        <v>155</v>
      </c>
      <c r="B357" s="104"/>
      <c r="C357" s="105" t="s">
        <v>865</v>
      </c>
      <c r="D357" s="106" t="s">
        <v>866</v>
      </c>
      <c r="E357" s="107" t="s">
        <v>157</v>
      </c>
      <c r="F357" s="108" t="s">
        <v>30</v>
      </c>
      <c r="G357" s="109" t="s">
        <v>466</v>
      </c>
      <c r="H357" s="110" t="s">
        <v>31</v>
      </c>
      <c r="I357" s="110" t="s">
        <v>98</v>
      </c>
      <c r="J357" s="111" t="s">
        <v>867</v>
      </c>
      <c r="K357" s="112">
        <v>6946.0</v>
      </c>
      <c r="L357" s="113">
        <v>46164.0</v>
      </c>
      <c r="M357" s="113">
        <v>46169.0</v>
      </c>
      <c r="N357" s="114"/>
      <c r="O357" s="115" t="s">
        <v>731</v>
      </c>
      <c r="P357" s="116"/>
      <c r="Q357" s="107" t="s">
        <v>35</v>
      </c>
      <c r="R357" s="107" t="s">
        <v>133</v>
      </c>
      <c r="S357" s="115" t="s">
        <v>35</v>
      </c>
      <c r="T357" s="115" t="s">
        <v>36</v>
      </c>
      <c r="U357" s="118" t="s">
        <v>37</v>
      </c>
      <c r="V357" s="119"/>
      <c r="W357" s="111" t="s">
        <v>536</v>
      </c>
      <c r="X357" s="164" t="s">
        <v>160</v>
      </c>
      <c r="Y357" s="120"/>
      <c r="Z357" s="121"/>
      <c r="AA357" s="121"/>
      <c r="AB357" s="122"/>
      <c r="AC357" s="122"/>
      <c r="AD357" s="122"/>
      <c r="AE357" s="122"/>
      <c r="AF357" s="122"/>
      <c r="AG357" s="122"/>
      <c r="AH357" s="122"/>
      <c r="AI357" s="122"/>
      <c r="AJ357" s="122"/>
      <c r="AK357" s="122"/>
      <c r="AL357" s="122"/>
    </row>
    <row r="358" ht="22.5" hidden="1" customHeight="1">
      <c r="A358" s="349" t="s">
        <v>868</v>
      </c>
      <c r="B358" s="350"/>
      <c r="C358" s="339" t="s">
        <v>862</v>
      </c>
      <c r="D358" s="352">
        <v>2775.0</v>
      </c>
      <c r="E358" s="353" t="s">
        <v>164</v>
      </c>
      <c r="F358" s="354" t="s">
        <v>30</v>
      </c>
      <c r="G358" s="355" t="s">
        <v>863</v>
      </c>
      <c r="H358" s="356" t="s">
        <v>31</v>
      </c>
      <c r="I358" s="356" t="s">
        <v>311</v>
      </c>
      <c r="J358" s="357">
        <v>5000.0</v>
      </c>
      <c r="K358" s="358">
        <v>433.0</v>
      </c>
      <c r="L358" s="359">
        <v>46174.0</v>
      </c>
      <c r="M358" s="359">
        <v>46178.0</v>
      </c>
      <c r="N358" s="360"/>
      <c r="O358" s="361" t="s">
        <v>212</v>
      </c>
      <c r="P358" s="362"/>
      <c r="Q358" s="388" t="s">
        <v>35</v>
      </c>
      <c r="R358" s="388" t="s">
        <v>133</v>
      </c>
      <c r="S358" s="381" t="s">
        <v>35</v>
      </c>
      <c r="T358" s="381" t="s">
        <v>35</v>
      </c>
      <c r="U358" s="374" t="s">
        <v>37</v>
      </c>
      <c r="V358" s="375"/>
      <c r="W358" s="395"/>
      <c r="X358" s="338" t="s">
        <v>399</v>
      </c>
      <c r="Y358" s="365" t="s">
        <v>516</v>
      </c>
      <c r="Z358" s="380" t="s">
        <v>814</v>
      </c>
      <c r="AA358" s="367"/>
      <c r="AB358" s="13"/>
      <c r="AC358" s="13"/>
      <c r="AD358" s="13"/>
      <c r="AE358" s="13"/>
      <c r="AF358" s="13"/>
      <c r="AG358" s="13"/>
      <c r="AH358" s="13"/>
      <c r="AI358" s="13"/>
      <c r="AJ358" s="13"/>
      <c r="AK358" s="13"/>
      <c r="AL358" s="13"/>
      <c r="AM358" s="14"/>
      <c r="AN358" s="14"/>
      <c r="AO358" s="14"/>
      <c r="AP358" s="14"/>
      <c r="AQ358" s="14"/>
      <c r="AR358" s="14"/>
      <c r="AS358" s="14"/>
      <c r="AT358" s="14"/>
      <c r="AU358" s="14"/>
      <c r="AV358" s="14"/>
      <c r="AW358" s="14"/>
      <c r="AX358" s="14"/>
      <c r="AY358" s="14"/>
      <c r="AZ358" s="14"/>
      <c r="BA358" s="14"/>
      <c r="BB358" s="14"/>
      <c r="BC358" s="14"/>
      <c r="BD358" s="14"/>
      <c r="BE358" s="14"/>
      <c r="BF358" s="14"/>
      <c r="BG358" s="14"/>
      <c r="BH358" s="14"/>
      <c r="BI358" s="14"/>
      <c r="BJ358" s="14"/>
      <c r="BK358" s="14"/>
      <c r="BL358" s="14"/>
      <c r="BM358" s="14"/>
      <c r="BN358" s="14"/>
    </row>
    <row r="359" ht="22.5" hidden="1" customHeight="1">
      <c r="A359" s="349" t="s">
        <v>844</v>
      </c>
      <c r="B359" s="350"/>
      <c r="C359" s="401" t="s">
        <v>869</v>
      </c>
      <c r="D359" s="379">
        <v>2753.0</v>
      </c>
      <c r="E359" s="353" t="s">
        <v>51</v>
      </c>
      <c r="F359" s="354" t="s">
        <v>30</v>
      </c>
      <c r="G359" s="355" t="s">
        <v>870</v>
      </c>
      <c r="H359" s="356" t="s">
        <v>31</v>
      </c>
      <c r="I359" s="356" t="s">
        <v>98</v>
      </c>
      <c r="J359" s="357">
        <v>10000.0</v>
      </c>
      <c r="K359" s="358">
        <v>1712.0</v>
      </c>
      <c r="L359" s="359">
        <v>46170.0</v>
      </c>
      <c r="M359" s="359"/>
      <c r="N359" s="360"/>
      <c r="O359" s="361" t="s">
        <v>34</v>
      </c>
      <c r="P359" s="362"/>
      <c r="Q359" s="388" t="s">
        <v>35</v>
      </c>
      <c r="R359" s="388" t="s">
        <v>133</v>
      </c>
      <c r="S359" s="381" t="s">
        <v>36</v>
      </c>
      <c r="T359" s="381" t="s">
        <v>36</v>
      </c>
      <c r="U359" s="374" t="s">
        <v>37</v>
      </c>
      <c r="V359" s="375"/>
      <c r="W359" s="395"/>
      <c r="X359" s="399" t="s">
        <v>849</v>
      </c>
      <c r="Y359" s="366"/>
      <c r="Z359" s="367"/>
      <c r="AA359" s="367"/>
      <c r="AB359" s="13"/>
      <c r="AC359" s="13"/>
      <c r="AD359" s="13"/>
      <c r="AE359" s="13"/>
      <c r="AF359" s="13"/>
      <c r="AG359" s="13"/>
      <c r="AH359" s="13"/>
      <c r="AI359" s="13"/>
      <c r="AJ359" s="13"/>
      <c r="AK359" s="13"/>
      <c r="AL359" s="13"/>
      <c r="AM359" s="14"/>
      <c r="AN359" s="14"/>
      <c r="AO359" s="14"/>
      <c r="AP359" s="14"/>
      <c r="AQ359" s="14"/>
      <c r="AR359" s="14"/>
      <c r="AS359" s="14"/>
      <c r="AT359" s="14"/>
      <c r="AU359" s="14"/>
      <c r="AV359" s="14"/>
      <c r="AW359" s="14"/>
      <c r="AX359" s="14"/>
      <c r="AY359" s="14"/>
      <c r="AZ359" s="14"/>
      <c r="BA359" s="14"/>
      <c r="BB359" s="14"/>
      <c r="BC359" s="14"/>
      <c r="BD359" s="14"/>
      <c r="BE359" s="14"/>
      <c r="BF359" s="14"/>
      <c r="BG359" s="14"/>
      <c r="BH359" s="14"/>
      <c r="BI359" s="14"/>
      <c r="BJ359" s="14"/>
      <c r="BK359" s="14"/>
      <c r="BL359" s="14"/>
      <c r="BM359" s="14"/>
      <c r="BN359" s="14"/>
    </row>
    <row r="360" ht="22.5" hidden="1" customHeight="1">
      <c r="A360" s="349" t="s">
        <v>803</v>
      </c>
      <c r="B360" s="350"/>
      <c r="C360" s="402" t="s">
        <v>871</v>
      </c>
      <c r="D360" s="379">
        <v>2780.0</v>
      </c>
      <c r="E360" s="353" t="s">
        <v>29</v>
      </c>
      <c r="F360" s="354" t="s">
        <v>30</v>
      </c>
      <c r="G360" s="355" t="s">
        <v>138</v>
      </c>
      <c r="H360" s="356" t="s">
        <v>31</v>
      </c>
      <c r="I360" s="356" t="s">
        <v>132</v>
      </c>
      <c r="J360" s="357">
        <v>10000.0</v>
      </c>
      <c r="K360" s="358">
        <v>689.0</v>
      </c>
      <c r="L360" s="359">
        <v>46168.0</v>
      </c>
      <c r="M360" s="359">
        <v>46174.0</v>
      </c>
      <c r="N360" s="360"/>
      <c r="O360" s="361" t="s">
        <v>34</v>
      </c>
      <c r="P360" s="362"/>
      <c r="Q360" s="353" t="s">
        <v>35</v>
      </c>
      <c r="R360" s="353" t="s">
        <v>133</v>
      </c>
      <c r="S360" s="381" t="s">
        <v>36</v>
      </c>
      <c r="T360" s="381" t="s">
        <v>36</v>
      </c>
      <c r="U360" s="363" t="s">
        <v>37</v>
      </c>
      <c r="V360" s="364"/>
      <c r="W360" s="395"/>
      <c r="X360" s="403"/>
      <c r="Y360" s="366"/>
      <c r="Z360" s="367"/>
      <c r="AA360" s="367"/>
      <c r="AB360" s="13"/>
      <c r="AC360" s="13"/>
      <c r="AD360" s="13"/>
      <c r="AE360" s="13"/>
      <c r="AF360" s="13"/>
      <c r="AG360" s="13"/>
      <c r="AH360" s="13"/>
      <c r="AI360" s="13"/>
      <c r="AJ360" s="13"/>
      <c r="AK360" s="13"/>
      <c r="AL360" s="13"/>
      <c r="AM360" s="14"/>
      <c r="AN360" s="14"/>
      <c r="AO360" s="14"/>
      <c r="AP360" s="14"/>
      <c r="AQ360" s="14"/>
      <c r="AR360" s="14"/>
      <c r="AS360" s="14"/>
      <c r="AT360" s="14"/>
      <c r="AU360" s="14"/>
      <c r="AV360" s="14"/>
      <c r="AW360" s="14"/>
      <c r="AX360" s="14"/>
      <c r="AY360" s="14"/>
      <c r="AZ360" s="14"/>
      <c r="BA360" s="14"/>
      <c r="BB360" s="14"/>
      <c r="BC360" s="14"/>
      <c r="BD360" s="14"/>
      <c r="BE360" s="14"/>
      <c r="BF360" s="14"/>
      <c r="BG360" s="14"/>
      <c r="BH360" s="14"/>
      <c r="BI360" s="14"/>
      <c r="BJ360" s="14"/>
      <c r="BK360" s="14"/>
      <c r="BL360" s="14"/>
      <c r="BM360" s="14"/>
      <c r="BN360" s="14"/>
    </row>
    <row r="361" ht="22.5" hidden="1" customHeight="1">
      <c r="A361" s="349" t="s">
        <v>872</v>
      </c>
      <c r="B361" s="350"/>
      <c r="C361" s="401" t="s">
        <v>873</v>
      </c>
      <c r="D361" s="379">
        <v>2781.0</v>
      </c>
      <c r="E361" s="353" t="s">
        <v>164</v>
      </c>
      <c r="F361" s="354" t="s">
        <v>30</v>
      </c>
      <c r="G361" s="355" t="s">
        <v>874</v>
      </c>
      <c r="H361" s="356" t="s">
        <v>31</v>
      </c>
      <c r="I361" s="356" t="s">
        <v>98</v>
      </c>
      <c r="J361" s="357">
        <v>10000.0</v>
      </c>
      <c r="K361" s="358">
        <v>868.0</v>
      </c>
      <c r="L361" s="359">
        <v>46175.0</v>
      </c>
      <c r="M361" s="359">
        <v>46184.0</v>
      </c>
      <c r="N361" s="360"/>
      <c r="O361" s="361" t="s">
        <v>99</v>
      </c>
      <c r="P361" s="362"/>
      <c r="Q361" s="388" t="s">
        <v>35</v>
      </c>
      <c r="R361" s="388" t="s">
        <v>133</v>
      </c>
      <c r="S361" s="381" t="s">
        <v>36</v>
      </c>
      <c r="T361" s="381" t="s">
        <v>36</v>
      </c>
      <c r="U361" s="374" t="s">
        <v>37</v>
      </c>
      <c r="V361" s="375"/>
      <c r="W361" s="395" t="s">
        <v>875</v>
      </c>
      <c r="X361" s="395" t="s">
        <v>876</v>
      </c>
      <c r="Y361" s="365" t="s">
        <v>516</v>
      </c>
      <c r="Z361" s="380" t="s">
        <v>516</v>
      </c>
      <c r="AA361" s="367"/>
      <c r="AB361" s="13"/>
      <c r="AC361" s="13"/>
      <c r="AD361" s="13"/>
      <c r="AE361" s="13"/>
      <c r="AF361" s="13"/>
      <c r="AG361" s="13"/>
      <c r="AH361" s="13"/>
      <c r="AI361" s="13"/>
      <c r="AJ361" s="13"/>
      <c r="AK361" s="13"/>
      <c r="AL361" s="13"/>
      <c r="AM361" s="14"/>
      <c r="AN361" s="14"/>
      <c r="AO361" s="14"/>
      <c r="AP361" s="14"/>
      <c r="AQ361" s="14"/>
      <c r="AR361" s="14"/>
      <c r="AS361" s="14"/>
      <c r="AT361" s="14"/>
      <c r="AU361" s="14"/>
      <c r="AV361" s="14"/>
      <c r="AW361" s="14"/>
      <c r="AX361" s="14"/>
      <c r="AY361" s="14"/>
      <c r="AZ361" s="14"/>
      <c r="BA361" s="14"/>
      <c r="BB361" s="14"/>
      <c r="BC361" s="14"/>
      <c r="BD361" s="14"/>
      <c r="BE361" s="14"/>
      <c r="BF361" s="14"/>
      <c r="BG361" s="14"/>
      <c r="BH361" s="14"/>
      <c r="BI361" s="14"/>
      <c r="BJ361" s="14"/>
      <c r="BK361" s="14"/>
      <c r="BL361" s="14"/>
      <c r="BM361" s="14"/>
      <c r="BN361" s="14"/>
    </row>
    <row r="362" ht="22.5" hidden="1" customHeight="1">
      <c r="A362" s="349" t="s">
        <v>872</v>
      </c>
      <c r="B362" s="350"/>
      <c r="C362" s="401" t="s">
        <v>877</v>
      </c>
      <c r="D362" s="379">
        <v>2782.0</v>
      </c>
      <c r="E362" s="353" t="s">
        <v>164</v>
      </c>
      <c r="F362" s="354" t="s">
        <v>30</v>
      </c>
      <c r="G362" s="355" t="s">
        <v>874</v>
      </c>
      <c r="H362" s="356" t="s">
        <v>31</v>
      </c>
      <c r="I362" s="356" t="s">
        <v>98</v>
      </c>
      <c r="J362" s="357">
        <v>10000.0</v>
      </c>
      <c r="K362" s="358">
        <v>868.0</v>
      </c>
      <c r="L362" s="359">
        <v>46175.0</v>
      </c>
      <c r="M362" s="359">
        <v>46184.0</v>
      </c>
      <c r="N362" s="360"/>
      <c r="O362" s="361" t="s">
        <v>99</v>
      </c>
      <c r="P362" s="362"/>
      <c r="Q362" s="388" t="s">
        <v>35</v>
      </c>
      <c r="R362" s="388" t="s">
        <v>133</v>
      </c>
      <c r="S362" s="381" t="s">
        <v>36</v>
      </c>
      <c r="T362" s="381" t="s">
        <v>36</v>
      </c>
      <c r="U362" s="374" t="s">
        <v>37</v>
      </c>
      <c r="V362" s="375"/>
      <c r="W362" s="395" t="s">
        <v>875</v>
      </c>
      <c r="X362" s="395" t="s">
        <v>876</v>
      </c>
      <c r="Y362" s="365" t="s">
        <v>516</v>
      </c>
      <c r="Z362" s="380" t="s">
        <v>516</v>
      </c>
      <c r="AA362" s="367"/>
      <c r="AB362" s="13"/>
      <c r="AC362" s="13"/>
      <c r="AD362" s="13"/>
      <c r="AE362" s="13"/>
      <c r="AF362" s="13"/>
      <c r="AG362" s="13"/>
      <c r="AH362" s="13"/>
      <c r="AI362" s="13"/>
      <c r="AJ362" s="13"/>
      <c r="AK362" s="13"/>
      <c r="AL362" s="13"/>
      <c r="AM362" s="14"/>
      <c r="AN362" s="14"/>
      <c r="AO362" s="14"/>
      <c r="AP362" s="14"/>
      <c r="AQ362" s="14"/>
      <c r="AR362" s="14"/>
      <c r="AS362" s="14"/>
      <c r="AT362" s="14"/>
      <c r="AU362" s="14"/>
      <c r="AV362" s="14"/>
      <c r="AW362" s="14"/>
      <c r="AX362" s="14"/>
      <c r="AY362" s="14"/>
      <c r="AZ362" s="14"/>
      <c r="BA362" s="14"/>
      <c r="BB362" s="14"/>
      <c r="BC362" s="14"/>
      <c r="BD362" s="14"/>
      <c r="BE362" s="14"/>
      <c r="BF362" s="14"/>
      <c r="BG362" s="14"/>
      <c r="BH362" s="14"/>
      <c r="BI362" s="14"/>
      <c r="BJ362" s="14"/>
      <c r="BK362" s="14"/>
      <c r="BL362" s="14"/>
      <c r="BM362" s="14"/>
      <c r="BN362" s="14"/>
    </row>
    <row r="363" ht="22.5" hidden="1" customHeight="1">
      <c r="A363" s="349" t="s">
        <v>872</v>
      </c>
      <c r="B363" s="350"/>
      <c r="C363" s="401" t="s">
        <v>878</v>
      </c>
      <c r="D363" s="379">
        <v>2783.0</v>
      </c>
      <c r="E363" s="353" t="s">
        <v>164</v>
      </c>
      <c r="F363" s="354" t="s">
        <v>30</v>
      </c>
      <c r="G363" s="355" t="s">
        <v>874</v>
      </c>
      <c r="H363" s="356" t="s">
        <v>31</v>
      </c>
      <c r="I363" s="356" t="s">
        <v>98</v>
      </c>
      <c r="J363" s="357">
        <v>10000.0</v>
      </c>
      <c r="K363" s="358">
        <v>868.0</v>
      </c>
      <c r="L363" s="359">
        <v>46175.0</v>
      </c>
      <c r="M363" s="359">
        <v>46184.0</v>
      </c>
      <c r="N363" s="360"/>
      <c r="O363" s="361" t="s">
        <v>99</v>
      </c>
      <c r="P363" s="362"/>
      <c r="Q363" s="388" t="s">
        <v>35</v>
      </c>
      <c r="R363" s="388" t="s">
        <v>133</v>
      </c>
      <c r="S363" s="381" t="s">
        <v>36</v>
      </c>
      <c r="T363" s="381" t="s">
        <v>36</v>
      </c>
      <c r="U363" s="374" t="s">
        <v>37</v>
      </c>
      <c r="V363" s="375"/>
      <c r="W363" s="395" t="s">
        <v>875</v>
      </c>
      <c r="X363" s="395" t="s">
        <v>876</v>
      </c>
      <c r="Y363" s="365" t="s">
        <v>516</v>
      </c>
      <c r="Z363" s="380" t="s">
        <v>516</v>
      </c>
      <c r="AA363" s="367"/>
      <c r="AB363" s="13"/>
      <c r="AC363" s="13"/>
      <c r="AD363" s="13"/>
      <c r="AE363" s="13"/>
      <c r="AF363" s="13"/>
      <c r="AG363" s="13"/>
      <c r="AH363" s="13"/>
      <c r="AI363" s="13"/>
      <c r="AJ363" s="13"/>
      <c r="AK363" s="13"/>
      <c r="AL363" s="13"/>
      <c r="AM363" s="14"/>
      <c r="AN363" s="14"/>
      <c r="AO363" s="14"/>
      <c r="AP363" s="14"/>
      <c r="AQ363" s="14"/>
      <c r="AR363" s="14"/>
      <c r="AS363" s="14"/>
      <c r="AT363" s="14"/>
      <c r="AU363" s="14"/>
      <c r="AV363" s="14"/>
      <c r="AW363" s="14"/>
      <c r="AX363" s="14"/>
      <c r="AY363" s="14"/>
      <c r="AZ363" s="14"/>
      <c r="BA363" s="14"/>
      <c r="BB363" s="14"/>
      <c r="BC363" s="14"/>
      <c r="BD363" s="14"/>
      <c r="BE363" s="14"/>
      <c r="BF363" s="14"/>
      <c r="BG363" s="14"/>
      <c r="BH363" s="14"/>
      <c r="BI363" s="14"/>
      <c r="BJ363" s="14"/>
      <c r="BK363" s="14"/>
      <c r="BL363" s="14"/>
      <c r="BM363" s="14"/>
      <c r="BN363" s="14"/>
    </row>
    <row r="364" ht="22.5" hidden="1" customHeight="1">
      <c r="A364" s="349" t="s">
        <v>803</v>
      </c>
      <c r="B364" s="350"/>
      <c r="C364" s="351" t="s">
        <v>879</v>
      </c>
      <c r="D364" s="379">
        <v>2788.0</v>
      </c>
      <c r="E364" s="353" t="s">
        <v>29</v>
      </c>
      <c r="F364" s="354" t="s">
        <v>30</v>
      </c>
      <c r="G364" s="355" t="s">
        <v>138</v>
      </c>
      <c r="H364" s="356" t="s">
        <v>31</v>
      </c>
      <c r="I364" s="356" t="s">
        <v>132</v>
      </c>
      <c r="J364" s="357">
        <v>10000.0</v>
      </c>
      <c r="K364" s="358">
        <v>689.0</v>
      </c>
      <c r="L364" s="359">
        <v>46168.0</v>
      </c>
      <c r="M364" s="359">
        <v>46174.0</v>
      </c>
      <c r="N364" s="360"/>
      <c r="O364" s="361" t="s">
        <v>34</v>
      </c>
      <c r="P364" s="362"/>
      <c r="Q364" s="353" t="s">
        <v>35</v>
      </c>
      <c r="R364" s="353" t="s">
        <v>133</v>
      </c>
      <c r="S364" s="381" t="s">
        <v>36</v>
      </c>
      <c r="T364" s="381" t="s">
        <v>36</v>
      </c>
      <c r="U364" s="363" t="s">
        <v>37</v>
      </c>
      <c r="V364" s="364"/>
      <c r="W364" s="395"/>
      <c r="X364" s="357">
        <v>10000.0</v>
      </c>
      <c r="Y364" s="365">
        <v>2.0</v>
      </c>
      <c r="Z364" s="380">
        <v>4.0</v>
      </c>
      <c r="AA364" s="380" t="s">
        <v>880</v>
      </c>
      <c r="AB364" s="13"/>
      <c r="AC364" s="13"/>
      <c r="AD364" s="13"/>
      <c r="AE364" s="13"/>
      <c r="AF364" s="13"/>
      <c r="AG364" s="13"/>
      <c r="AH364" s="13"/>
      <c r="AI364" s="13"/>
      <c r="AJ364" s="13"/>
      <c r="AK364" s="13"/>
      <c r="AL364" s="13"/>
      <c r="AM364" s="14"/>
      <c r="AN364" s="14"/>
      <c r="AO364" s="14"/>
      <c r="AP364" s="14"/>
      <c r="AQ364" s="14"/>
      <c r="AR364" s="14"/>
      <c r="AS364" s="14"/>
      <c r="AT364" s="14"/>
      <c r="AU364" s="14"/>
      <c r="AV364" s="14"/>
      <c r="AW364" s="14"/>
      <c r="AX364" s="14"/>
      <c r="AY364" s="14"/>
      <c r="AZ364" s="14"/>
      <c r="BA364" s="14"/>
      <c r="BB364" s="14"/>
      <c r="BC364" s="14"/>
      <c r="BD364" s="14"/>
      <c r="BE364" s="14"/>
      <c r="BF364" s="14"/>
      <c r="BG364" s="14"/>
      <c r="BH364" s="14"/>
      <c r="BI364" s="14"/>
      <c r="BJ364" s="14"/>
      <c r="BK364" s="14"/>
      <c r="BL364" s="14"/>
      <c r="BM364" s="14"/>
      <c r="BN364" s="14"/>
    </row>
    <row r="365" ht="22.5" hidden="1" customHeight="1">
      <c r="A365" s="349" t="s">
        <v>803</v>
      </c>
      <c r="B365" s="350"/>
      <c r="C365" s="351" t="s">
        <v>881</v>
      </c>
      <c r="D365" s="379">
        <v>2789.0</v>
      </c>
      <c r="E365" s="353" t="s">
        <v>29</v>
      </c>
      <c r="F365" s="354" t="s">
        <v>30</v>
      </c>
      <c r="G365" s="355" t="s">
        <v>138</v>
      </c>
      <c r="H365" s="356" t="s">
        <v>31</v>
      </c>
      <c r="I365" s="356" t="s">
        <v>132</v>
      </c>
      <c r="J365" s="357">
        <v>20000.0</v>
      </c>
      <c r="K365" s="358">
        <v>1063.0</v>
      </c>
      <c r="L365" s="359">
        <v>46168.0</v>
      </c>
      <c r="M365" s="359">
        <v>46174.0</v>
      </c>
      <c r="N365" s="360"/>
      <c r="O365" s="361" t="s">
        <v>34</v>
      </c>
      <c r="P365" s="362"/>
      <c r="Q365" s="353" t="s">
        <v>35</v>
      </c>
      <c r="R365" s="353" t="s">
        <v>133</v>
      </c>
      <c r="S365" s="381" t="s">
        <v>36</v>
      </c>
      <c r="T365" s="381" t="s">
        <v>36</v>
      </c>
      <c r="U365" s="363" t="s">
        <v>37</v>
      </c>
      <c r="V365" s="364"/>
      <c r="W365" s="395"/>
      <c r="X365" s="357">
        <v>20000.0</v>
      </c>
      <c r="Y365" s="365">
        <v>4.0</v>
      </c>
      <c r="Z365" s="380">
        <v>8.0</v>
      </c>
      <c r="AA365" s="380" t="s">
        <v>882</v>
      </c>
      <c r="AB365" s="13"/>
      <c r="AC365" s="13"/>
      <c r="AD365" s="13"/>
      <c r="AE365" s="13"/>
      <c r="AF365" s="13"/>
      <c r="AG365" s="13"/>
      <c r="AH365" s="13"/>
      <c r="AI365" s="13"/>
      <c r="AJ365" s="13"/>
      <c r="AK365" s="13"/>
      <c r="AL365" s="13"/>
      <c r="AM365" s="14"/>
      <c r="AN365" s="14"/>
      <c r="AO365" s="14"/>
      <c r="AP365" s="14"/>
      <c r="AQ365" s="14"/>
      <c r="AR365" s="14"/>
      <c r="AS365" s="14"/>
      <c r="AT365" s="14"/>
      <c r="AU365" s="14"/>
      <c r="AV365" s="14"/>
      <c r="AW365" s="14"/>
      <c r="AX365" s="14"/>
      <c r="AY365" s="14"/>
      <c r="AZ365" s="14"/>
      <c r="BA365" s="14"/>
      <c r="BB365" s="14"/>
      <c r="BC365" s="14"/>
      <c r="BD365" s="14"/>
      <c r="BE365" s="14"/>
      <c r="BF365" s="14"/>
      <c r="BG365" s="14"/>
      <c r="BH365" s="14"/>
      <c r="BI365" s="14"/>
      <c r="BJ365" s="14"/>
      <c r="BK365" s="14"/>
      <c r="BL365" s="14"/>
      <c r="BM365" s="14"/>
      <c r="BN365" s="14"/>
    </row>
    <row r="366" ht="22.5" hidden="1" customHeight="1">
      <c r="A366" s="349" t="s">
        <v>486</v>
      </c>
      <c r="B366" s="350"/>
      <c r="C366" s="351" t="s">
        <v>883</v>
      </c>
      <c r="D366" s="352">
        <v>2791.0</v>
      </c>
      <c r="E366" s="353" t="s">
        <v>95</v>
      </c>
      <c r="F366" s="354" t="s">
        <v>68</v>
      </c>
      <c r="G366" s="355" t="s">
        <v>501</v>
      </c>
      <c r="H366" s="356" t="s">
        <v>31</v>
      </c>
      <c r="I366" s="394"/>
      <c r="J366" s="357">
        <v>10000.0</v>
      </c>
      <c r="K366" s="358">
        <v>778.0</v>
      </c>
      <c r="L366" s="359">
        <v>46176.0</v>
      </c>
      <c r="M366" s="359">
        <v>46177.0</v>
      </c>
      <c r="N366" s="360"/>
      <c r="O366" s="361" t="s">
        <v>661</v>
      </c>
      <c r="P366" s="362"/>
      <c r="Q366" s="388" t="s">
        <v>35</v>
      </c>
      <c r="R366" s="388" t="s">
        <v>133</v>
      </c>
      <c r="S366" s="381" t="s">
        <v>36</v>
      </c>
      <c r="T366" s="381" t="s">
        <v>36</v>
      </c>
      <c r="U366" s="374" t="s">
        <v>37</v>
      </c>
      <c r="V366" s="375"/>
      <c r="W366" s="395" t="s">
        <v>884</v>
      </c>
      <c r="X366" s="366"/>
      <c r="Y366" s="365" t="s">
        <v>516</v>
      </c>
      <c r="Z366" s="380" t="s">
        <v>516</v>
      </c>
      <c r="AA366" s="367"/>
      <c r="AB366" s="13"/>
      <c r="AC366" s="13"/>
      <c r="AD366" s="13"/>
      <c r="AE366" s="13"/>
      <c r="AF366" s="13"/>
      <c r="AG366" s="13"/>
      <c r="AH366" s="13"/>
      <c r="AI366" s="13"/>
      <c r="AJ366" s="13"/>
      <c r="AK366" s="13"/>
      <c r="AL366" s="13"/>
      <c r="AM366" s="14"/>
      <c r="AN366" s="14"/>
      <c r="AO366" s="14"/>
      <c r="AP366" s="14"/>
      <c r="AQ366" s="14"/>
      <c r="AR366" s="14"/>
      <c r="AS366" s="14"/>
      <c r="AT366" s="14"/>
      <c r="AU366" s="14"/>
      <c r="AV366" s="14"/>
      <c r="AW366" s="14"/>
      <c r="AX366" s="14"/>
      <c r="AY366" s="14"/>
      <c r="AZ366" s="14"/>
      <c r="BA366" s="14"/>
      <c r="BB366" s="14"/>
      <c r="BC366" s="14"/>
      <c r="BD366" s="14"/>
      <c r="BE366" s="14"/>
      <c r="BF366" s="14"/>
      <c r="BG366" s="14"/>
      <c r="BH366" s="14"/>
      <c r="BI366" s="14"/>
      <c r="BJ366" s="14"/>
      <c r="BK366" s="14"/>
      <c r="BL366" s="14"/>
      <c r="BM366" s="14"/>
      <c r="BN366" s="14"/>
    </row>
    <row r="367" ht="22.5" hidden="1" customHeight="1">
      <c r="A367" s="349" t="s">
        <v>486</v>
      </c>
      <c r="B367" s="350"/>
      <c r="C367" s="351" t="s">
        <v>885</v>
      </c>
      <c r="D367" s="352">
        <v>2792.0</v>
      </c>
      <c r="E367" s="353" t="s">
        <v>95</v>
      </c>
      <c r="F367" s="354" t="s">
        <v>68</v>
      </c>
      <c r="G367" s="355" t="s">
        <v>501</v>
      </c>
      <c r="H367" s="356" t="s">
        <v>31</v>
      </c>
      <c r="I367" s="394"/>
      <c r="J367" s="357">
        <v>10000.0</v>
      </c>
      <c r="K367" s="358">
        <v>778.0</v>
      </c>
      <c r="L367" s="359">
        <v>46176.0</v>
      </c>
      <c r="M367" s="359">
        <v>46177.0</v>
      </c>
      <c r="N367" s="360"/>
      <c r="O367" s="361" t="s">
        <v>661</v>
      </c>
      <c r="P367" s="362"/>
      <c r="Q367" s="388" t="s">
        <v>35</v>
      </c>
      <c r="R367" s="388" t="s">
        <v>133</v>
      </c>
      <c r="S367" s="381" t="s">
        <v>36</v>
      </c>
      <c r="T367" s="381" t="s">
        <v>36</v>
      </c>
      <c r="U367" s="374" t="s">
        <v>37</v>
      </c>
      <c r="V367" s="375"/>
      <c r="W367" s="395" t="s">
        <v>884</v>
      </c>
      <c r="X367" s="366"/>
      <c r="Y367" s="365" t="s">
        <v>516</v>
      </c>
      <c r="Z367" s="380" t="s">
        <v>516</v>
      </c>
      <c r="AA367" s="367"/>
      <c r="AB367" s="13"/>
      <c r="AC367" s="13"/>
      <c r="AD367" s="13"/>
      <c r="AE367" s="13"/>
      <c r="AF367" s="13"/>
      <c r="AG367" s="13"/>
      <c r="AH367" s="13"/>
      <c r="AI367" s="13"/>
      <c r="AJ367" s="13"/>
      <c r="AK367" s="13"/>
      <c r="AL367" s="13"/>
      <c r="AM367" s="14"/>
      <c r="AN367" s="14"/>
      <c r="AO367" s="14"/>
      <c r="AP367" s="14"/>
      <c r="AQ367" s="14"/>
      <c r="AR367" s="14"/>
      <c r="AS367" s="14"/>
      <c r="AT367" s="14"/>
      <c r="AU367" s="14"/>
      <c r="AV367" s="14"/>
      <c r="AW367" s="14"/>
      <c r="AX367" s="14"/>
      <c r="AY367" s="14"/>
      <c r="AZ367" s="14"/>
      <c r="BA367" s="14"/>
      <c r="BB367" s="14"/>
      <c r="BC367" s="14"/>
      <c r="BD367" s="14"/>
      <c r="BE367" s="14"/>
      <c r="BF367" s="14"/>
      <c r="BG367" s="14"/>
      <c r="BH367" s="14"/>
      <c r="BI367" s="14"/>
      <c r="BJ367" s="14"/>
      <c r="BK367" s="14"/>
      <c r="BL367" s="14"/>
      <c r="BM367" s="14"/>
      <c r="BN367" s="14"/>
    </row>
    <row r="368" ht="46.5" hidden="1" customHeight="1">
      <c r="A368" s="349" t="s">
        <v>653</v>
      </c>
      <c r="B368" s="350"/>
      <c r="C368" s="351" t="s">
        <v>886</v>
      </c>
      <c r="D368" s="352">
        <v>2798.0</v>
      </c>
      <c r="E368" s="353" t="s">
        <v>95</v>
      </c>
      <c r="F368" s="354" t="s">
        <v>72</v>
      </c>
      <c r="G368" s="355" t="s">
        <v>363</v>
      </c>
      <c r="H368" s="356" t="s">
        <v>31</v>
      </c>
      <c r="I368" s="356" t="s">
        <v>98</v>
      </c>
      <c r="J368" s="357">
        <v>10000.0</v>
      </c>
      <c r="K368" s="358">
        <v>914.0</v>
      </c>
      <c r="L368" s="359">
        <v>46176.0</v>
      </c>
      <c r="M368" s="359">
        <v>46177.0</v>
      </c>
      <c r="N368" s="360"/>
      <c r="O368" s="361" t="s">
        <v>99</v>
      </c>
      <c r="P368" s="362"/>
      <c r="Q368" s="388" t="s">
        <v>35</v>
      </c>
      <c r="R368" s="388" t="s">
        <v>133</v>
      </c>
      <c r="S368" s="381" t="s">
        <v>36</v>
      </c>
      <c r="T368" s="381" t="s">
        <v>36</v>
      </c>
      <c r="U368" s="374" t="s">
        <v>37</v>
      </c>
      <c r="V368" s="375"/>
      <c r="W368" s="395" t="s">
        <v>887</v>
      </c>
      <c r="X368" s="366"/>
      <c r="Y368" s="365" t="s">
        <v>516</v>
      </c>
      <c r="Z368" s="380" t="s">
        <v>516</v>
      </c>
      <c r="AA368" s="367"/>
      <c r="AB368" s="13"/>
      <c r="AC368" s="13"/>
      <c r="AD368" s="13"/>
      <c r="AE368" s="13"/>
      <c r="AF368" s="13"/>
      <c r="AG368" s="13"/>
      <c r="AH368" s="13"/>
      <c r="AI368" s="13"/>
      <c r="AJ368" s="13"/>
      <c r="AK368" s="13"/>
      <c r="AL368" s="13"/>
      <c r="AM368" s="14"/>
      <c r="AN368" s="14"/>
      <c r="AO368" s="14"/>
      <c r="AP368" s="14"/>
      <c r="AQ368" s="14"/>
      <c r="AR368" s="14"/>
      <c r="AS368" s="14"/>
      <c r="AT368" s="14"/>
      <c r="AU368" s="14"/>
      <c r="AV368" s="14"/>
      <c r="AW368" s="14"/>
      <c r="AX368" s="14"/>
      <c r="AY368" s="14"/>
      <c r="AZ368" s="14"/>
      <c r="BA368" s="14"/>
      <c r="BB368" s="14"/>
      <c r="BC368" s="14"/>
      <c r="BD368" s="14"/>
      <c r="BE368" s="14"/>
      <c r="BF368" s="14"/>
      <c r="BG368" s="14"/>
      <c r="BH368" s="14"/>
      <c r="BI368" s="14"/>
      <c r="BJ368" s="14"/>
      <c r="BK368" s="14"/>
      <c r="BL368" s="14"/>
      <c r="BM368" s="14"/>
      <c r="BN368" s="14"/>
    </row>
    <row r="369" ht="46.5" hidden="1" customHeight="1">
      <c r="A369" s="103" t="s">
        <v>888</v>
      </c>
      <c r="B369" s="104"/>
      <c r="C369" s="105" t="s">
        <v>889</v>
      </c>
      <c r="D369" s="106" t="s">
        <v>890</v>
      </c>
      <c r="E369" s="107" t="s">
        <v>164</v>
      </c>
      <c r="F369" s="108" t="s">
        <v>96</v>
      </c>
      <c r="G369" s="109" t="s">
        <v>891</v>
      </c>
      <c r="H369" s="110" t="s">
        <v>31</v>
      </c>
      <c r="I369" s="110" t="s">
        <v>132</v>
      </c>
      <c r="J369" s="111" t="s">
        <v>892</v>
      </c>
      <c r="K369" s="112">
        <v>140.0</v>
      </c>
      <c r="L369" s="113">
        <v>46160.0</v>
      </c>
      <c r="M369" s="113">
        <v>46167.0</v>
      </c>
      <c r="N369" s="114"/>
      <c r="O369" s="115" t="s">
        <v>338</v>
      </c>
      <c r="P369" s="116"/>
      <c r="Q369" s="167" t="s">
        <v>35</v>
      </c>
      <c r="R369" s="167" t="s">
        <v>133</v>
      </c>
      <c r="S369" s="253"/>
      <c r="T369" s="126" t="s">
        <v>36</v>
      </c>
      <c r="U369" s="127" t="s">
        <v>37</v>
      </c>
      <c r="V369" s="128"/>
      <c r="W369" s="129" t="s">
        <v>893</v>
      </c>
      <c r="X369" s="404" t="s">
        <v>894</v>
      </c>
      <c r="Y369" s="405" t="s">
        <v>516</v>
      </c>
      <c r="Z369" s="405" t="s">
        <v>516</v>
      </c>
      <c r="AA369" s="121"/>
      <c r="AB369" s="122"/>
      <c r="AC369" s="122"/>
      <c r="AD369" s="122"/>
      <c r="AE369" s="122"/>
      <c r="AF369" s="122"/>
      <c r="AG369" s="122"/>
      <c r="AH369" s="122"/>
      <c r="AI369" s="122"/>
      <c r="AJ369" s="122"/>
      <c r="AK369" s="122"/>
      <c r="AL369" s="122"/>
    </row>
    <row r="370" ht="46.5" hidden="1" customHeight="1">
      <c r="A370" s="103" t="s">
        <v>888</v>
      </c>
      <c r="B370" s="104"/>
      <c r="C370" s="105" t="s">
        <v>895</v>
      </c>
      <c r="D370" s="106" t="s">
        <v>896</v>
      </c>
      <c r="E370" s="107" t="s">
        <v>164</v>
      </c>
      <c r="F370" s="108" t="s">
        <v>96</v>
      </c>
      <c r="G370" s="109" t="s">
        <v>897</v>
      </c>
      <c r="H370" s="110" t="s">
        <v>31</v>
      </c>
      <c r="I370" s="110" t="s">
        <v>132</v>
      </c>
      <c r="J370" s="111" t="s">
        <v>892</v>
      </c>
      <c r="K370" s="112">
        <v>140.0</v>
      </c>
      <c r="L370" s="113">
        <v>46160.0</v>
      </c>
      <c r="M370" s="113">
        <v>46167.0</v>
      </c>
      <c r="N370" s="114"/>
      <c r="O370" s="115" t="s">
        <v>681</v>
      </c>
      <c r="P370" s="116"/>
      <c r="Q370" s="167" t="s">
        <v>35</v>
      </c>
      <c r="R370" s="167" t="s">
        <v>133</v>
      </c>
      <c r="S370" s="253"/>
      <c r="T370" s="126" t="s">
        <v>36</v>
      </c>
      <c r="U370" s="127" t="s">
        <v>37</v>
      </c>
      <c r="V370" s="128"/>
      <c r="W370" s="129" t="s">
        <v>893</v>
      </c>
      <c r="X370" s="404" t="s">
        <v>894</v>
      </c>
      <c r="Y370" s="405" t="s">
        <v>516</v>
      </c>
      <c r="Z370" s="405" t="s">
        <v>516</v>
      </c>
      <c r="AA370" s="121"/>
      <c r="AB370" s="122"/>
      <c r="AC370" s="122"/>
      <c r="AD370" s="122"/>
      <c r="AE370" s="122"/>
      <c r="AF370" s="122"/>
      <c r="AG370" s="122"/>
      <c r="AH370" s="122"/>
      <c r="AI370" s="122"/>
      <c r="AJ370" s="122"/>
      <c r="AK370" s="122"/>
      <c r="AL370" s="122"/>
    </row>
    <row r="371" ht="22.5" hidden="1" customHeight="1">
      <c r="A371" s="103" t="s">
        <v>888</v>
      </c>
      <c r="B371" s="104"/>
      <c r="C371" s="105" t="s">
        <v>898</v>
      </c>
      <c r="D371" s="106" t="s">
        <v>899</v>
      </c>
      <c r="E371" s="107" t="s">
        <v>164</v>
      </c>
      <c r="F371" s="108" t="s">
        <v>96</v>
      </c>
      <c r="G371" s="109" t="s">
        <v>900</v>
      </c>
      <c r="H371" s="110" t="s">
        <v>31</v>
      </c>
      <c r="I371" s="110" t="s">
        <v>132</v>
      </c>
      <c r="J371" s="111" t="s">
        <v>892</v>
      </c>
      <c r="K371" s="112">
        <v>150.0</v>
      </c>
      <c r="L371" s="113">
        <v>46160.0</v>
      </c>
      <c r="M371" s="113">
        <v>46167.0</v>
      </c>
      <c r="N371" s="114"/>
      <c r="O371" s="115" t="s">
        <v>681</v>
      </c>
      <c r="P371" s="116"/>
      <c r="Q371" s="167" t="s">
        <v>35</v>
      </c>
      <c r="R371" s="167" t="s">
        <v>133</v>
      </c>
      <c r="S371" s="406"/>
      <c r="T371" s="126" t="s">
        <v>36</v>
      </c>
      <c r="U371" s="127" t="s">
        <v>37</v>
      </c>
      <c r="V371" s="128"/>
      <c r="W371" s="129" t="s">
        <v>893</v>
      </c>
      <c r="X371" s="404" t="s">
        <v>894</v>
      </c>
      <c r="Y371" s="405" t="s">
        <v>516</v>
      </c>
      <c r="Z371" s="405" t="s">
        <v>516</v>
      </c>
      <c r="AA371" s="121"/>
      <c r="AB371" s="122"/>
      <c r="AC371" s="122"/>
      <c r="AD371" s="122"/>
      <c r="AE371" s="122"/>
      <c r="AF371" s="122"/>
      <c r="AG371" s="122"/>
      <c r="AH371" s="122"/>
      <c r="AI371" s="122"/>
      <c r="AJ371" s="122"/>
      <c r="AK371" s="122"/>
      <c r="AL371" s="122"/>
    </row>
    <row r="372" ht="22.5" hidden="1" customHeight="1">
      <c r="A372" s="349" t="s">
        <v>653</v>
      </c>
      <c r="B372" s="350"/>
      <c r="C372" s="351" t="s">
        <v>886</v>
      </c>
      <c r="D372" s="352">
        <v>2798.0</v>
      </c>
      <c r="E372" s="353" t="s">
        <v>95</v>
      </c>
      <c r="F372" s="354" t="s">
        <v>353</v>
      </c>
      <c r="G372" s="355" t="s">
        <v>901</v>
      </c>
      <c r="H372" s="356" t="s">
        <v>31</v>
      </c>
      <c r="I372" s="356" t="s">
        <v>98</v>
      </c>
      <c r="J372" s="357" t="s">
        <v>902</v>
      </c>
      <c r="K372" s="407"/>
      <c r="L372" s="359">
        <v>46176.0</v>
      </c>
      <c r="M372" s="359">
        <v>46176.0</v>
      </c>
      <c r="N372" s="360"/>
      <c r="O372" s="361" t="s">
        <v>661</v>
      </c>
      <c r="P372" s="362"/>
      <c r="Q372" s="388" t="s">
        <v>35</v>
      </c>
      <c r="R372" s="388" t="s">
        <v>133</v>
      </c>
      <c r="S372" s="381" t="s">
        <v>36</v>
      </c>
      <c r="T372" s="381" t="s">
        <v>36</v>
      </c>
      <c r="U372" s="374" t="s">
        <v>37</v>
      </c>
      <c r="V372" s="375"/>
      <c r="W372" s="395" t="s">
        <v>903</v>
      </c>
      <c r="X372" s="366"/>
      <c r="Y372" s="366"/>
      <c r="Z372" s="367"/>
      <c r="AA372" s="367"/>
      <c r="AB372" s="13"/>
      <c r="AC372" s="13"/>
      <c r="AD372" s="13"/>
      <c r="AE372" s="13"/>
      <c r="AF372" s="13"/>
      <c r="AG372" s="13"/>
      <c r="AH372" s="13"/>
      <c r="AI372" s="13"/>
      <c r="AJ372" s="13"/>
      <c r="AK372" s="13"/>
      <c r="AL372" s="13"/>
      <c r="AM372" s="14"/>
      <c r="AN372" s="14"/>
      <c r="AO372" s="14"/>
      <c r="AP372" s="14"/>
      <c r="AQ372" s="14"/>
      <c r="AR372" s="14"/>
      <c r="AS372" s="14"/>
      <c r="AT372" s="14"/>
      <c r="AU372" s="14"/>
      <c r="AV372" s="14"/>
      <c r="AW372" s="14"/>
      <c r="AX372" s="14"/>
      <c r="AY372" s="14"/>
      <c r="AZ372" s="14"/>
      <c r="BA372" s="14"/>
      <c r="BB372" s="14"/>
      <c r="BC372" s="14"/>
      <c r="BD372" s="14"/>
      <c r="BE372" s="14"/>
      <c r="BF372" s="14"/>
      <c r="BG372" s="14"/>
      <c r="BH372" s="14"/>
      <c r="BI372" s="14"/>
      <c r="BJ372" s="14"/>
      <c r="BK372" s="14"/>
      <c r="BL372" s="14"/>
      <c r="BM372" s="14"/>
      <c r="BN372" s="14"/>
    </row>
    <row r="373" ht="45.75" hidden="1" customHeight="1">
      <c r="A373" s="349" t="s">
        <v>803</v>
      </c>
      <c r="B373" s="350"/>
      <c r="C373" s="351" t="s">
        <v>904</v>
      </c>
      <c r="D373" s="379">
        <v>2790.0</v>
      </c>
      <c r="E373" s="353" t="s">
        <v>29</v>
      </c>
      <c r="F373" s="354" t="s">
        <v>30</v>
      </c>
      <c r="G373" s="355" t="s">
        <v>234</v>
      </c>
      <c r="H373" s="356" t="s">
        <v>31</v>
      </c>
      <c r="I373" s="356" t="s">
        <v>132</v>
      </c>
      <c r="J373" s="357">
        <v>10000.0</v>
      </c>
      <c r="K373" s="358">
        <v>1156.0</v>
      </c>
      <c r="L373" s="359">
        <v>46168.0</v>
      </c>
      <c r="M373" s="359">
        <v>46174.0</v>
      </c>
      <c r="N373" s="360"/>
      <c r="O373" s="361" t="s">
        <v>34</v>
      </c>
      <c r="P373" s="362"/>
      <c r="Q373" s="353" t="s">
        <v>35</v>
      </c>
      <c r="R373" s="353" t="s">
        <v>133</v>
      </c>
      <c r="S373" s="381" t="s">
        <v>36</v>
      </c>
      <c r="T373" s="381" t="s">
        <v>36</v>
      </c>
      <c r="U373" s="374" t="s">
        <v>37</v>
      </c>
      <c r="V373" s="375"/>
      <c r="W373" s="395"/>
      <c r="X373" s="357">
        <v>10000.0</v>
      </c>
      <c r="Y373" s="365">
        <v>1.0</v>
      </c>
      <c r="Z373" s="380">
        <v>4.0</v>
      </c>
      <c r="AA373" s="380" t="s">
        <v>805</v>
      </c>
      <c r="AB373" s="13"/>
      <c r="AC373" s="13"/>
      <c r="AD373" s="13"/>
      <c r="AE373" s="13"/>
      <c r="AF373" s="13"/>
      <c r="AG373" s="13"/>
      <c r="AH373" s="13"/>
      <c r="AI373" s="13"/>
      <c r="AJ373" s="13"/>
      <c r="AK373" s="13"/>
      <c r="AL373" s="13"/>
      <c r="AM373" s="14"/>
      <c r="AN373" s="14"/>
      <c r="AO373" s="14"/>
      <c r="AP373" s="14"/>
      <c r="AQ373" s="14"/>
      <c r="AR373" s="14"/>
      <c r="AS373" s="14"/>
      <c r="AT373" s="14"/>
      <c r="AU373" s="14"/>
      <c r="AV373" s="14"/>
      <c r="AW373" s="14"/>
      <c r="AX373" s="14"/>
      <c r="AY373" s="14"/>
      <c r="AZ373" s="14"/>
      <c r="BA373" s="14"/>
      <c r="BB373" s="14"/>
      <c r="BC373" s="14"/>
      <c r="BD373" s="14"/>
      <c r="BE373" s="14"/>
      <c r="BF373" s="14"/>
      <c r="BG373" s="14"/>
      <c r="BH373" s="14"/>
      <c r="BI373" s="14"/>
      <c r="BJ373" s="14"/>
      <c r="BK373" s="14"/>
      <c r="BL373" s="14"/>
      <c r="BM373" s="14"/>
      <c r="BN373" s="14"/>
    </row>
    <row r="374" ht="45.0" hidden="1" customHeight="1">
      <c r="A374" s="349" t="s">
        <v>803</v>
      </c>
      <c r="B374" s="350"/>
      <c r="C374" s="351" t="s">
        <v>905</v>
      </c>
      <c r="D374" s="379">
        <v>2803.0</v>
      </c>
      <c r="E374" s="353" t="s">
        <v>29</v>
      </c>
      <c r="F374" s="354" t="s">
        <v>30</v>
      </c>
      <c r="G374" s="355" t="s">
        <v>727</v>
      </c>
      <c r="H374" s="356" t="s">
        <v>31</v>
      </c>
      <c r="I374" s="356" t="s">
        <v>132</v>
      </c>
      <c r="J374" s="357">
        <v>10000.0</v>
      </c>
      <c r="K374" s="358">
        <v>899.0</v>
      </c>
      <c r="L374" s="359">
        <v>46168.0</v>
      </c>
      <c r="M374" s="359">
        <v>46174.0</v>
      </c>
      <c r="N374" s="360"/>
      <c r="O374" s="361" t="s">
        <v>34</v>
      </c>
      <c r="P374" s="362"/>
      <c r="Q374" s="353" t="s">
        <v>35</v>
      </c>
      <c r="R374" s="353" t="s">
        <v>133</v>
      </c>
      <c r="S374" s="381" t="s">
        <v>36</v>
      </c>
      <c r="T374" s="381" t="s">
        <v>36</v>
      </c>
      <c r="U374" s="374" t="s">
        <v>37</v>
      </c>
      <c r="V374" s="375"/>
      <c r="W374" s="395"/>
      <c r="X374" s="357">
        <v>10000.0</v>
      </c>
      <c r="Y374" s="365">
        <v>1.0</v>
      </c>
      <c r="Z374" s="380">
        <v>4.0</v>
      </c>
      <c r="AA374" s="380" t="s">
        <v>805</v>
      </c>
      <c r="AB374" s="13"/>
      <c r="AC374" s="13"/>
      <c r="AD374" s="13"/>
      <c r="AE374" s="13"/>
      <c r="AF374" s="13"/>
      <c r="AG374" s="13"/>
      <c r="AH374" s="13"/>
      <c r="AI374" s="13"/>
      <c r="AJ374" s="13"/>
      <c r="AK374" s="13"/>
      <c r="AL374" s="13"/>
      <c r="AM374" s="14"/>
      <c r="AN374" s="14"/>
      <c r="AO374" s="14"/>
      <c r="AP374" s="14"/>
      <c r="AQ374" s="14"/>
      <c r="AR374" s="14"/>
      <c r="AS374" s="14"/>
      <c r="AT374" s="14"/>
      <c r="AU374" s="14"/>
      <c r="AV374" s="14"/>
      <c r="AW374" s="14"/>
      <c r="AX374" s="14"/>
      <c r="AY374" s="14"/>
      <c r="AZ374" s="14"/>
      <c r="BA374" s="14"/>
      <c r="BB374" s="14"/>
      <c r="BC374" s="14"/>
      <c r="BD374" s="14"/>
      <c r="BE374" s="14"/>
      <c r="BF374" s="14"/>
      <c r="BG374" s="14"/>
      <c r="BH374" s="14"/>
      <c r="BI374" s="14"/>
      <c r="BJ374" s="14"/>
      <c r="BK374" s="14"/>
      <c r="BL374" s="14"/>
      <c r="BM374" s="14"/>
      <c r="BN374" s="14"/>
    </row>
    <row r="375" ht="22.5" hidden="1" customHeight="1">
      <c r="A375" s="103" t="s">
        <v>906</v>
      </c>
      <c r="B375" s="104"/>
      <c r="C375" s="105" t="s">
        <v>907</v>
      </c>
      <c r="D375" s="190"/>
      <c r="E375" s="107" t="s">
        <v>157</v>
      </c>
      <c r="F375" s="108" t="s">
        <v>30</v>
      </c>
      <c r="G375" s="109" t="s">
        <v>908</v>
      </c>
      <c r="H375" s="110" t="s">
        <v>52</v>
      </c>
      <c r="I375" s="110" t="s">
        <v>274</v>
      </c>
      <c r="J375" s="111">
        <v>1000.0</v>
      </c>
      <c r="K375" s="135"/>
      <c r="L375" s="113">
        <v>46171.0</v>
      </c>
      <c r="M375" s="113">
        <v>46174.0</v>
      </c>
      <c r="N375" s="114"/>
      <c r="O375" s="115" t="s">
        <v>338</v>
      </c>
      <c r="P375" s="116"/>
      <c r="Q375" s="107" t="s">
        <v>35</v>
      </c>
      <c r="R375" s="107" t="s">
        <v>133</v>
      </c>
      <c r="S375" s="115" t="s">
        <v>55</v>
      </c>
      <c r="T375" s="115" t="s">
        <v>36</v>
      </c>
      <c r="U375" s="118" t="s">
        <v>37</v>
      </c>
      <c r="V375" s="119"/>
      <c r="W375" s="136"/>
      <c r="X375" s="164" t="s">
        <v>771</v>
      </c>
      <c r="Y375" s="120"/>
      <c r="Z375" s="121"/>
      <c r="AA375" s="121"/>
      <c r="AB375" s="122"/>
      <c r="AC375" s="122"/>
      <c r="AD375" s="122"/>
      <c r="AE375" s="122"/>
      <c r="AF375" s="122"/>
      <c r="AG375" s="122"/>
      <c r="AH375" s="122"/>
      <c r="AI375" s="122"/>
      <c r="AJ375" s="122"/>
      <c r="AK375" s="122"/>
      <c r="AL375" s="122"/>
    </row>
    <row r="376" ht="22.5" hidden="1" customHeight="1">
      <c r="A376" s="349" t="s">
        <v>803</v>
      </c>
      <c r="B376" s="350"/>
      <c r="C376" s="351" t="s">
        <v>909</v>
      </c>
      <c r="D376" s="379">
        <v>2804.0</v>
      </c>
      <c r="E376" s="353" t="s">
        <v>29</v>
      </c>
      <c r="F376" s="354" t="s">
        <v>30</v>
      </c>
      <c r="G376" s="355" t="s">
        <v>332</v>
      </c>
      <c r="H376" s="356" t="s">
        <v>31</v>
      </c>
      <c r="I376" s="356" t="s">
        <v>98</v>
      </c>
      <c r="J376" s="357">
        <v>20000.0</v>
      </c>
      <c r="K376" s="358">
        <v>1526.0</v>
      </c>
      <c r="L376" s="359">
        <v>46169.0</v>
      </c>
      <c r="M376" s="359">
        <v>46175.0</v>
      </c>
      <c r="N376" s="360"/>
      <c r="O376" s="361" t="s">
        <v>34</v>
      </c>
      <c r="P376" s="362"/>
      <c r="Q376" s="387"/>
      <c r="R376" s="388" t="s">
        <v>133</v>
      </c>
      <c r="S376" s="381" t="s">
        <v>36</v>
      </c>
      <c r="T376" s="381" t="s">
        <v>36</v>
      </c>
      <c r="U376" s="374" t="s">
        <v>37</v>
      </c>
      <c r="V376" s="375"/>
      <c r="W376" s="395"/>
      <c r="X376" s="357">
        <v>20000.0</v>
      </c>
      <c r="Y376" s="365">
        <v>2.0</v>
      </c>
      <c r="Z376" s="380">
        <v>8.0</v>
      </c>
      <c r="AA376" s="380" t="s">
        <v>910</v>
      </c>
      <c r="AB376" s="13"/>
      <c r="AC376" s="13"/>
      <c r="AD376" s="13"/>
      <c r="AE376" s="13"/>
      <c r="AF376" s="13"/>
      <c r="AG376" s="13"/>
      <c r="AH376" s="13"/>
      <c r="AI376" s="13"/>
      <c r="AJ376" s="13"/>
      <c r="AK376" s="13"/>
      <c r="AL376" s="13"/>
      <c r="AM376" s="14"/>
      <c r="AN376" s="14"/>
      <c r="AO376" s="14"/>
      <c r="AP376" s="14"/>
      <c r="AQ376" s="14"/>
      <c r="AR376" s="14"/>
      <c r="AS376" s="14"/>
      <c r="AT376" s="14"/>
      <c r="AU376" s="14"/>
      <c r="AV376" s="14"/>
      <c r="AW376" s="14"/>
      <c r="AX376" s="14"/>
      <c r="AY376" s="14"/>
      <c r="AZ376" s="14"/>
      <c r="BA376" s="14"/>
      <c r="BB376" s="14"/>
      <c r="BC376" s="14"/>
      <c r="BD376" s="14"/>
      <c r="BE376" s="14"/>
      <c r="BF376" s="14"/>
      <c r="BG376" s="14"/>
      <c r="BH376" s="14"/>
      <c r="BI376" s="14"/>
      <c r="BJ376" s="14"/>
      <c r="BK376" s="14"/>
      <c r="BL376" s="14"/>
      <c r="BM376" s="14"/>
      <c r="BN376" s="14"/>
    </row>
    <row r="377" ht="22.5" hidden="1" customHeight="1">
      <c r="A377" s="349" t="s">
        <v>594</v>
      </c>
      <c r="B377" s="350"/>
      <c r="C377" s="408" t="s">
        <v>911</v>
      </c>
      <c r="D377" s="379">
        <v>2815.0</v>
      </c>
      <c r="E377" s="369" t="s">
        <v>29</v>
      </c>
      <c r="F377" s="354" t="s">
        <v>72</v>
      </c>
      <c r="G377" s="355" t="s">
        <v>596</v>
      </c>
      <c r="H377" s="370" t="s">
        <v>31</v>
      </c>
      <c r="I377" s="370" t="s">
        <v>98</v>
      </c>
      <c r="J377" s="357">
        <v>40000.0</v>
      </c>
      <c r="K377" s="358">
        <v>2478.0</v>
      </c>
      <c r="L377" s="359">
        <v>46177.0</v>
      </c>
      <c r="M377" s="359">
        <v>46181.0</v>
      </c>
      <c r="N377" s="360" t="s">
        <v>37</v>
      </c>
      <c r="O377" s="371" t="s">
        <v>54</v>
      </c>
      <c r="P377" s="362"/>
      <c r="Q377" s="388" t="s">
        <v>35</v>
      </c>
      <c r="R377" s="388" t="s">
        <v>215</v>
      </c>
      <c r="S377" s="373" t="s">
        <v>36</v>
      </c>
      <c r="T377" s="373" t="s">
        <v>36</v>
      </c>
      <c r="U377" s="374" t="s">
        <v>37</v>
      </c>
      <c r="V377" s="375"/>
      <c r="W377" s="376"/>
      <c r="X377" s="376"/>
      <c r="Y377" s="377" t="s">
        <v>516</v>
      </c>
      <c r="Z377" s="376"/>
      <c r="AA377" s="339" t="s">
        <v>912</v>
      </c>
      <c r="AB377" s="13"/>
      <c r="AC377" s="13"/>
      <c r="AD377" s="13"/>
      <c r="AE377" s="13"/>
      <c r="AF377" s="13"/>
      <c r="AG377" s="13"/>
      <c r="AH377" s="13"/>
      <c r="AI377" s="13"/>
      <c r="AJ377" s="13"/>
      <c r="AK377" s="13"/>
      <c r="AL377" s="13"/>
      <c r="AM377" s="14"/>
      <c r="AN377" s="14"/>
      <c r="AO377" s="14"/>
      <c r="AP377" s="14"/>
      <c r="AQ377" s="14"/>
      <c r="AR377" s="14"/>
      <c r="AS377" s="14"/>
      <c r="AT377" s="14"/>
      <c r="AU377" s="14"/>
      <c r="AV377" s="14"/>
      <c r="AW377" s="14"/>
      <c r="AX377" s="14"/>
      <c r="AY377" s="14"/>
      <c r="AZ377" s="14"/>
      <c r="BA377" s="14"/>
      <c r="BB377" s="14"/>
      <c r="BC377" s="14"/>
      <c r="BD377" s="14"/>
      <c r="BE377" s="14"/>
      <c r="BF377" s="14"/>
      <c r="BG377" s="14"/>
      <c r="BH377" s="14"/>
      <c r="BI377" s="14"/>
      <c r="BJ377" s="14"/>
      <c r="BK377" s="14"/>
      <c r="BL377" s="14"/>
      <c r="BM377" s="14"/>
      <c r="BN377" s="14"/>
    </row>
    <row r="378" ht="22.5" hidden="1" customHeight="1">
      <c r="A378" s="349" t="s">
        <v>486</v>
      </c>
      <c r="B378" s="350"/>
      <c r="C378" s="409" t="s">
        <v>913</v>
      </c>
      <c r="D378" s="352">
        <v>2823.0</v>
      </c>
      <c r="E378" s="353" t="s">
        <v>95</v>
      </c>
      <c r="F378" s="354" t="s">
        <v>68</v>
      </c>
      <c r="G378" s="355" t="s">
        <v>128</v>
      </c>
      <c r="H378" s="356" t="s">
        <v>31</v>
      </c>
      <c r="I378" s="356" t="s">
        <v>98</v>
      </c>
      <c r="J378" s="357">
        <v>10000.0</v>
      </c>
      <c r="K378" s="410">
        <v>678.0</v>
      </c>
      <c r="L378" s="411">
        <v>46177.0</v>
      </c>
      <c r="M378" s="411">
        <v>46181.0</v>
      </c>
      <c r="N378" s="411"/>
      <c r="O378" s="412" t="s">
        <v>661</v>
      </c>
      <c r="P378" s="411"/>
      <c r="Q378" s="412" t="s">
        <v>35</v>
      </c>
      <c r="R378" s="412" t="s">
        <v>133</v>
      </c>
      <c r="S378" s="413" t="s">
        <v>36</v>
      </c>
      <c r="T378" s="381" t="s">
        <v>36</v>
      </c>
      <c r="U378" s="374" t="s">
        <v>37</v>
      </c>
      <c r="V378" s="375"/>
      <c r="W378" s="395" t="s">
        <v>884</v>
      </c>
      <c r="X378" s="366"/>
      <c r="Y378" s="365" t="s">
        <v>516</v>
      </c>
      <c r="Z378" s="380" t="s">
        <v>516</v>
      </c>
      <c r="AA378" s="367"/>
      <c r="AB378" s="13"/>
      <c r="AC378" s="13"/>
      <c r="AD378" s="13"/>
      <c r="AE378" s="13"/>
      <c r="AF378" s="13"/>
      <c r="AG378" s="13"/>
      <c r="AH378" s="13"/>
      <c r="AI378" s="13"/>
      <c r="AJ378" s="13"/>
      <c r="AK378" s="13"/>
      <c r="AL378" s="13"/>
      <c r="AM378" s="14"/>
      <c r="AN378" s="14"/>
      <c r="AO378" s="14"/>
      <c r="AP378" s="14"/>
      <c r="AQ378" s="14"/>
      <c r="AR378" s="14"/>
      <c r="AS378" s="14"/>
      <c r="AT378" s="14"/>
      <c r="AU378" s="14"/>
      <c r="AV378" s="14"/>
      <c r="AW378" s="14"/>
      <c r="AX378" s="14"/>
      <c r="AY378" s="14"/>
      <c r="AZ378" s="14"/>
      <c r="BA378" s="14"/>
      <c r="BB378" s="14"/>
      <c r="BC378" s="14"/>
      <c r="BD378" s="14"/>
      <c r="BE378" s="14"/>
      <c r="BF378" s="14"/>
      <c r="BG378" s="14"/>
      <c r="BH378" s="14"/>
      <c r="BI378" s="14"/>
      <c r="BJ378" s="14"/>
      <c r="BK378" s="14"/>
      <c r="BL378" s="14"/>
      <c r="BM378" s="14"/>
      <c r="BN378" s="14"/>
    </row>
    <row r="379" ht="51.75" hidden="1" customHeight="1">
      <c r="A379" s="357" t="s">
        <v>155</v>
      </c>
      <c r="B379" s="350"/>
      <c r="C379" s="351" t="s">
        <v>914</v>
      </c>
      <c r="D379" s="352" t="s">
        <v>915</v>
      </c>
      <c r="E379" s="353" t="s">
        <v>157</v>
      </c>
      <c r="F379" s="354" t="s">
        <v>30</v>
      </c>
      <c r="G379" s="355" t="s">
        <v>916</v>
      </c>
      <c r="H379" s="356" t="s">
        <v>31</v>
      </c>
      <c r="I379" s="356" t="s">
        <v>98</v>
      </c>
      <c r="J379" s="357" t="s">
        <v>917</v>
      </c>
      <c r="K379" s="358">
        <v>2050.0</v>
      </c>
      <c r="L379" s="359">
        <v>46167.0</v>
      </c>
      <c r="M379" s="359">
        <v>46171.0</v>
      </c>
      <c r="N379" s="360"/>
      <c r="O379" s="361" t="s">
        <v>70</v>
      </c>
      <c r="P379" s="362"/>
      <c r="Q379" s="353" t="s">
        <v>35</v>
      </c>
      <c r="R379" s="353" t="s">
        <v>133</v>
      </c>
      <c r="S379" s="361" t="s">
        <v>35</v>
      </c>
      <c r="T379" s="361" t="s">
        <v>36</v>
      </c>
      <c r="U379" s="363" t="s">
        <v>37</v>
      </c>
      <c r="V379" s="364"/>
      <c r="W379" s="357" t="s">
        <v>918</v>
      </c>
      <c r="X379" s="365" t="s">
        <v>160</v>
      </c>
      <c r="Y379" s="366"/>
      <c r="Z379" s="367"/>
      <c r="AA379" s="367"/>
      <c r="AB379" s="13"/>
      <c r="AC379" s="13"/>
      <c r="AD379" s="13"/>
      <c r="AE379" s="13"/>
      <c r="AF379" s="13"/>
      <c r="AG379" s="13"/>
      <c r="AH379" s="13"/>
      <c r="AI379" s="13"/>
      <c r="AJ379" s="13"/>
      <c r="AK379" s="13"/>
      <c r="AL379" s="13"/>
      <c r="AM379" s="14"/>
      <c r="AN379" s="14"/>
      <c r="AO379" s="14"/>
      <c r="AP379" s="14"/>
      <c r="AQ379" s="14"/>
      <c r="AR379" s="14"/>
      <c r="AS379" s="14"/>
      <c r="AT379" s="14"/>
      <c r="AU379" s="14"/>
      <c r="AV379" s="14"/>
      <c r="AW379" s="14"/>
      <c r="AX379" s="14"/>
      <c r="AY379" s="14"/>
      <c r="AZ379" s="14"/>
      <c r="BA379" s="14"/>
      <c r="BB379" s="14"/>
      <c r="BC379" s="14"/>
      <c r="BD379" s="14"/>
      <c r="BE379" s="14"/>
      <c r="BF379" s="14"/>
      <c r="BG379" s="14"/>
      <c r="BH379" s="14"/>
      <c r="BI379" s="14"/>
      <c r="BJ379" s="14"/>
      <c r="BK379" s="14"/>
      <c r="BL379" s="14"/>
      <c r="BM379" s="14"/>
      <c r="BN379" s="14"/>
    </row>
    <row r="380" ht="27.0" hidden="1" customHeight="1">
      <c r="A380" s="349" t="s">
        <v>486</v>
      </c>
      <c r="B380" s="350"/>
      <c r="C380" s="409" t="s">
        <v>499</v>
      </c>
      <c r="D380" s="352">
        <v>2824.0</v>
      </c>
      <c r="E380" s="353" t="s">
        <v>95</v>
      </c>
      <c r="F380" s="354" t="s">
        <v>68</v>
      </c>
      <c r="G380" s="355" t="s">
        <v>128</v>
      </c>
      <c r="H380" s="356" t="s">
        <v>31</v>
      </c>
      <c r="I380" s="356" t="s">
        <v>98</v>
      </c>
      <c r="J380" s="357">
        <v>10000.0</v>
      </c>
      <c r="K380" s="358">
        <v>678.0</v>
      </c>
      <c r="L380" s="359">
        <v>46177.0</v>
      </c>
      <c r="M380" s="359">
        <v>46181.0</v>
      </c>
      <c r="N380" s="360"/>
      <c r="O380" s="361" t="s">
        <v>661</v>
      </c>
      <c r="P380" s="362"/>
      <c r="Q380" s="388" t="s">
        <v>35</v>
      </c>
      <c r="R380" s="388" t="s">
        <v>133</v>
      </c>
      <c r="S380" s="381" t="s">
        <v>36</v>
      </c>
      <c r="T380" s="381" t="s">
        <v>36</v>
      </c>
      <c r="U380" s="374" t="s">
        <v>37</v>
      </c>
      <c r="V380" s="414"/>
      <c r="W380" s="415" t="s">
        <v>884</v>
      </c>
      <c r="X380" s="416"/>
      <c r="Y380" s="365" t="s">
        <v>516</v>
      </c>
      <c r="Z380" s="417" t="s">
        <v>516</v>
      </c>
      <c r="AA380" s="418"/>
      <c r="AB380" s="419"/>
      <c r="AC380" s="419"/>
      <c r="AD380" s="419"/>
      <c r="AE380" s="419"/>
      <c r="AF380" s="419"/>
      <c r="AG380" s="420"/>
      <c r="AH380" s="421"/>
      <c r="AI380" s="422"/>
      <c r="AJ380" s="422"/>
      <c r="AK380" s="421"/>
      <c r="AL380" s="423"/>
      <c r="AM380" s="423"/>
      <c r="AN380" s="422" t="s">
        <v>54</v>
      </c>
      <c r="AO380" s="422" t="s">
        <v>37</v>
      </c>
      <c r="AP380" s="422"/>
      <c r="AQ380" s="422"/>
      <c r="AR380" s="422"/>
      <c r="AS380" s="422"/>
      <c r="AT380" s="422"/>
      <c r="AU380" s="422"/>
      <c r="AV380" s="422"/>
      <c r="AW380" s="422"/>
      <c r="AX380" s="422"/>
      <c r="AY380" s="422"/>
      <c r="AZ380" s="422"/>
      <c r="BA380" s="422"/>
      <c r="BB380" s="424"/>
      <c r="BC380" s="424"/>
      <c r="BD380" s="424"/>
      <c r="BE380" s="424"/>
      <c r="BF380" s="424"/>
      <c r="BG380" s="424"/>
      <c r="BH380" s="424"/>
      <c r="BI380" s="424"/>
      <c r="BJ380" s="424"/>
      <c r="BK380" s="424"/>
      <c r="BL380" s="424"/>
      <c r="BM380" s="424"/>
      <c r="BN380" s="424"/>
    </row>
    <row r="381" ht="33.0" hidden="1" customHeight="1">
      <c r="A381" s="425" t="s">
        <v>486</v>
      </c>
      <c r="B381" s="357"/>
      <c r="C381" s="357" t="s">
        <v>662</v>
      </c>
      <c r="D381" s="426">
        <v>2875.0</v>
      </c>
      <c r="E381" s="369" t="s">
        <v>95</v>
      </c>
      <c r="F381" s="354" t="s">
        <v>72</v>
      </c>
      <c r="G381" s="357" t="s">
        <v>97</v>
      </c>
      <c r="H381" s="427" t="s">
        <v>31</v>
      </c>
      <c r="I381" s="428" t="s">
        <v>98</v>
      </c>
      <c r="J381" s="357">
        <v>100000.0</v>
      </c>
      <c r="K381" s="358">
        <v>3996.0</v>
      </c>
      <c r="L381" s="359">
        <v>46176.0</v>
      </c>
      <c r="M381" s="359">
        <v>46181.0</v>
      </c>
      <c r="N381" s="360"/>
      <c r="O381" s="361" t="s">
        <v>99</v>
      </c>
      <c r="P381" s="362"/>
      <c r="Q381" s="388" t="s">
        <v>35</v>
      </c>
      <c r="R381" s="388" t="s">
        <v>133</v>
      </c>
      <c r="S381" s="381" t="s">
        <v>36</v>
      </c>
      <c r="T381" s="381" t="s">
        <v>36</v>
      </c>
      <c r="U381" s="374" t="s">
        <v>37</v>
      </c>
      <c r="V381" s="375"/>
      <c r="W381" s="395" t="s">
        <v>919</v>
      </c>
      <c r="X381" s="366"/>
      <c r="Y381" s="365" t="s">
        <v>516</v>
      </c>
      <c r="Z381" s="380" t="s">
        <v>516</v>
      </c>
      <c r="AA381" s="367"/>
      <c r="AB381" s="13"/>
      <c r="AC381" s="13"/>
      <c r="AD381" s="13"/>
      <c r="AE381" s="13"/>
      <c r="AF381" s="13"/>
      <c r="AG381" s="13"/>
      <c r="AH381" s="13"/>
      <c r="AI381" s="13"/>
      <c r="AJ381" s="13"/>
      <c r="AK381" s="13"/>
      <c r="AL381" s="13"/>
      <c r="AM381" s="14"/>
      <c r="AN381" s="14"/>
      <c r="AO381" s="14"/>
      <c r="AP381" s="14"/>
      <c r="AQ381" s="14"/>
      <c r="AR381" s="14"/>
      <c r="AS381" s="14"/>
      <c r="AT381" s="14"/>
      <c r="AU381" s="14"/>
      <c r="AV381" s="14"/>
      <c r="AW381" s="14"/>
      <c r="AX381" s="14"/>
      <c r="AY381" s="14"/>
      <c r="AZ381" s="14"/>
      <c r="BA381" s="14"/>
      <c r="BB381" s="14"/>
      <c r="BC381" s="14"/>
      <c r="BD381" s="14"/>
      <c r="BE381" s="14"/>
      <c r="BF381" s="14"/>
      <c r="BG381" s="14"/>
      <c r="BH381" s="14"/>
      <c r="BI381" s="14"/>
      <c r="BJ381" s="14"/>
      <c r="BK381" s="14"/>
      <c r="BL381" s="14"/>
      <c r="BM381" s="14"/>
      <c r="BN381" s="14"/>
    </row>
    <row r="382" ht="45.75" hidden="1" customHeight="1">
      <c r="A382" s="349" t="s">
        <v>798</v>
      </c>
      <c r="B382" s="350"/>
      <c r="C382" s="351" t="s">
        <v>641</v>
      </c>
      <c r="D382" s="379">
        <v>2876.0</v>
      </c>
      <c r="E382" s="353" t="s">
        <v>164</v>
      </c>
      <c r="F382" s="354" t="s">
        <v>72</v>
      </c>
      <c r="G382" s="355" t="s">
        <v>642</v>
      </c>
      <c r="H382" s="356" t="s">
        <v>31</v>
      </c>
      <c r="I382" s="356" t="s">
        <v>98</v>
      </c>
      <c r="J382" s="357">
        <v>150000.0</v>
      </c>
      <c r="K382" s="358">
        <v>3015.0</v>
      </c>
      <c r="L382" s="359">
        <v>46181.0</v>
      </c>
      <c r="M382" s="359">
        <v>46197.0</v>
      </c>
      <c r="N382" s="360"/>
      <c r="O382" s="361" t="s">
        <v>99</v>
      </c>
      <c r="P382" s="362"/>
      <c r="Q382" s="388" t="s">
        <v>35</v>
      </c>
      <c r="R382" s="388" t="s">
        <v>133</v>
      </c>
      <c r="S382" s="381" t="s">
        <v>36</v>
      </c>
      <c r="T382" s="381" t="s">
        <v>36</v>
      </c>
      <c r="U382" s="374" t="s">
        <v>37</v>
      </c>
      <c r="V382" s="375"/>
      <c r="W382" s="395" t="s">
        <v>920</v>
      </c>
      <c r="X382" s="366"/>
      <c r="Y382" s="365" t="s">
        <v>516</v>
      </c>
      <c r="Z382" s="380" t="s">
        <v>516</v>
      </c>
      <c r="AA382" s="367"/>
      <c r="AB382" s="13"/>
      <c r="AC382" s="13"/>
      <c r="AD382" s="13"/>
      <c r="AE382" s="13"/>
      <c r="AF382" s="13"/>
      <c r="AG382" s="13"/>
      <c r="AH382" s="13"/>
      <c r="AI382" s="13"/>
      <c r="AJ382" s="13"/>
      <c r="AK382" s="13"/>
      <c r="AL382" s="13"/>
      <c r="AM382" s="14"/>
      <c r="AN382" s="14"/>
      <c r="AO382" s="14"/>
      <c r="AP382" s="14"/>
      <c r="AQ382" s="14"/>
      <c r="AR382" s="14"/>
      <c r="AS382" s="14"/>
      <c r="AT382" s="14"/>
      <c r="AU382" s="14"/>
      <c r="AV382" s="14"/>
      <c r="AW382" s="14"/>
      <c r="AX382" s="14"/>
      <c r="AY382" s="14"/>
      <c r="AZ382" s="14"/>
      <c r="BA382" s="14"/>
      <c r="BB382" s="14"/>
      <c r="BC382" s="14"/>
      <c r="BD382" s="14"/>
      <c r="BE382" s="14"/>
      <c r="BF382" s="14"/>
      <c r="BG382" s="14"/>
      <c r="BH382" s="14"/>
      <c r="BI382" s="14"/>
      <c r="BJ382" s="14"/>
      <c r="BK382" s="14"/>
      <c r="BL382" s="14"/>
      <c r="BM382" s="14"/>
      <c r="BN382" s="14"/>
    </row>
    <row r="383" ht="22.5" hidden="1" customHeight="1">
      <c r="A383" s="349" t="s">
        <v>798</v>
      </c>
      <c r="B383" s="350"/>
      <c r="C383" s="429" t="s">
        <v>645</v>
      </c>
      <c r="D383" s="379">
        <v>2877.0</v>
      </c>
      <c r="E383" s="353" t="s">
        <v>164</v>
      </c>
      <c r="F383" s="354" t="s">
        <v>72</v>
      </c>
      <c r="G383" s="355" t="s">
        <v>642</v>
      </c>
      <c r="H383" s="356" t="s">
        <v>31</v>
      </c>
      <c r="I383" s="356" t="s">
        <v>98</v>
      </c>
      <c r="J383" s="357">
        <v>150000.0</v>
      </c>
      <c r="K383" s="358">
        <v>2915.0</v>
      </c>
      <c r="L383" s="359">
        <v>46181.0</v>
      </c>
      <c r="M383" s="359">
        <v>46197.0</v>
      </c>
      <c r="N383" s="360"/>
      <c r="O383" s="361" t="s">
        <v>99</v>
      </c>
      <c r="P383" s="362"/>
      <c r="Q383" s="388" t="s">
        <v>35</v>
      </c>
      <c r="R383" s="388" t="s">
        <v>133</v>
      </c>
      <c r="S383" s="381" t="s">
        <v>36</v>
      </c>
      <c r="T383" s="381" t="s">
        <v>36</v>
      </c>
      <c r="U383" s="374" t="s">
        <v>37</v>
      </c>
      <c r="V383" s="375"/>
      <c r="W383" s="395" t="s">
        <v>920</v>
      </c>
      <c r="X383" s="366"/>
      <c r="Y383" s="365" t="s">
        <v>516</v>
      </c>
      <c r="Z383" s="380" t="s">
        <v>516</v>
      </c>
      <c r="AA383" s="367"/>
      <c r="AB383" s="13" t="s">
        <v>626</v>
      </c>
      <c r="AC383" s="13"/>
      <c r="AD383" s="13" t="s">
        <v>628</v>
      </c>
      <c r="AE383" s="13">
        <v>2253.0</v>
      </c>
      <c r="AF383" s="13" t="s">
        <v>29</v>
      </c>
      <c r="AG383" s="13" t="s">
        <v>96</v>
      </c>
      <c r="AH383" s="13" t="s">
        <v>629</v>
      </c>
      <c r="AI383" s="13" t="s">
        <v>31</v>
      </c>
      <c r="AJ383" s="13" t="s">
        <v>132</v>
      </c>
      <c r="AK383" s="13">
        <v>2500.0</v>
      </c>
      <c r="AL383" s="13">
        <v>46155.0</v>
      </c>
      <c r="AM383" s="14"/>
      <c r="AN383" s="14" t="s">
        <v>34</v>
      </c>
      <c r="AO383" s="14" t="s">
        <v>37</v>
      </c>
      <c r="AP383" s="14"/>
      <c r="AQ383" s="14"/>
      <c r="AR383" s="14"/>
      <c r="AS383" s="14"/>
      <c r="AT383" s="14"/>
      <c r="AU383" s="14"/>
      <c r="AV383" s="14"/>
      <c r="AW383" s="14"/>
      <c r="AX383" s="14"/>
      <c r="AY383" s="14"/>
      <c r="AZ383" s="14"/>
      <c r="BA383" s="14"/>
      <c r="BB383" s="14"/>
      <c r="BC383" s="14"/>
      <c r="BD383" s="14"/>
      <c r="BE383" s="14"/>
      <c r="BF383" s="14"/>
      <c r="BG383" s="14"/>
      <c r="BH383" s="14"/>
      <c r="BI383" s="14"/>
      <c r="BJ383" s="14"/>
      <c r="BK383" s="14"/>
      <c r="BL383" s="14"/>
      <c r="BM383" s="14"/>
      <c r="BN383" s="14"/>
    </row>
    <row r="384" ht="22.5" hidden="1" customHeight="1">
      <c r="A384" s="349" t="s">
        <v>921</v>
      </c>
      <c r="B384" s="350"/>
      <c r="C384" s="351" t="s">
        <v>922</v>
      </c>
      <c r="D384" s="379">
        <v>2917.0</v>
      </c>
      <c r="E384" s="353" t="s">
        <v>95</v>
      </c>
      <c r="F384" s="354" t="s">
        <v>72</v>
      </c>
      <c r="G384" s="355" t="s">
        <v>128</v>
      </c>
      <c r="H384" s="356" t="s">
        <v>31</v>
      </c>
      <c r="I384" s="356" t="s">
        <v>98</v>
      </c>
      <c r="J384" s="357">
        <v>20000.0</v>
      </c>
      <c r="K384" s="358">
        <v>1091.0</v>
      </c>
      <c r="L384" s="359">
        <v>46182.0</v>
      </c>
      <c r="M384" s="359">
        <v>46184.0</v>
      </c>
      <c r="N384" s="360"/>
      <c r="O384" s="361" t="s">
        <v>661</v>
      </c>
      <c r="P384" s="362"/>
      <c r="Q384" s="353" t="s">
        <v>35</v>
      </c>
      <c r="R384" s="353" t="s">
        <v>133</v>
      </c>
      <c r="S384" s="361" t="s">
        <v>36</v>
      </c>
      <c r="T384" s="361" t="s">
        <v>36</v>
      </c>
      <c r="U384" s="374" t="s">
        <v>37</v>
      </c>
      <c r="V384" s="375"/>
      <c r="W384" s="357" t="s">
        <v>923</v>
      </c>
      <c r="X384" s="366"/>
      <c r="Y384" s="366"/>
      <c r="Z384" s="367"/>
      <c r="AA384" s="367"/>
      <c r="AB384" s="13"/>
      <c r="AC384" s="13"/>
      <c r="AD384" s="13"/>
      <c r="AE384" s="13"/>
      <c r="AF384" s="13"/>
      <c r="AG384" s="13"/>
      <c r="AH384" s="13"/>
      <c r="AI384" s="13"/>
      <c r="AJ384" s="13"/>
      <c r="AK384" s="13"/>
      <c r="AL384" s="13"/>
      <c r="AM384" s="14"/>
      <c r="AN384" s="14"/>
      <c r="AO384" s="14"/>
      <c r="AP384" s="14"/>
      <c r="AQ384" s="14"/>
      <c r="AR384" s="14"/>
      <c r="AS384" s="14"/>
      <c r="AT384" s="14"/>
      <c r="AU384" s="14"/>
      <c r="AV384" s="14"/>
      <c r="AW384" s="14"/>
      <c r="AX384" s="14"/>
      <c r="AY384" s="14"/>
      <c r="AZ384" s="14"/>
      <c r="BA384" s="14"/>
      <c r="BB384" s="14"/>
      <c r="BC384" s="14"/>
      <c r="BD384" s="14"/>
      <c r="BE384" s="14"/>
      <c r="BF384" s="14"/>
      <c r="BG384" s="14"/>
      <c r="BH384" s="14"/>
      <c r="BI384" s="14"/>
      <c r="BJ384" s="14"/>
      <c r="BK384" s="14"/>
      <c r="BL384" s="14"/>
      <c r="BM384" s="14"/>
      <c r="BN384" s="14"/>
    </row>
    <row r="385" ht="22.5" hidden="1" customHeight="1">
      <c r="A385" s="349" t="s">
        <v>921</v>
      </c>
      <c r="B385" s="350"/>
      <c r="C385" s="393" t="s">
        <v>745</v>
      </c>
      <c r="D385" s="379">
        <v>2918.0</v>
      </c>
      <c r="E385" s="353" t="s">
        <v>95</v>
      </c>
      <c r="F385" s="354" t="s">
        <v>72</v>
      </c>
      <c r="G385" s="355" t="s">
        <v>501</v>
      </c>
      <c r="H385" s="356" t="s">
        <v>31</v>
      </c>
      <c r="I385" s="356" t="s">
        <v>98</v>
      </c>
      <c r="J385" s="357">
        <v>10000.0</v>
      </c>
      <c r="K385" s="358">
        <v>778.0</v>
      </c>
      <c r="L385" s="359">
        <v>46182.0</v>
      </c>
      <c r="M385" s="359">
        <v>46184.0</v>
      </c>
      <c r="N385" s="360"/>
      <c r="O385" s="361" t="s">
        <v>661</v>
      </c>
      <c r="P385" s="362"/>
      <c r="Q385" s="353" t="s">
        <v>35</v>
      </c>
      <c r="R385" s="353" t="s">
        <v>133</v>
      </c>
      <c r="S385" s="361" t="s">
        <v>36</v>
      </c>
      <c r="T385" s="361" t="s">
        <v>36</v>
      </c>
      <c r="U385" s="374" t="s">
        <v>37</v>
      </c>
      <c r="V385" s="375"/>
      <c r="W385" s="357" t="s">
        <v>923</v>
      </c>
      <c r="X385" s="366"/>
      <c r="Y385" s="366"/>
      <c r="Z385" s="367"/>
      <c r="AA385" s="367"/>
      <c r="AB385" s="13"/>
      <c r="AC385" s="13"/>
      <c r="AD385" s="13"/>
      <c r="AE385" s="13"/>
      <c r="AF385" s="13"/>
      <c r="AG385" s="13"/>
      <c r="AH385" s="13"/>
      <c r="AI385" s="13"/>
      <c r="AJ385" s="13"/>
      <c r="AK385" s="13"/>
      <c r="AL385" s="13"/>
      <c r="AM385" s="14"/>
      <c r="AN385" s="14"/>
      <c r="AO385" s="14"/>
      <c r="AP385" s="14"/>
      <c r="AQ385" s="14"/>
      <c r="AR385" s="14"/>
      <c r="AS385" s="14"/>
      <c r="AT385" s="14"/>
      <c r="AU385" s="14"/>
      <c r="AV385" s="14"/>
      <c r="AW385" s="14"/>
      <c r="AX385" s="14"/>
      <c r="AY385" s="14"/>
      <c r="AZ385" s="14"/>
      <c r="BA385" s="14"/>
      <c r="BB385" s="14"/>
      <c r="BC385" s="14"/>
      <c r="BD385" s="14"/>
      <c r="BE385" s="14"/>
      <c r="BF385" s="14"/>
      <c r="BG385" s="14"/>
      <c r="BH385" s="14"/>
      <c r="BI385" s="14"/>
      <c r="BJ385" s="14"/>
      <c r="BK385" s="14"/>
      <c r="BL385" s="14"/>
      <c r="BM385" s="14"/>
      <c r="BN385" s="14"/>
    </row>
    <row r="386" ht="22.5" hidden="1" customHeight="1">
      <c r="A386" s="349" t="s">
        <v>803</v>
      </c>
      <c r="B386" s="350"/>
      <c r="C386" s="351" t="s">
        <v>763</v>
      </c>
      <c r="D386" s="379">
        <v>2944.0</v>
      </c>
      <c r="E386" s="353" t="s">
        <v>29</v>
      </c>
      <c r="F386" s="354" t="s">
        <v>72</v>
      </c>
      <c r="G386" s="355" t="s">
        <v>138</v>
      </c>
      <c r="H386" s="356" t="s">
        <v>31</v>
      </c>
      <c r="I386" s="356" t="s">
        <v>132</v>
      </c>
      <c r="J386" s="357">
        <v>50000.0</v>
      </c>
      <c r="K386" s="358">
        <v>2275.0</v>
      </c>
      <c r="L386" s="359">
        <v>46182.0</v>
      </c>
      <c r="M386" s="359">
        <v>46188.0</v>
      </c>
      <c r="N386" s="360"/>
      <c r="O386" s="361" t="s">
        <v>34</v>
      </c>
      <c r="P386" s="362"/>
      <c r="Q386" s="387"/>
      <c r="R386" s="388" t="s">
        <v>133</v>
      </c>
      <c r="S386" s="381" t="s">
        <v>36</v>
      </c>
      <c r="T386" s="381" t="s">
        <v>36</v>
      </c>
      <c r="U386" s="374" t="s">
        <v>37</v>
      </c>
      <c r="V386" s="375"/>
      <c r="W386" s="395" t="s">
        <v>924</v>
      </c>
      <c r="X386" s="366"/>
      <c r="Y386" s="366"/>
      <c r="Z386" s="367">
        <f>J386/2500</f>
        <v>20</v>
      </c>
      <c r="AA386" s="367"/>
      <c r="AB386" s="13"/>
      <c r="AC386" s="13"/>
      <c r="AD386" s="13"/>
      <c r="AE386" s="13"/>
      <c r="AF386" s="13"/>
      <c r="AG386" s="13"/>
      <c r="AH386" s="13"/>
      <c r="AI386" s="13"/>
      <c r="AJ386" s="13"/>
      <c r="AK386" s="13"/>
      <c r="AL386" s="13"/>
      <c r="AM386" s="14"/>
      <c r="AN386" s="14"/>
      <c r="AO386" s="14"/>
      <c r="AP386" s="14"/>
      <c r="AQ386" s="14"/>
      <c r="AR386" s="14"/>
      <c r="AS386" s="14"/>
      <c r="AT386" s="14"/>
      <c r="AU386" s="14"/>
      <c r="AV386" s="14"/>
      <c r="AW386" s="14"/>
      <c r="AX386" s="14"/>
      <c r="AY386" s="14"/>
      <c r="AZ386" s="14"/>
      <c r="BA386" s="14"/>
      <c r="BB386" s="14"/>
      <c r="BC386" s="14"/>
      <c r="BD386" s="14"/>
      <c r="BE386" s="14"/>
      <c r="BF386" s="14"/>
      <c r="BG386" s="14"/>
      <c r="BH386" s="14"/>
      <c r="BI386" s="14"/>
      <c r="BJ386" s="14"/>
      <c r="BK386" s="14"/>
      <c r="BL386" s="14"/>
      <c r="BM386" s="14"/>
      <c r="BN386" s="14"/>
    </row>
    <row r="387" ht="22.5" hidden="1" customHeight="1">
      <c r="A387" s="349" t="s">
        <v>184</v>
      </c>
      <c r="B387" s="350"/>
      <c r="C387" s="351" t="s">
        <v>925</v>
      </c>
      <c r="D387" s="379">
        <v>2945.0</v>
      </c>
      <c r="E387" s="353" t="s">
        <v>164</v>
      </c>
      <c r="F387" s="354" t="s">
        <v>72</v>
      </c>
      <c r="G387" s="355" t="s">
        <v>211</v>
      </c>
      <c r="H387" s="356" t="s">
        <v>31</v>
      </c>
      <c r="I387" s="356" t="s">
        <v>132</v>
      </c>
      <c r="J387" s="357" t="s">
        <v>926</v>
      </c>
      <c r="K387" s="358">
        <v>12734.0</v>
      </c>
      <c r="L387" s="359">
        <v>46183.0</v>
      </c>
      <c r="M387" s="359">
        <v>46195.0</v>
      </c>
      <c r="N387" s="360"/>
      <c r="O387" s="361" t="s">
        <v>212</v>
      </c>
      <c r="P387" s="362"/>
      <c r="Q387" s="388" t="s">
        <v>35</v>
      </c>
      <c r="R387" s="388" t="s">
        <v>133</v>
      </c>
      <c r="S387" s="381" t="s">
        <v>36</v>
      </c>
      <c r="T387" s="381" t="s">
        <v>36</v>
      </c>
      <c r="U387" s="374" t="s">
        <v>37</v>
      </c>
      <c r="V387" s="375"/>
      <c r="W387" s="395" t="s">
        <v>193</v>
      </c>
      <c r="X387" s="338" t="s">
        <v>426</v>
      </c>
      <c r="Y387" s="365" t="s">
        <v>516</v>
      </c>
      <c r="Z387" s="380" t="s">
        <v>516</v>
      </c>
      <c r="AA387" s="367"/>
      <c r="AB387" s="13"/>
      <c r="AC387" s="13"/>
      <c r="AD387" s="13"/>
      <c r="AE387" s="13"/>
      <c r="AF387" s="13"/>
      <c r="AG387" s="13"/>
      <c r="AH387" s="13"/>
      <c r="AI387" s="13"/>
      <c r="AJ387" s="13"/>
      <c r="AK387" s="13"/>
      <c r="AL387" s="13"/>
      <c r="AM387" s="14"/>
      <c r="AN387" s="14"/>
      <c r="AO387" s="14"/>
      <c r="AP387" s="14"/>
      <c r="AQ387" s="14"/>
      <c r="AR387" s="14"/>
      <c r="AS387" s="14"/>
      <c r="AT387" s="14"/>
      <c r="AU387" s="14"/>
      <c r="AV387" s="14"/>
      <c r="AW387" s="14"/>
      <c r="AX387" s="14"/>
      <c r="AY387" s="14"/>
      <c r="AZ387" s="14"/>
      <c r="BA387" s="14"/>
      <c r="BB387" s="14"/>
      <c r="BC387" s="14"/>
      <c r="BD387" s="14"/>
      <c r="BE387" s="14"/>
      <c r="BF387" s="14"/>
      <c r="BG387" s="14"/>
      <c r="BH387" s="14"/>
      <c r="BI387" s="14"/>
      <c r="BJ387" s="14"/>
      <c r="BK387" s="14"/>
      <c r="BL387" s="14"/>
      <c r="BM387" s="14"/>
      <c r="BN387" s="14"/>
    </row>
    <row r="388" ht="22.5" hidden="1" customHeight="1">
      <c r="A388" s="349" t="s">
        <v>803</v>
      </c>
      <c r="B388" s="350"/>
      <c r="C388" s="351" t="s">
        <v>927</v>
      </c>
      <c r="D388" s="352">
        <v>2946.0</v>
      </c>
      <c r="E388" s="353" t="s">
        <v>29</v>
      </c>
      <c r="F388" s="354" t="s">
        <v>72</v>
      </c>
      <c r="G388" s="355" t="s">
        <v>308</v>
      </c>
      <c r="H388" s="356" t="s">
        <v>31</v>
      </c>
      <c r="I388" s="356" t="s">
        <v>132</v>
      </c>
      <c r="J388" s="357">
        <v>100000.0</v>
      </c>
      <c r="K388" s="358">
        <v>2970.0</v>
      </c>
      <c r="L388" s="359">
        <v>46182.0</v>
      </c>
      <c r="M388" s="359">
        <v>46188.0</v>
      </c>
      <c r="N388" s="360"/>
      <c r="O388" s="361" t="s">
        <v>34</v>
      </c>
      <c r="P388" s="362"/>
      <c r="Q388" s="387"/>
      <c r="R388" s="388" t="s">
        <v>133</v>
      </c>
      <c r="S388" s="381" t="s">
        <v>36</v>
      </c>
      <c r="T388" s="381" t="s">
        <v>36</v>
      </c>
      <c r="U388" s="374" t="s">
        <v>37</v>
      </c>
      <c r="V388" s="375"/>
      <c r="W388" s="382"/>
      <c r="X388" s="366"/>
      <c r="Y388" s="365">
        <v>10.0</v>
      </c>
      <c r="Z388" s="367">
        <f>J388/2500</f>
        <v>40</v>
      </c>
      <c r="AA388" s="380" t="s">
        <v>928</v>
      </c>
      <c r="AB388" s="13"/>
      <c r="AC388" s="13"/>
      <c r="AD388" s="13"/>
      <c r="AE388" s="13"/>
      <c r="AF388" s="13"/>
      <c r="AG388" s="13"/>
      <c r="AH388" s="13"/>
      <c r="AI388" s="13"/>
      <c r="AJ388" s="13"/>
      <c r="AK388" s="13"/>
      <c r="AL388" s="13"/>
      <c r="AM388" s="14"/>
      <c r="AN388" s="14"/>
      <c r="AO388" s="14"/>
      <c r="AP388" s="14"/>
      <c r="AQ388" s="14"/>
      <c r="AR388" s="14"/>
      <c r="AS388" s="14"/>
      <c r="AT388" s="14"/>
      <c r="AU388" s="14"/>
      <c r="AV388" s="14"/>
      <c r="AW388" s="14"/>
      <c r="AX388" s="14"/>
      <c r="AY388" s="14"/>
      <c r="AZ388" s="14"/>
      <c r="BA388" s="14"/>
      <c r="BB388" s="14"/>
      <c r="BC388" s="14"/>
      <c r="BD388" s="14"/>
      <c r="BE388" s="14"/>
      <c r="BF388" s="14"/>
      <c r="BG388" s="14"/>
      <c r="BH388" s="14"/>
      <c r="BI388" s="14"/>
      <c r="BJ388" s="14"/>
      <c r="BK388" s="14"/>
      <c r="BL388" s="14"/>
      <c r="BM388" s="14"/>
      <c r="BN388" s="14"/>
    </row>
    <row r="389" ht="22.5" hidden="1" customHeight="1">
      <c r="A389" s="349" t="s">
        <v>782</v>
      </c>
      <c r="B389" s="350"/>
      <c r="C389" s="351" t="s">
        <v>929</v>
      </c>
      <c r="D389" s="379">
        <v>2948.0</v>
      </c>
      <c r="E389" s="353" t="s">
        <v>95</v>
      </c>
      <c r="F389" s="354" t="s">
        <v>30</v>
      </c>
      <c r="G389" s="355" t="s">
        <v>930</v>
      </c>
      <c r="H389" s="356" t="s">
        <v>31</v>
      </c>
      <c r="I389" s="356" t="s">
        <v>98</v>
      </c>
      <c r="J389" s="357">
        <v>5000.0</v>
      </c>
      <c r="K389" s="358">
        <v>1156.0</v>
      </c>
      <c r="L389" s="359">
        <v>46183.0</v>
      </c>
      <c r="M389" s="359">
        <v>46188.0</v>
      </c>
      <c r="N389" s="360"/>
      <c r="O389" s="361" t="s">
        <v>70</v>
      </c>
      <c r="P389" s="362"/>
      <c r="Q389" s="388" t="s">
        <v>35</v>
      </c>
      <c r="R389" s="388" t="s">
        <v>133</v>
      </c>
      <c r="S389" s="381" t="s">
        <v>35</v>
      </c>
      <c r="T389" s="381" t="s">
        <v>36</v>
      </c>
      <c r="U389" s="374" t="s">
        <v>37</v>
      </c>
      <c r="V389" s="375">
        <v>46188.0</v>
      </c>
      <c r="W389" s="395" t="s">
        <v>931</v>
      </c>
      <c r="X389" s="365" t="s">
        <v>932</v>
      </c>
      <c r="Y389" s="365" t="s">
        <v>516</v>
      </c>
      <c r="Z389" s="380" t="s">
        <v>516</v>
      </c>
      <c r="AA389" s="380" t="s">
        <v>516</v>
      </c>
      <c r="AB389" s="13"/>
      <c r="AC389" s="13"/>
      <c r="AD389" s="13"/>
      <c r="AE389" s="13"/>
      <c r="AF389" s="13"/>
      <c r="AG389" s="13"/>
      <c r="AH389" s="13"/>
      <c r="AI389" s="13"/>
      <c r="AJ389" s="13"/>
      <c r="AK389" s="13"/>
      <c r="AL389" s="13"/>
      <c r="AM389" s="14"/>
      <c r="AN389" s="14"/>
      <c r="AO389" s="14"/>
      <c r="AP389" s="14"/>
      <c r="AQ389" s="14"/>
      <c r="AR389" s="14"/>
      <c r="AS389" s="14"/>
      <c r="AT389" s="14"/>
      <c r="AU389" s="14"/>
      <c r="AV389" s="14"/>
      <c r="AW389" s="14"/>
      <c r="AX389" s="14"/>
      <c r="AY389" s="14"/>
      <c r="AZ389" s="14"/>
      <c r="BA389" s="14"/>
      <c r="BB389" s="14"/>
      <c r="BC389" s="14"/>
      <c r="BD389" s="14"/>
      <c r="BE389" s="14"/>
      <c r="BF389" s="14"/>
      <c r="BG389" s="14"/>
      <c r="BH389" s="14"/>
      <c r="BI389" s="14"/>
      <c r="BJ389" s="14"/>
      <c r="BK389" s="14"/>
      <c r="BL389" s="14"/>
      <c r="BM389" s="14"/>
      <c r="BN389" s="14"/>
    </row>
    <row r="390" ht="22.5" hidden="1" customHeight="1">
      <c r="A390" s="349" t="s">
        <v>782</v>
      </c>
      <c r="B390" s="350"/>
      <c r="C390" s="351" t="s">
        <v>933</v>
      </c>
      <c r="D390" s="379">
        <v>2949.0</v>
      </c>
      <c r="E390" s="353" t="s">
        <v>95</v>
      </c>
      <c r="F390" s="354" t="s">
        <v>30</v>
      </c>
      <c r="G390" s="355" t="s">
        <v>786</v>
      </c>
      <c r="H390" s="356" t="s">
        <v>31</v>
      </c>
      <c r="I390" s="356" t="s">
        <v>98</v>
      </c>
      <c r="J390" s="357">
        <v>10000.0</v>
      </c>
      <c r="K390" s="358">
        <v>675.0</v>
      </c>
      <c r="L390" s="359">
        <v>46183.0</v>
      </c>
      <c r="M390" s="359">
        <v>46188.0</v>
      </c>
      <c r="N390" s="360"/>
      <c r="O390" s="361" t="s">
        <v>70</v>
      </c>
      <c r="P390" s="362"/>
      <c r="Q390" s="388" t="s">
        <v>35</v>
      </c>
      <c r="R390" s="388" t="s">
        <v>133</v>
      </c>
      <c r="S390" s="381" t="s">
        <v>35</v>
      </c>
      <c r="T390" s="381" t="s">
        <v>36</v>
      </c>
      <c r="U390" s="374" t="s">
        <v>37</v>
      </c>
      <c r="V390" s="375">
        <v>46188.0</v>
      </c>
      <c r="W390" s="395" t="s">
        <v>931</v>
      </c>
      <c r="X390" s="365" t="s">
        <v>932</v>
      </c>
      <c r="Y390" s="365" t="s">
        <v>516</v>
      </c>
      <c r="Z390" s="380" t="s">
        <v>516</v>
      </c>
      <c r="AA390" s="380" t="s">
        <v>516</v>
      </c>
      <c r="AB390" s="13"/>
      <c r="AC390" s="13"/>
      <c r="AD390" s="13"/>
      <c r="AE390" s="13"/>
      <c r="AF390" s="13"/>
      <c r="AG390" s="13"/>
      <c r="AH390" s="13"/>
      <c r="AI390" s="13"/>
      <c r="AJ390" s="13"/>
      <c r="AK390" s="13"/>
      <c r="AL390" s="13"/>
      <c r="AM390" s="14"/>
      <c r="AN390" s="14"/>
      <c r="AO390" s="14"/>
      <c r="AP390" s="14"/>
      <c r="AQ390" s="14"/>
      <c r="AR390" s="14"/>
      <c r="AS390" s="14"/>
      <c r="AT390" s="14"/>
      <c r="AU390" s="14"/>
      <c r="AV390" s="14"/>
      <c r="AW390" s="14"/>
      <c r="AX390" s="14"/>
      <c r="AY390" s="14"/>
      <c r="AZ390" s="14"/>
      <c r="BA390" s="14"/>
      <c r="BB390" s="14"/>
      <c r="BC390" s="14"/>
      <c r="BD390" s="14"/>
      <c r="BE390" s="14"/>
      <c r="BF390" s="14"/>
      <c r="BG390" s="14"/>
      <c r="BH390" s="14"/>
      <c r="BI390" s="14"/>
      <c r="BJ390" s="14"/>
      <c r="BK390" s="14"/>
      <c r="BL390" s="14"/>
      <c r="BM390" s="14"/>
      <c r="BN390" s="14"/>
    </row>
    <row r="391" ht="22.5" hidden="1" customHeight="1">
      <c r="A391" s="349" t="s">
        <v>782</v>
      </c>
      <c r="B391" s="350"/>
      <c r="C391" s="351" t="s">
        <v>934</v>
      </c>
      <c r="D391" s="379">
        <v>2950.0</v>
      </c>
      <c r="E391" s="353" t="s">
        <v>95</v>
      </c>
      <c r="F391" s="354" t="s">
        <v>30</v>
      </c>
      <c r="G391" s="355" t="s">
        <v>786</v>
      </c>
      <c r="H391" s="356" t="s">
        <v>31</v>
      </c>
      <c r="I391" s="356" t="s">
        <v>98</v>
      </c>
      <c r="J391" s="357">
        <v>14000.0</v>
      </c>
      <c r="K391" s="358">
        <v>800.0</v>
      </c>
      <c r="L391" s="359">
        <v>46183.0</v>
      </c>
      <c r="M391" s="359">
        <v>46188.0</v>
      </c>
      <c r="N391" s="360"/>
      <c r="O391" s="361" t="s">
        <v>70</v>
      </c>
      <c r="P391" s="362"/>
      <c r="Q391" s="388" t="s">
        <v>35</v>
      </c>
      <c r="R391" s="388" t="s">
        <v>133</v>
      </c>
      <c r="S391" s="381" t="s">
        <v>35</v>
      </c>
      <c r="T391" s="381" t="s">
        <v>36</v>
      </c>
      <c r="U391" s="374" t="s">
        <v>37</v>
      </c>
      <c r="V391" s="375">
        <v>46188.0</v>
      </c>
      <c r="W391" s="357" t="s">
        <v>931</v>
      </c>
      <c r="X391" s="365" t="s">
        <v>932</v>
      </c>
      <c r="Y391" s="365" t="s">
        <v>516</v>
      </c>
      <c r="Z391" s="380" t="s">
        <v>516</v>
      </c>
      <c r="AA391" s="380" t="s">
        <v>516</v>
      </c>
      <c r="AB391" s="13"/>
      <c r="AC391" s="13"/>
      <c r="AD391" s="13"/>
      <c r="AE391" s="13"/>
      <c r="AF391" s="13"/>
      <c r="AG391" s="13"/>
      <c r="AH391" s="13"/>
      <c r="AI391" s="13"/>
      <c r="AJ391" s="13"/>
      <c r="AK391" s="13"/>
      <c r="AL391" s="13"/>
      <c r="AM391" s="14"/>
      <c r="AN391" s="14"/>
      <c r="AO391" s="14"/>
      <c r="AP391" s="14"/>
      <c r="AQ391" s="14"/>
      <c r="AR391" s="14"/>
      <c r="AS391" s="14"/>
      <c r="AT391" s="14"/>
      <c r="AU391" s="14"/>
      <c r="AV391" s="14"/>
      <c r="AW391" s="14"/>
      <c r="AX391" s="14"/>
      <c r="AY391" s="14"/>
      <c r="AZ391" s="14"/>
      <c r="BA391" s="14"/>
      <c r="BB391" s="14"/>
      <c r="BC391" s="14"/>
      <c r="BD391" s="14"/>
      <c r="BE391" s="14"/>
      <c r="BF391" s="14"/>
      <c r="BG391" s="14"/>
      <c r="BH391" s="14"/>
      <c r="BI391" s="14"/>
      <c r="BJ391" s="14"/>
      <c r="BK391" s="14"/>
      <c r="BL391" s="14"/>
      <c r="BM391" s="14"/>
      <c r="BN391" s="14"/>
    </row>
    <row r="392" ht="22.5" hidden="1" customHeight="1">
      <c r="A392" s="349" t="s">
        <v>782</v>
      </c>
      <c r="B392" s="350"/>
      <c r="C392" s="351" t="s">
        <v>935</v>
      </c>
      <c r="D392" s="352">
        <v>3028.0</v>
      </c>
      <c r="E392" s="353" t="s">
        <v>95</v>
      </c>
      <c r="F392" s="354" t="s">
        <v>30</v>
      </c>
      <c r="G392" s="355" t="s">
        <v>786</v>
      </c>
      <c r="H392" s="356" t="s">
        <v>31</v>
      </c>
      <c r="I392" s="356" t="s">
        <v>98</v>
      </c>
      <c r="J392" s="357">
        <v>5000.0</v>
      </c>
      <c r="K392" s="407"/>
      <c r="L392" s="359">
        <v>46184.0</v>
      </c>
      <c r="M392" s="359">
        <v>46188.0</v>
      </c>
      <c r="N392" s="360"/>
      <c r="O392" s="361" t="s">
        <v>70</v>
      </c>
      <c r="P392" s="362"/>
      <c r="Q392" s="353" t="s">
        <v>35</v>
      </c>
      <c r="R392" s="353" t="s">
        <v>133</v>
      </c>
      <c r="S392" s="361" t="s">
        <v>35</v>
      </c>
      <c r="T392" s="361" t="s">
        <v>36</v>
      </c>
      <c r="U392" s="363" t="s">
        <v>37</v>
      </c>
      <c r="V392" s="364">
        <v>46188.0</v>
      </c>
      <c r="W392" s="357" t="s">
        <v>931</v>
      </c>
      <c r="X392" s="366"/>
      <c r="Y392" s="366"/>
      <c r="Z392" s="367"/>
      <c r="AA392" s="367"/>
      <c r="AB392" s="13"/>
      <c r="AC392" s="13"/>
      <c r="AD392" s="13"/>
      <c r="AE392" s="13"/>
      <c r="AF392" s="13"/>
      <c r="AG392" s="13"/>
      <c r="AH392" s="13"/>
      <c r="AI392" s="13"/>
      <c r="AJ392" s="13"/>
      <c r="AK392" s="13"/>
      <c r="AL392" s="13"/>
      <c r="AM392" s="14"/>
      <c r="AN392" s="14"/>
      <c r="AO392" s="14"/>
      <c r="AP392" s="14"/>
      <c r="AQ392" s="14"/>
      <c r="AR392" s="14"/>
      <c r="AS392" s="14"/>
      <c r="AT392" s="14"/>
      <c r="AU392" s="14"/>
      <c r="AV392" s="14"/>
      <c r="AW392" s="14"/>
      <c r="AX392" s="14"/>
      <c r="AY392" s="14"/>
      <c r="AZ392" s="14"/>
      <c r="BA392" s="14"/>
      <c r="BB392" s="14"/>
      <c r="BC392" s="14"/>
      <c r="BD392" s="14"/>
      <c r="BE392" s="14"/>
      <c r="BF392" s="14"/>
      <c r="BG392" s="14"/>
      <c r="BH392" s="14"/>
      <c r="BI392" s="14"/>
      <c r="BJ392" s="14"/>
      <c r="BK392" s="14"/>
      <c r="BL392" s="14"/>
      <c r="BM392" s="14"/>
      <c r="BN392" s="14"/>
    </row>
    <row r="393" ht="22.5" hidden="1" customHeight="1">
      <c r="A393" s="349" t="s">
        <v>861</v>
      </c>
      <c r="B393" s="350"/>
      <c r="C393" s="351" t="s">
        <v>936</v>
      </c>
      <c r="D393" s="379">
        <v>2995.0</v>
      </c>
      <c r="E393" s="353" t="s">
        <v>164</v>
      </c>
      <c r="F393" s="354" t="s">
        <v>72</v>
      </c>
      <c r="G393" s="355" t="s">
        <v>863</v>
      </c>
      <c r="H393" s="356" t="s">
        <v>31</v>
      </c>
      <c r="I393" s="356" t="s">
        <v>261</v>
      </c>
      <c r="J393" s="357">
        <v>6000.0</v>
      </c>
      <c r="K393" s="358">
        <v>750.0</v>
      </c>
      <c r="L393" s="359">
        <v>46184.0</v>
      </c>
      <c r="M393" s="359">
        <v>46192.0</v>
      </c>
      <c r="N393" s="360"/>
      <c r="O393" s="361" t="s">
        <v>212</v>
      </c>
      <c r="P393" s="362"/>
      <c r="Q393" s="388" t="s">
        <v>35</v>
      </c>
      <c r="R393" s="388" t="s">
        <v>133</v>
      </c>
      <c r="S393" s="381" t="s">
        <v>36</v>
      </c>
      <c r="T393" s="381" t="s">
        <v>36</v>
      </c>
      <c r="U393" s="374" t="s">
        <v>37</v>
      </c>
      <c r="V393" s="430"/>
      <c r="W393" s="395" t="s">
        <v>937</v>
      </c>
      <c r="X393" s="431" t="s">
        <v>399</v>
      </c>
      <c r="Y393" s="365" t="s">
        <v>516</v>
      </c>
      <c r="Z393" s="380" t="s">
        <v>814</v>
      </c>
      <c r="AA393" s="367"/>
      <c r="AB393" s="13"/>
      <c r="AC393" s="13"/>
      <c r="AD393" s="13"/>
      <c r="AE393" s="13"/>
      <c r="AF393" s="13"/>
      <c r="AG393" s="13"/>
      <c r="AH393" s="13"/>
      <c r="AI393" s="13"/>
      <c r="AJ393" s="13"/>
      <c r="AK393" s="13"/>
      <c r="AL393" s="13"/>
      <c r="AM393" s="14"/>
      <c r="AN393" s="14"/>
      <c r="AO393" s="14"/>
      <c r="AP393" s="14"/>
      <c r="AQ393" s="14"/>
      <c r="AR393" s="14"/>
      <c r="AS393" s="14"/>
      <c r="AT393" s="14"/>
      <c r="AU393" s="14"/>
      <c r="AV393" s="14"/>
      <c r="AW393" s="14"/>
      <c r="AX393" s="14"/>
      <c r="AY393" s="14"/>
      <c r="AZ393" s="14"/>
      <c r="BA393" s="14"/>
      <c r="BB393" s="14"/>
      <c r="BC393" s="14"/>
      <c r="BD393" s="14"/>
      <c r="BE393" s="14"/>
      <c r="BF393" s="14"/>
      <c r="BG393" s="14"/>
      <c r="BH393" s="14"/>
      <c r="BI393" s="14"/>
      <c r="BJ393" s="14"/>
      <c r="BK393" s="14"/>
      <c r="BL393" s="14"/>
      <c r="BM393" s="14"/>
      <c r="BN393" s="14"/>
    </row>
    <row r="394" ht="22.5" hidden="1" customHeight="1">
      <c r="A394" s="349" t="s">
        <v>868</v>
      </c>
      <c r="B394" s="350"/>
      <c r="C394" s="432" t="s">
        <v>862</v>
      </c>
      <c r="D394" s="379">
        <v>2995.0</v>
      </c>
      <c r="E394" s="353" t="s">
        <v>164</v>
      </c>
      <c r="F394" s="354" t="s">
        <v>72</v>
      </c>
      <c r="G394" s="355" t="s">
        <v>863</v>
      </c>
      <c r="H394" s="356" t="s">
        <v>31</v>
      </c>
      <c r="I394" s="356" t="s">
        <v>261</v>
      </c>
      <c r="J394" s="357">
        <v>2000.0</v>
      </c>
      <c r="K394" s="407"/>
      <c r="L394" s="359">
        <v>46184.0</v>
      </c>
      <c r="M394" s="359">
        <v>46192.0</v>
      </c>
      <c r="N394" s="360"/>
      <c r="O394" s="361" t="s">
        <v>212</v>
      </c>
      <c r="P394" s="362"/>
      <c r="Q394" s="388" t="s">
        <v>35</v>
      </c>
      <c r="R394" s="388" t="s">
        <v>133</v>
      </c>
      <c r="S394" s="381" t="s">
        <v>36</v>
      </c>
      <c r="T394" s="381" t="s">
        <v>36</v>
      </c>
      <c r="U394" s="374" t="s">
        <v>37</v>
      </c>
      <c r="V394" s="430"/>
      <c r="W394" s="395" t="s">
        <v>937</v>
      </c>
      <c r="X394" s="338" t="s">
        <v>399</v>
      </c>
      <c r="Y394" s="365" t="s">
        <v>516</v>
      </c>
      <c r="Z394" s="380" t="s">
        <v>814</v>
      </c>
      <c r="AA394" s="367"/>
      <c r="AB394" s="13"/>
      <c r="AC394" s="13"/>
      <c r="AD394" s="13"/>
      <c r="AE394" s="13"/>
      <c r="AF394" s="13"/>
      <c r="AG394" s="13"/>
      <c r="AH394" s="13"/>
      <c r="AI394" s="13"/>
      <c r="AJ394" s="13"/>
      <c r="AK394" s="13"/>
      <c r="AL394" s="13"/>
      <c r="AM394" s="14"/>
      <c r="AN394" s="14"/>
      <c r="AO394" s="14"/>
      <c r="AP394" s="14"/>
      <c r="AQ394" s="14"/>
      <c r="AR394" s="14"/>
      <c r="AS394" s="14"/>
      <c r="AT394" s="14"/>
      <c r="AU394" s="14"/>
      <c r="AV394" s="14"/>
      <c r="AW394" s="14"/>
      <c r="AX394" s="14"/>
      <c r="AY394" s="14"/>
      <c r="AZ394" s="14"/>
      <c r="BA394" s="14"/>
      <c r="BB394" s="14"/>
      <c r="BC394" s="14"/>
      <c r="BD394" s="14"/>
      <c r="BE394" s="14"/>
      <c r="BF394" s="14"/>
      <c r="BG394" s="14"/>
      <c r="BH394" s="14"/>
      <c r="BI394" s="14"/>
      <c r="BJ394" s="14"/>
      <c r="BK394" s="14"/>
      <c r="BL394" s="14"/>
      <c r="BM394" s="14"/>
      <c r="BN394" s="14"/>
    </row>
    <row r="395" ht="22.5" hidden="1" customHeight="1">
      <c r="A395" s="349" t="s">
        <v>938</v>
      </c>
      <c r="B395" s="350"/>
      <c r="C395" s="433" t="s">
        <v>862</v>
      </c>
      <c r="D395" s="379">
        <v>2995.0</v>
      </c>
      <c r="E395" s="353" t="s">
        <v>164</v>
      </c>
      <c r="F395" s="354" t="s">
        <v>72</v>
      </c>
      <c r="G395" s="355" t="s">
        <v>863</v>
      </c>
      <c r="H395" s="356" t="s">
        <v>31</v>
      </c>
      <c r="I395" s="356" t="s">
        <v>261</v>
      </c>
      <c r="J395" s="357">
        <v>2000.0</v>
      </c>
      <c r="K395" s="407"/>
      <c r="L395" s="359">
        <v>46184.0</v>
      </c>
      <c r="M395" s="359">
        <v>46192.0</v>
      </c>
      <c r="N395" s="360"/>
      <c r="O395" s="361" t="s">
        <v>212</v>
      </c>
      <c r="P395" s="362"/>
      <c r="Q395" s="388" t="s">
        <v>35</v>
      </c>
      <c r="R395" s="388" t="s">
        <v>133</v>
      </c>
      <c r="S395" s="381" t="s">
        <v>36</v>
      </c>
      <c r="T395" s="381" t="s">
        <v>36</v>
      </c>
      <c r="U395" s="374" t="s">
        <v>37</v>
      </c>
      <c r="V395" s="430"/>
      <c r="W395" s="395" t="s">
        <v>937</v>
      </c>
      <c r="X395" s="338" t="s">
        <v>399</v>
      </c>
      <c r="Y395" s="365" t="s">
        <v>516</v>
      </c>
      <c r="Z395" s="380" t="s">
        <v>814</v>
      </c>
      <c r="AA395" s="367"/>
      <c r="AB395" s="13"/>
      <c r="AC395" s="13"/>
      <c r="AD395" s="13"/>
      <c r="AE395" s="13"/>
      <c r="AF395" s="13"/>
      <c r="AG395" s="13"/>
      <c r="AH395" s="13"/>
      <c r="AI395" s="13"/>
      <c r="AJ395" s="13"/>
      <c r="AK395" s="13"/>
      <c r="AL395" s="13"/>
      <c r="AM395" s="14"/>
      <c r="AN395" s="14"/>
      <c r="AO395" s="14"/>
      <c r="AP395" s="14"/>
      <c r="AQ395" s="14"/>
      <c r="AR395" s="14"/>
      <c r="AS395" s="14"/>
      <c r="AT395" s="14"/>
      <c r="AU395" s="14"/>
      <c r="AV395" s="14"/>
      <c r="AW395" s="14"/>
      <c r="AX395" s="14"/>
      <c r="AY395" s="14"/>
      <c r="AZ395" s="14"/>
      <c r="BA395" s="14"/>
      <c r="BB395" s="14"/>
      <c r="BC395" s="14"/>
      <c r="BD395" s="14"/>
      <c r="BE395" s="14"/>
      <c r="BF395" s="14"/>
      <c r="BG395" s="14"/>
      <c r="BH395" s="14"/>
      <c r="BI395" s="14"/>
      <c r="BJ395" s="14"/>
      <c r="BK395" s="14"/>
      <c r="BL395" s="14"/>
      <c r="BM395" s="14"/>
      <c r="BN395" s="14"/>
    </row>
    <row r="396" ht="22.5" hidden="1" customHeight="1">
      <c r="A396" s="349" t="s">
        <v>803</v>
      </c>
      <c r="B396" s="350"/>
      <c r="C396" s="351" t="s">
        <v>360</v>
      </c>
      <c r="D396" s="352">
        <v>3029.0</v>
      </c>
      <c r="E396" s="353" t="s">
        <v>29</v>
      </c>
      <c r="F396" s="354" t="s">
        <v>72</v>
      </c>
      <c r="G396" s="355" t="s">
        <v>240</v>
      </c>
      <c r="H396" s="356" t="s">
        <v>31</v>
      </c>
      <c r="I396" s="356" t="s">
        <v>98</v>
      </c>
      <c r="J396" s="357">
        <v>20000.0</v>
      </c>
      <c r="K396" s="358">
        <v>934.0</v>
      </c>
      <c r="L396" s="359">
        <v>46185.0</v>
      </c>
      <c r="M396" s="359">
        <v>46188.0</v>
      </c>
      <c r="N396" s="360"/>
      <c r="O396" s="361" t="s">
        <v>70</v>
      </c>
      <c r="P396" s="362"/>
      <c r="Q396" s="387"/>
      <c r="R396" s="387"/>
      <c r="S396" s="381" t="s">
        <v>36</v>
      </c>
      <c r="T396" s="381" t="s">
        <v>36</v>
      </c>
      <c r="U396" s="374" t="s">
        <v>37</v>
      </c>
      <c r="V396" s="430"/>
      <c r="W396" s="382"/>
      <c r="X396" s="366"/>
      <c r="Y396" s="366"/>
      <c r="Z396" s="367">
        <f t="shared" ref="Z396:Z402" si="18">J396/2500</f>
        <v>8</v>
      </c>
      <c r="AA396" s="367"/>
      <c r="AB396" s="13"/>
      <c r="AC396" s="13"/>
      <c r="AD396" s="13"/>
      <c r="AE396" s="13"/>
      <c r="AF396" s="13"/>
      <c r="AG396" s="13"/>
      <c r="AH396" s="13"/>
      <c r="AI396" s="13"/>
      <c r="AJ396" s="13"/>
      <c r="AK396" s="13"/>
      <c r="AL396" s="13"/>
      <c r="AM396" s="14"/>
      <c r="AN396" s="14"/>
      <c r="AO396" s="14"/>
      <c r="AP396" s="14"/>
      <c r="AQ396" s="14"/>
      <c r="AR396" s="14"/>
      <c r="AS396" s="14"/>
      <c r="AT396" s="14"/>
      <c r="AU396" s="14"/>
      <c r="AV396" s="14"/>
      <c r="AW396" s="14"/>
      <c r="AX396" s="14"/>
      <c r="AY396" s="14"/>
      <c r="AZ396" s="14"/>
      <c r="BA396" s="14"/>
      <c r="BB396" s="14"/>
      <c r="BC396" s="14"/>
      <c r="BD396" s="14"/>
      <c r="BE396" s="14"/>
      <c r="BF396" s="14"/>
      <c r="BG396" s="14"/>
      <c r="BH396" s="14"/>
      <c r="BI396" s="14"/>
      <c r="BJ396" s="14"/>
      <c r="BK396" s="14"/>
      <c r="BL396" s="14"/>
      <c r="BM396" s="14"/>
      <c r="BN396" s="14"/>
    </row>
    <row r="397" ht="22.5" hidden="1" customHeight="1">
      <c r="A397" s="349" t="s">
        <v>803</v>
      </c>
      <c r="B397" s="350"/>
      <c r="C397" s="351" t="s">
        <v>640</v>
      </c>
      <c r="D397" s="352">
        <v>3030.0</v>
      </c>
      <c r="E397" s="353" t="s">
        <v>29</v>
      </c>
      <c r="F397" s="354" t="s">
        <v>72</v>
      </c>
      <c r="G397" s="355" t="s">
        <v>308</v>
      </c>
      <c r="H397" s="356" t="s">
        <v>31</v>
      </c>
      <c r="I397" s="356" t="s">
        <v>132</v>
      </c>
      <c r="J397" s="357">
        <v>20000.0</v>
      </c>
      <c r="K397" s="358">
        <v>1381.0</v>
      </c>
      <c r="L397" s="359">
        <v>46185.0</v>
      </c>
      <c r="M397" s="359">
        <v>46188.0</v>
      </c>
      <c r="N397" s="360"/>
      <c r="O397" s="361" t="s">
        <v>70</v>
      </c>
      <c r="P397" s="362"/>
      <c r="Q397" s="387"/>
      <c r="R397" s="387"/>
      <c r="S397" s="381" t="s">
        <v>36</v>
      </c>
      <c r="T397" s="381" t="s">
        <v>36</v>
      </c>
      <c r="U397" s="374" t="s">
        <v>37</v>
      </c>
      <c r="V397" s="430"/>
      <c r="W397" s="382"/>
      <c r="X397" s="366"/>
      <c r="Y397" s="366"/>
      <c r="Z397" s="367">
        <f t="shared" si="18"/>
        <v>8</v>
      </c>
      <c r="AA397" s="367"/>
      <c r="AB397" s="13"/>
      <c r="AC397" s="13"/>
      <c r="AD397" s="13"/>
      <c r="AE397" s="13"/>
      <c r="AF397" s="13"/>
      <c r="AG397" s="13"/>
      <c r="AH397" s="13"/>
      <c r="AI397" s="13"/>
      <c r="AJ397" s="13"/>
      <c r="AK397" s="13"/>
      <c r="AL397" s="13"/>
      <c r="AM397" s="14"/>
      <c r="AN397" s="14"/>
      <c r="AO397" s="14"/>
      <c r="AP397" s="14"/>
      <c r="AQ397" s="14"/>
      <c r="AR397" s="14"/>
      <c r="AS397" s="14"/>
      <c r="AT397" s="14"/>
      <c r="AU397" s="14"/>
      <c r="AV397" s="14"/>
      <c r="AW397" s="14"/>
      <c r="AX397" s="14"/>
      <c r="AY397" s="14"/>
      <c r="AZ397" s="14"/>
      <c r="BA397" s="14"/>
      <c r="BB397" s="14"/>
      <c r="BC397" s="14"/>
      <c r="BD397" s="14"/>
      <c r="BE397" s="14"/>
      <c r="BF397" s="14"/>
      <c r="BG397" s="14"/>
      <c r="BH397" s="14"/>
      <c r="BI397" s="14"/>
      <c r="BJ397" s="14"/>
      <c r="BK397" s="14"/>
      <c r="BL397" s="14"/>
      <c r="BM397" s="14"/>
      <c r="BN397" s="14"/>
    </row>
    <row r="398" ht="22.5" hidden="1" customHeight="1">
      <c r="A398" s="349" t="s">
        <v>803</v>
      </c>
      <c r="B398" s="350"/>
      <c r="C398" s="351" t="s">
        <v>939</v>
      </c>
      <c r="D398" s="379">
        <v>3031.0</v>
      </c>
      <c r="E398" s="353" t="s">
        <v>29</v>
      </c>
      <c r="F398" s="354" t="s">
        <v>72</v>
      </c>
      <c r="G398" s="355" t="s">
        <v>138</v>
      </c>
      <c r="H398" s="356" t="s">
        <v>31</v>
      </c>
      <c r="I398" s="356" t="s">
        <v>132</v>
      </c>
      <c r="J398" s="357">
        <v>20000.0</v>
      </c>
      <c r="K398" s="358">
        <v>1063.0</v>
      </c>
      <c r="L398" s="359">
        <v>46185.0</v>
      </c>
      <c r="M398" s="359">
        <v>46188.0</v>
      </c>
      <c r="N398" s="360"/>
      <c r="O398" s="361" t="s">
        <v>70</v>
      </c>
      <c r="P398" s="362"/>
      <c r="Q398" s="387"/>
      <c r="R398" s="387"/>
      <c r="S398" s="381" t="s">
        <v>36</v>
      </c>
      <c r="T398" s="381" t="s">
        <v>36</v>
      </c>
      <c r="U398" s="374" t="s">
        <v>37</v>
      </c>
      <c r="V398" s="430"/>
      <c r="W398" s="382"/>
      <c r="X398" s="366"/>
      <c r="Y398" s="366"/>
      <c r="Z398" s="367">
        <f t="shared" si="18"/>
        <v>8</v>
      </c>
      <c r="AA398" s="367"/>
      <c r="AB398" s="13"/>
      <c r="AC398" s="13"/>
      <c r="AD398" s="13"/>
      <c r="AE398" s="13"/>
      <c r="AF398" s="13"/>
      <c r="AG398" s="13"/>
      <c r="AH398" s="13"/>
      <c r="AI398" s="13"/>
      <c r="AJ398" s="13"/>
      <c r="AK398" s="13"/>
      <c r="AL398" s="13"/>
      <c r="AM398" s="14"/>
      <c r="AN398" s="14"/>
      <c r="AO398" s="14"/>
      <c r="AP398" s="14"/>
      <c r="AQ398" s="14"/>
      <c r="AR398" s="14"/>
      <c r="AS398" s="14"/>
      <c r="AT398" s="14"/>
      <c r="AU398" s="14"/>
      <c r="AV398" s="14"/>
      <c r="AW398" s="14"/>
      <c r="AX398" s="14"/>
      <c r="AY398" s="14"/>
      <c r="AZ398" s="14"/>
      <c r="BA398" s="14"/>
      <c r="BB398" s="14"/>
      <c r="BC398" s="14"/>
      <c r="BD398" s="14"/>
      <c r="BE398" s="14"/>
      <c r="BF398" s="14"/>
      <c r="BG398" s="14"/>
      <c r="BH398" s="14"/>
      <c r="BI398" s="14"/>
      <c r="BJ398" s="14"/>
      <c r="BK398" s="14"/>
      <c r="BL398" s="14"/>
      <c r="BM398" s="14"/>
      <c r="BN398" s="14"/>
    </row>
    <row r="399" ht="22.5" hidden="1" customHeight="1">
      <c r="A399" s="349" t="s">
        <v>803</v>
      </c>
      <c r="B399" s="350"/>
      <c r="C399" s="351" t="s">
        <v>46</v>
      </c>
      <c r="D399" s="379">
        <v>3032.0</v>
      </c>
      <c r="E399" s="353" t="s">
        <v>29</v>
      </c>
      <c r="F399" s="354" t="s">
        <v>72</v>
      </c>
      <c r="G399" s="355" t="s">
        <v>138</v>
      </c>
      <c r="H399" s="356" t="s">
        <v>31</v>
      </c>
      <c r="I399" s="356" t="s">
        <v>132</v>
      </c>
      <c r="J399" s="357">
        <v>10000.0</v>
      </c>
      <c r="K399" s="358">
        <v>689.0</v>
      </c>
      <c r="L399" s="359">
        <v>46185.0</v>
      </c>
      <c r="M399" s="359">
        <v>46188.0</v>
      </c>
      <c r="N399" s="360"/>
      <c r="O399" s="361" t="s">
        <v>70</v>
      </c>
      <c r="P399" s="362"/>
      <c r="Q399" s="387"/>
      <c r="R399" s="387"/>
      <c r="S399" s="381" t="s">
        <v>36</v>
      </c>
      <c r="T399" s="381" t="s">
        <v>36</v>
      </c>
      <c r="U399" s="374" t="s">
        <v>37</v>
      </c>
      <c r="V399" s="430"/>
      <c r="W399" s="382"/>
      <c r="X399" s="366"/>
      <c r="Y399" s="366"/>
      <c r="Z399" s="367">
        <f t="shared" si="18"/>
        <v>4</v>
      </c>
      <c r="AA399" s="367"/>
      <c r="AB399" s="13"/>
      <c r="AC399" s="13"/>
      <c r="AD399" s="13"/>
      <c r="AE399" s="13"/>
      <c r="AF399" s="13"/>
      <c r="AG399" s="13"/>
      <c r="AH399" s="13"/>
      <c r="AI399" s="13"/>
      <c r="AJ399" s="13"/>
      <c r="AK399" s="13"/>
      <c r="AL399" s="13"/>
      <c r="AM399" s="14"/>
      <c r="AN399" s="14"/>
      <c r="AO399" s="14"/>
      <c r="AP399" s="14"/>
      <c r="AQ399" s="14"/>
      <c r="AR399" s="14"/>
      <c r="AS399" s="14"/>
      <c r="AT399" s="14"/>
      <c r="AU399" s="14"/>
      <c r="AV399" s="14"/>
      <c r="AW399" s="14"/>
      <c r="AX399" s="14"/>
      <c r="AY399" s="14"/>
      <c r="AZ399" s="14"/>
      <c r="BA399" s="14"/>
      <c r="BB399" s="14"/>
      <c r="BC399" s="14"/>
      <c r="BD399" s="14"/>
      <c r="BE399" s="14"/>
      <c r="BF399" s="14"/>
      <c r="BG399" s="14"/>
      <c r="BH399" s="14"/>
      <c r="BI399" s="14"/>
      <c r="BJ399" s="14"/>
      <c r="BK399" s="14"/>
      <c r="BL399" s="14"/>
      <c r="BM399" s="14"/>
      <c r="BN399" s="14"/>
    </row>
    <row r="400" ht="22.5" hidden="1" customHeight="1">
      <c r="A400" s="349" t="s">
        <v>803</v>
      </c>
      <c r="B400" s="350"/>
      <c r="C400" s="351" t="s">
        <v>321</v>
      </c>
      <c r="D400" s="379">
        <v>3033.0</v>
      </c>
      <c r="E400" s="353" t="s">
        <v>29</v>
      </c>
      <c r="F400" s="354" t="s">
        <v>72</v>
      </c>
      <c r="G400" s="355" t="s">
        <v>138</v>
      </c>
      <c r="H400" s="356" t="s">
        <v>31</v>
      </c>
      <c r="I400" s="356" t="s">
        <v>132</v>
      </c>
      <c r="J400" s="357">
        <v>50000.0</v>
      </c>
      <c r="K400" s="358">
        <v>2275.0</v>
      </c>
      <c r="L400" s="359">
        <v>46185.0</v>
      </c>
      <c r="M400" s="359">
        <v>46188.0</v>
      </c>
      <c r="N400" s="360"/>
      <c r="O400" s="361" t="s">
        <v>70</v>
      </c>
      <c r="P400" s="362"/>
      <c r="Q400" s="387"/>
      <c r="R400" s="387"/>
      <c r="S400" s="381" t="s">
        <v>36</v>
      </c>
      <c r="T400" s="381" t="s">
        <v>36</v>
      </c>
      <c r="U400" s="374" t="s">
        <v>37</v>
      </c>
      <c r="V400" s="430"/>
      <c r="W400" s="382"/>
      <c r="X400" s="366"/>
      <c r="Y400" s="366"/>
      <c r="Z400" s="367">
        <f t="shared" si="18"/>
        <v>20</v>
      </c>
      <c r="AA400" s="367"/>
      <c r="AB400" s="13"/>
      <c r="AC400" s="13"/>
      <c r="AD400" s="13"/>
      <c r="AE400" s="13"/>
      <c r="AF400" s="13"/>
      <c r="AG400" s="13"/>
      <c r="AH400" s="13"/>
      <c r="AI400" s="13"/>
      <c r="AJ400" s="13"/>
      <c r="AK400" s="13"/>
      <c r="AL400" s="13"/>
      <c r="AM400" s="14"/>
      <c r="AN400" s="14"/>
      <c r="AO400" s="14"/>
      <c r="AP400" s="14"/>
      <c r="AQ400" s="14"/>
      <c r="AR400" s="14"/>
      <c r="AS400" s="14"/>
      <c r="AT400" s="14"/>
      <c r="AU400" s="14"/>
      <c r="AV400" s="14"/>
      <c r="AW400" s="14"/>
      <c r="AX400" s="14"/>
      <c r="AY400" s="14"/>
      <c r="AZ400" s="14"/>
      <c r="BA400" s="14"/>
      <c r="BB400" s="14"/>
      <c r="BC400" s="14"/>
      <c r="BD400" s="14"/>
      <c r="BE400" s="14"/>
      <c r="BF400" s="14"/>
      <c r="BG400" s="14"/>
      <c r="BH400" s="14"/>
      <c r="BI400" s="14"/>
      <c r="BJ400" s="14"/>
      <c r="BK400" s="14"/>
      <c r="BL400" s="14"/>
      <c r="BM400" s="14"/>
      <c r="BN400" s="14"/>
    </row>
    <row r="401" ht="22.5" hidden="1" customHeight="1">
      <c r="A401" s="349" t="s">
        <v>803</v>
      </c>
      <c r="B401" s="350"/>
      <c r="C401" s="351" t="s">
        <v>940</v>
      </c>
      <c r="D401" s="352">
        <v>3034.0</v>
      </c>
      <c r="E401" s="353" t="s">
        <v>29</v>
      </c>
      <c r="F401" s="354" t="s">
        <v>72</v>
      </c>
      <c r="G401" s="355" t="s">
        <v>347</v>
      </c>
      <c r="H401" s="356" t="s">
        <v>31</v>
      </c>
      <c r="I401" s="356" t="s">
        <v>132</v>
      </c>
      <c r="J401" s="357">
        <v>150000.0</v>
      </c>
      <c r="K401" s="358">
        <v>4230.0</v>
      </c>
      <c r="L401" s="359">
        <v>46185.0</v>
      </c>
      <c r="M401" s="359">
        <v>46188.0</v>
      </c>
      <c r="N401" s="360"/>
      <c r="O401" s="361" t="s">
        <v>70</v>
      </c>
      <c r="P401" s="362"/>
      <c r="Q401" s="387"/>
      <c r="R401" s="387"/>
      <c r="S401" s="381" t="s">
        <v>36</v>
      </c>
      <c r="T401" s="381" t="s">
        <v>36</v>
      </c>
      <c r="U401" s="374" t="s">
        <v>37</v>
      </c>
      <c r="V401" s="430"/>
      <c r="W401" s="382"/>
      <c r="X401" s="366"/>
      <c r="Y401" s="365">
        <v>15.0</v>
      </c>
      <c r="Z401" s="367">
        <f t="shared" si="18"/>
        <v>60</v>
      </c>
      <c r="AA401" s="380" t="s">
        <v>928</v>
      </c>
      <c r="AB401" s="13"/>
      <c r="AC401" s="13"/>
      <c r="AD401" s="13"/>
      <c r="AE401" s="13"/>
      <c r="AF401" s="13"/>
      <c r="AG401" s="13"/>
      <c r="AH401" s="13"/>
      <c r="AI401" s="13"/>
      <c r="AJ401" s="13"/>
      <c r="AK401" s="13"/>
      <c r="AL401" s="13"/>
      <c r="AM401" s="14"/>
      <c r="AN401" s="14"/>
      <c r="AO401" s="14"/>
      <c r="AP401" s="14"/>
      <c r="AQ401" s="14"/>
      <c r="AR401" s="14"/>
      <c r="AS401" s="14"/>
      <c r="AT401" s="14"/>
      <c r="AU401" s="14"/>
      <c r="AV401" s="14"/>
      <c r="AW401" s="14"/>
      <c r="AX401" s="14"/>
      <c r="AY401" s="14"/>
      <c r="AZ401" s="14"/>
      <c r="BA401" s="14"/>
      <c r="BB401" s="14"/>
      <c r="BC401" s="14"/>
      <c r="BD401" s="14"/>
      <c r="BE401" s="14"/>
      <c r="BF401" s="14"/>
      <c r="BG401" s="14"/>
      <c r="BH401" s="14"/>
      <c r="BI401" s="14"/>
      <c r="BJ401" s="14"/>
      <c r="BK401" s="14"/>
      <c r="BL401" s="14"/>
      <c r="BM401" s="14"/>
      <c r="BN401" s="14"/>
    </row>
    <row r="402" ht="22.5" hidden="1" customHeight="1">
      <c r="A402" s="349" t="s">
        <v>803</v>
      </c>
      <c r="B402" s="350"/>
      <c r="C402" s="351" t="s">
        <v>941</v>
      </c>
      <c r="D402" s="379">
        <v>3035.0</v>
      </c>
      <c r="E402" s="353" t="s">
        <v>29</v>
      </c>
      <c r="F402" s="354" t="s">
        <v>72</v>
      </c>
      <c r="G402" s="355" t="s">
        <v>138</v>
      </c>
      <c r="H402" s="356" t="s">
        <v>31</v>
      </c>
      <c r="I402" s="356" t="s">
        <v>132</v>
      </c>
      <c r="J402" s="357">
        <v>20000.0</v>
      </c>
      <c r="K402" s="358">
        <v>1113.0</v>
      </c>
      <c r="L402" s="359">
        <v>46185.0</v>
      </c>
      <c r="M402" s="359">
        <v>46188.0</v>
      </c>
      <c r="N402" s="360"/>
      <c r="O402" s="361" t="s">
        <v>70</v>
      </c>
      <c r="P402" s="362"/>
      <c r="Q402" s="387"/>
      <c r="R402" s="387"/>
      <c r="S402" s="381" t="s">
        <v>36</v>
      </c>
      <c r="T402" s="381" t="s">
        <v>36</v>
      </c>
      <c r="U402" s="374" t="s">
        <v>37</v>
      </c>
      <c r="V402" s="430"/>
      <c r="W402" s="382"/>
      <c r="X402" s="366"/>
      <c r="Y402" s="366"/>
      <c r="Z402" s="367">
        <f t="shared" si="18"/>
        <v>8</v>
      </c>
      <c r="AA402" s="367"/>
      <c r="AB402" s="13"/>
      <c r="AC402" s="13"/>
      <c r="AD402" s="13"/>
      <c r="AE402" s="13"/>
      <c r="AF402" s="13"/>
      <c r="AG402" s="13"/>
      <c r="AH402" s="13"/>
      <c r="AI402" s="13"/>
      <c r="AJ402" s="13"/>
      <c r="AK402" s="13"/>
      <c r="AL402" s="13"/>
      <c r="AM402" s="14"/>
      <c r="AN402" s="14"/>
      <c r="AO402" s="14"/>
      <c r="AP402" s="14"/>
      <c r="AQ402" s="14"/>
      <c r="AR402" s="14"/>
      <c r="AS402" s="14"/>
      <c r="AT402" s="14"/>
      <c r="AU402" s="14"/>
      <c r="AV402" s="14"/>
      <c r="AW402" s="14"/>
      <c r="AX402" s="14"/>
      <c r="AY402" s="14"/>
      <c r="AZ402" s="14"/>
      <c r="BA402" s="14"/>
      <c r="BB402" s="14"/>
      <c r="BC402" s="14"/>
      <c r="BD402" s="14"/>
      <c r="BE402" s="14"/>
      <c r="BF402" s="14"/>
      <c r="BG402" s="14"/>
      <c r="BH402" s="14"/>
      <c r="BI402" s="14"/>
      <c r="BJ402" s="14"/>
      <c r="BK402" s="14"/>
      <c r="BL402" s="14"/>
      <c r="BM402" s="14"/>
      <c r="BN402" s="14"/>
    </row>
    <row r="403" ht="22.5" hidden="1" customHeight="1">
      <c r="A403" s="349" t="s">
        <v>653</v>
      </c>
      <c r="B403" s="350"/>
      <c r="C403" s="351" t="s">
        <v>942</v>
      </c>
      <c r="D403" s="352">
        <v>3044.0</v>
      </c>
      <c r="E403" s="353" t="s">
        <v>95</v>
      </c>
      <c r="F403" s="354" t="s">
        <v>72</v>
      </c>
      <c r="G403" s="434"/>
      <c r="H403" s="356" t="s">
        <v>31</v>
      </c>
      <c r="I403" s="356" t="s">
        <v>98</v>
      </c>
      <c r="J403" s="357">
        <v>20000.0</v>
      </c>
      <c r="K403" s="358">
        <v>1898.0</v>
      </c>
      <c r="L403" s="359">
        <v>46184.0</v>
      </c>
      <c r="M403" s="359">
        <v>46188.0</v>
      </c>
      <c r="N403" s="360"/>
      <c r="O403" s="361" t="s">
        <v>99</v>
      </c>
      <c r="P403" s="362"/>
      <c r="Q403" s="353" t="s">
        <v>35</v>
      </c>
      <c r="R403" s="353" t="s">
        <v>133</v>
      </c>
      <c r="S403" s="361" t="s">
        <v>36</v>
      </c>
      <c r="T403" s="361" t="s">
        <v>36</v>
      </c>
      <c r="U403" s="363" t="s">
        <v>37</v>
      </c>
      <c r="V403" s="430"/>
      <c r="W403" s="357" t="s">
        <v>931</v>
      </c>
      <c r="X403" s="366"/>
      <c r="Y403" s="366"/>
      <c r="Z403" s="367"/>
      <c r="AA403" s="367"/>
      <c r="AB403" s="13"/>
      <c r="AC403" s="13"/>
      <c r="AD403" s="13"/>
      <c r="AE403" s="13"/>
      <c r="AF403" s="13"/>
      <c r="AG403" s="13"/>
      <c r="AH403" s="13"/>
      <c r="AI403" s="13"/>
      <c r="AJ403" s="13"/>
      <c r="AK403" s="13"/>
      <c r="AL403" s="13"/>
      <c r="AM403" s="14"/>
      <c r="AN403" s="14"/>
      <c r="AO403" s="14"/>
      <c r="AP403" s="14"/>
      <c r="AQ403" s="14"/>
      <c r="AR403" s="14"/>
      <c r="AS403" s="14"/>
      <c r="AT403" s="14"/>
      <c r="AU403" s="14"/>
      <c r="AV403" s="14"/>
      <c r="AW403" s="14"/>
      <c r="AX403" s="14"/>
      <c r="AY403" s="14"/>
      <c r="AZ403" s="14"/>
      <c r="BA403" s="14"/>
      <c r="BB403" s="14"/>
      <c r="BC403" s="14"/>
      <c r="BD403" s="14"/>
      <c r="BE403" s="14"/>
      <c r="BF403" s="14"/>
      <c r="BG403" s="14"/>
      <c r="BH403" s="14"/>
      <c r="BI403" s="14"/>
      <c r="BJ403" s="14"/>
      <c r="BK403" s="14"/>
      <c r="BL403" s="14"/>
      <c r="BM403" s="14"/>
      <c r="BN403" s="14"/>
    </row>
    <row r="404" ht="22.5" hidden="1" customHeight="1">
      <c r="A404" s="349" t="s">
        <v>943</v>
      </c>
      <c r="B404" s="350"/>
      <c r="C404" s="351" t="s">
        <v>745</v>
      </c>
      <c r="D404" s="352">
        <v>3045.0</v>
      </c>
      <c r="E404" s="353" t="s">
        <v>95</v>
      </c>
      <c r="F404" s="354" t="s">
        <v>72</v>
      </c>
      <c r="G404" s="355" t="s">
        <v>501</v>
      </c>
      <c r="H404" s="356" t="s">
        <v>31</v>
      </c>
      <c r="I404" s="356" t="s">
        <v>98</v>
      </c>
      <c r="J404" s="357">
        <v>10000.0</v>
      </c>
      <c r="K404" s="358">
        <v>778.0</v>
      </c>
      <c r="L404" s="359">
        <v>46187.0</v>
      </c>
      <c r="M404" s="359">
        <v>46189.0</v>
      </c>
      <c r="N404" s="360"/>
      <c r="O404" s="361" t="s">
        <v>661</v>
      </c>
      <c r="P404" s="362"/>
      <c r="Q404" s="388" t="s">
        <v>35</v>
      </c>
      <c r="R404" s="388" t="s">
        <v>133</v>
      </c>
      <c r="S404" s="381" t="s">
        <v>36</v>
      </c>
      <c r="T404" s="381" t="s">
        <v>36</v>
      </c>
      <c r="U404" s="374" t="s">
        <v>37</v>
      </c>
      <c r="V404" s="430"/>
      <c r="W404" s="382"/>
      <c r="X404" s="366"/>
      <c r="Y404" s="366"/>
      <c r="Z404" s="367"/>
      <c r="AA404" s="367"/>
      <c r="AB404" s="13"/>
      <c r="AC404" s="13"/>
      <c r="AD404" s="13"/>
      <c r="AE404" s="13"/>
      <c r="AF404" s="13"/>
      <c r="AG404" s="13"/>
      <c r="AH404" s="13"/>
      <c r="AI404" s="13"/>
      <c r="AJ404" s="13"/>
      <c r="AK404" s="13"/>
      <c r="AL404" s="13"/>
      <c r="AM404" s="14"/>
      <c r="AN404" s="14"/>
      <c r="AO404" s="14"/>
      <c r="AP404" s="14"/>
      <c r="AQ404" s="14"/>
      <c r="AR404" s="14"/>
      <c r="AS404" s="14"/>
      <c r="AT404" s="14"/>
      <c r="AU404" s="14"/>
      <c r="AV404" s="14"/>
      <c r="AW404" s="14"/>
      <c r="AX404" s="14"/>
      <c r="AY404" s="14"/>
      <c r="AZ404" s="14"/>
      <c r="BA404" s="14"/>
      <c r="BB404" s="14"/>
      <c r="BC404" s="14"/>
      <c r="BD404" s="14"/>
      <c r="BE404" s="14"/>
      <c r="BF404" s="14"/>
      <c r="BG404" s="14"/>
      <c r="BH404" s="14"/>
      <c r="BI404" s="14"/>
      <c r="BJ404" s="14"/>
      <c r="BK404" s="14"/>
      <c r="BL404" s="14"/>
      <c r="BM404" s="14"/>
      <c r="BN404" s="14"/>
    </row>
    <row r="405" ht="22.5" hidden="1" customHeight="1">
      <c r="A405" s="349" t="s">
        <v>803</v>
      </c>
      <c r="B405" s="350"/>
      <c r="C405" s="351" t="s">
        <v>944</v>
      </c>
      <c r="D405" s="352">
        <v>3049.0</v>
      </c>
      <c r="E405" s="353" t="s">
        <v>29</v>
      </c>
      <c r="F405" s="354" t="s">
        <v>30</v>
      </c>
      <c r="G405" s="355" t="s">
        <v>138</v>
      </c>
      <c r="H405" s="356" t="s">
        <v>52</v>
      </c>
      <c r="I405" s="356" t="s">
        <v>274</v>
      </c>
      <c r="J405" s="357">
        <v>5000.0</v>
      </c>
      <c r="K405" s="358">
        <v>626.0</v>
      </c>
      <c r="L405" s="359">
        <v>46188.0</v>
      </c>
      <c r="M405" s="359">
        <v>46188.0</v>
      </c>
      <c r="N405" s="360"/>
      <c r="O405" s="361" t="s">
        <v>34</v>
      </c>
      <c r="P405" s="362"/>
      <c r="Q405" s="388" t="s">
        <v>35</v>
      </c>
      <c r="R405" s="388" t="s">
        <v>133</v>
      </c>
      <c r="S405" s="381" t="s">
        <v>35</v>
      </c>
      <c r="T405" s="381" t="s">
        <v>36</v>
      </c>
      <c r="U405" s="374" t="s">
        <v>37</v>
      </c>
      <c r="V405" s="430"/>
      <c r="W405" s="382"/>
      <c r="X405" s="366"/>
      <c r="Y405" s="365">
        <v>1.0</v>
      </c>
      <c r="Z405" s="367">
        <f t="shared" ref="Z405:Z406" si="19">J405/2500</f>
        <v>2</v>
      </c>
      <c r="AA405" s="380" t="s">
        <v>945</v>
      </c>
      <c r="AB405" s="13"/>
      <c r="AC405" s="13"/>
      <c r="AD405" s="13"/>
      <c r="AE405" s="13"/>
      <c r="AF405" s="13"/>
      <c r="AG405" s="13"/>
      <c r="AH405" s="13"/>
      <c r="AI405" s="13"/>
      <c r="AJ405" s="13"/>
      <c r="AK405" s="13"/>
      <c r="AL405" s="13"/>
      <c r="AM405" s="14"/>
      <c r="AN405" s="14"/>
      <c r="AO405" s="14"/>
      <c r="AP405" s="14"/>
      <c r="AQ405" s="14"/>
      <c r="AR405" s="14"/>
      <c r="AS405" s="14"/>
      <c r="AT405" s="14"/>
      <c r="AU405" s="14"/>
      <c r="AV405" s="14"/>
      <c r="AW405" s="14"/>
      <c r="AX405" s="14"/>
      <c r="AY405" s="14"/>
      <c r="AZ405" s="14"/>
      <c r="BA405" s="14"/>
      <c r="BB405" s="14"/>
      <c r="BC405" s="14"/>
      <c r="BD405" s="14"/>
      <c r="BE405" s="14"/>
      <c r="BF405" s="14"/>
      <c r="BG405" s="14"/>
      <c r="BH405" s="14"/>
      <c r="BI405" s="14"/>
      <c r="BJ405" s="14"/>
      <c r="BK405" s="14"/>
      <c r="BL405" s="14"/>
      <c r="BM405" s="14"/>
      <c r="BN405" s="14"/>
    </row>
    <row r="406" ht="22.5" hidden="1" customHeight="1">
      <c r="A406" s="349" t="s">
        <v>803</v>
      </c>
      <c r="B406" s="350"/>
      <c r="C406" s="351" t="s">
        <v>946</v>
      </c>
      <c r="D406" s="352">
        <v>3050.0</v>
      </c>
      <c r="E406" s="353" t="s">
        <v>29</v>
      </c>
      <c r="F406" s="354" t="s">
        <v>30</v>
      </c>
      <c r="G406" s="355" t="s">
        <v>131</v>
      </c>
      <c r="H406" s="356" t="s">
        <v>52</v>
      </c>
      <c r="I406" s="356" t="s">
        <v>274</v>
      </c>
      <c r="J406" s="357">
        <v>5000.0</v>
      </c>
      <c r="K406" s="358">
        <v>275.0</v>
      </c>
      <c r="L406" s="359">
        <v>46188.0</v>
      </c>
      <c r="M406" s="359">
        <v>46188.0</v>
      </c>
      <c r="N406" s="360"/>
      <c r="O406" s="361" t="s">
        <v>34</v>
      </c>
      <c r="P406" s="362"/>
      <c r="Q406" s="388" t="s">
        <v>35</v>
      </c>
      <c r="R406" s="388" t="s">
        <v>133</v>
      </c>
      <c r="S406" s="381" t="s">
        <v>35</v>
      </c>
      <c r="T406" s="381" t="s">
        <v>36</v>
      </c>
      <c r="U406" s="374" t="s">
        <v>37</v>
      </c>
      <c r="V406" s="430"/>
      <c r="W406" s="382"/>
      <c r="X406" s="366"/>
      <c r="Y406" s="365">
        <v>1.0</v>
      </c>
      <c r="Z406" s="367">
        <f t="shared" si="19"/>
        <v>2</v>
      </c>
      <c r="AA406" s="380" t="s">
        <v>945</v>
      </c>
      <c r="AB406" s="13"/>
      <c r="AC406" s="13"/>
      <c r="AD406" s="13"/>
      <c r="AE406" s="13"/>
      <c r="AF406" s="13"/>
      <c r="AG406" s="13"/>
      <c r="AH406" s="13"/>
      <c r="AI406" s="13"/>
      <c r="AJ406" s="13"/>
      <c r="AK406" s="13"/>
      <c r="AL406" s="13"/>
      <c r="AM406" s="14"/>
      <c r="AN406" s="14"/>
      <c r="AO406" s="14"/>
      <c r="AP406" s="14"/>
      <c r="AQ406" s="14"/>
      <c r="AR406" s="14"/>
      <c r="AS406" s="14"/>
      <c r="AT406" s="14"/>
      <c r="AU406" s="14"/>
      <c r="AV406" s="14"/>
      <c r="AW406" s="14"/>
      <c r="AX406" s="14"/>
      <c r="AY406" s="14"/>
      <c r="AZ406" s="14"/>
      <c r="BA406" s="14"/>
      <c r="BB406" s="14"/>
      <c r="BC406" s="14"/>
      <c r="BD406" s="14"/>
      <c r="BE406" s="14"/>
      <c r="BF406" s="14"/>
      <c r="BG406" s="14"/>
      <c r="BH406" s="14"/>
      <c r="BI406" s="14"/>
      <c r="BJ406" s="14"/>
      <c r="BK406" s="14"/>
      <c r="BL406" s="14"/>
      <c r="BM406" s="14"/>
      <c r="BN406" s="14"/>
    </row>
    <row r="407" ht="22.5" hidden="1" customHeight="1">
      <c r="A407" s="349" t="s">
        <v>943</v>
      </c>
      <c r="B407" s="350"/>
      <c r="C407" s="351" t="s">
        <v>947</v>
      </c>
      <c r="D407" s="435">
        <v>3069.0</v>
      </c>
      <c r="E407" s="353" t="s">
        <v>95</v>
      </c>
      <c r="F407" s="354" t="s">
        <v>72</v>
      </c>
      <c r="G407" s="355" t="s">
        <v>722</v>
      </c>
      <c r="H407" s="356" t="s">
        <v>31</v>
      </c>
      <c r="I407" s="394"/>
      <c r="J407" s="357">
        <v>50000.0</v>
      </c>
      <c r="K407" s="358">
        <v>2645.0</v>
      </c>
      <c r="L407" s="359">
        <v>46187.0</v>
      </c>
      <c r="M407" s="359">
        <v>46189.0</v>
      </c>
      <c r="N407" s="360"/>
      <c r="O407" s="361" t="s">
        <v>338</v>
      </c>
      <c r="P407" s="362"/>
      <c r="Q407" s="388" t="s">
        <v>35</v>
      </c>
      <c r="R407" s="388" t="s">
        <v>133</v>
      </c>
      <c r="S407" s="381" t="s">
        <v>36</v>
      </c>
      <c r="T407" s="381" t="s">
        <v>36</v>
      </c>
      <c r="U407" s="374" t="s">
        <v>37</v>
      </c>
      <c r="V407" s="375">
        <v>46190.0</v>
      </c>
      <c r="W407" s="382"/>
      <c r="X407" s="366"/>
      <c r="Y407" s="366"/>
      <c r="Z407" s="367"/>
      <c r="AA407" s="367"/>
      <c r="AB407" s="13"/>
      <c r="AC407" s="13"/>
      <c r="AD407" s="13"/>
      <c r="AE407" s="13"/>
      <c r="AF407" s="13"/>
      <c r="AG407" s="13"/>
      <c r="AH407" s="13"/>
      <c r="AI407" s="13"/>
      <c r="AJ407" s="13"/>
      <c r="AK407" s="13"/>
      <c r="AL407" s="13"/>
      <c r="AM407" s="14"/>
      <c r="AN407" s="14"/>
      <c r="AO407" s="14"/>
      <c r="AP407" s="14"/>
      <c r="AQ407" s="14"/>
      <c r="AR407" s="14"/>
      <c r="AS407" s="14"/>
      <c r="AT407" s="14"/>
      <c r="AU407" s="14"/>
      <c r="AV407" s="14"/>
      <c r="AW407" s="14"/>
      <c r="AX407" s="14"/>
      <c r="AY407" s="14"/>
      <c r="AZ407" s="14"/>
      <c r="BA407" s="14"/>
      <c r="BB407" s="14"/>
      <c r="BC407" s="14"/>
      <c r="BD407" s="14"/>
      <c r="BE407" s="14"/>
      <c r="BF407" s="14"/>
      <c r="BG407" s="14"/>
      <c r="BH407" s="14"/>
      <c r="BI407" s="14"/>
      <c r="BJ407" s="14"/>
      <c r="BK407" s="14"/>
      <c r="BL407" s="14"/>
      <c r="BM407" s="14"/>
      <c r="BN407" s="14"/>
    </row>
    <row r="408" ht="22.5" hidden="1" customHeight="1">
      <c r="A408" s="349" t="s">
        <v>948</v>
      </c>
      <c r="B408" s="350"/>
      <c r="C408" s="433" t="s">
        <v>949</v>
      </c>
      <c r="D408" s="379">
        <v>3083.0</v>
      </c>
      <c r="E408" s="353" t="s">
        <v>164</v>
      </c>
      <c r="F408" s="354" t="s">
        <v>30</v>
      </c>
      <c r="G408" s="355" t="s">
        <v>950</v>
      </c>
      <c r="H408" s="356" t="s">
        <v>31</v>
      </c>
      <c r="I408" s="356" t="s">
        <v>261</v>
      </c>
      <c r="J408" s="357" t="s">
        <v>84</v>
      </c>
      <c r="K408" s="358">
        <v>3886.0</v>
      </c>
      <c r="L408" s="359">
        <v>46188.0</v>
      </c>
      <c r="M408" s="359">
        <v>46192.0</v>
      </c>
      <c r="N408" s="360"/>
      <c r="O408" s="361" t="s">
        <v>99</v>
      </c>
      <c r="P408" s="362"/>
      <c r="Q408" s="388" t="s">
        <v>35</v>
      </c>
      <c r="R408" s="388" t="s">
        <v>133</v>
      </c>
      <c r="S408" s="381" t="s">
        <v>36</v>
      </c>
      <c r="T408" s="381" t="s">
        <v>36</v>
      </c>
      <c r="U408" s="374" t="s">
        <v>37</v>
      </c>
      <c r="V408" s="430"/>
      <c r="W408" s="382"/>
      <c r="X408" s="436" t="s">
        <v>951</v>
      </c>
      <c r="Y408" s="365" t="s">
        <v>516</v>
      </c>
      <c r="Z408" s="380" t="s">
        <v>516</v>
      </c>
      <c r="AA408" s="367"/>
      <c r="AB408" s="13"/>
      <c r="AC408" s="13"/>
      <c r="AD408" s="13"/>
      <c r="AE408" s="13"/>
      <c r="AF408" s="13"/>
      <c r="AG408" s="13"/>
      <c r="AH408" s="13"/>
      <c r="AI408" s="13"/>
      <c r="AJ408" s="13"/>
      <c r="AK408" s="13"/>
      <c r="AL408" s="13"/>
      <c r="AM408" s="14"/>
      <c r="AN408" s="14"/>
      <c r="AO408" s="14"/>
      <c r="AP408" s="14"/>
      <c r="AQ408" s="14"/>
      <c r="AR408" s="14"/>
      <c r="AS408" s="14"/>
      <c r="AT408" s="14"/>
      <c r="AU408" s="14"/>
      <c r="AV408" s="14"/>
      <c r="AW408" s="14"/>
      <c r="AX408" s="14"/>
      <c r="AY408" s="14"/>
      <c r="AZ408" s="14"/>
      <c r="BA408" s="14"/>
      <c r="BB408" s="14"/>
      <c r="BC408" s="14"/>
      <c r="BD408" s="14"/>
      <c r="BE408" s="14"/>
      <c r="BF408" s="14"/>
      <c r="BG408" s="14"/>
      <c r="BH408" s="14"/>
      <c r="BI408" s="14"/>
      <c r="BJ408" s="14"/>
      <c r="BK408" s="14"/>
      <c r="BL408" s="14"/>
      <c r="BM408" s="14"/>
      <c r="BN408" s="14"/>
    </row>
    <row r="409" ht="22.5" hidden="1" customHeight="1">
      <c r="A409" s="349" t="s">
        <v>948</v>
      </c>
      <c r="B409" s="350"/>
      <c r="C409" s="433" t="s">
        <v>952</v>
      </c>
      <c r="D409" s="379">
        <v>3084.0</v>
      </c>
      <c r="E409" s="353" t="s">
        <v>164</v>
      </c>
      <c r="F409" s="354" t="s">
        <v>30</v>
      </c>
      <c r="G409" s="355" t="s">
        <v>950</v>
      </c>
      <c r="H409" s="356" t="s">
        <v>31</v>
      </c>
      <c r="I409" s="356" t="s">
        <v>261</v>
      </c>
      <c r="J409" s="357" t="s">
        <v>84</v>
      </c>
      <c r="K409" s="358">
        <v>3886.0</v>
      </c>
      <c r="L409" s="359">
        <v>46188.0</v>
      </c>
      <c r="M409" s="359">
        <v>46192.0</v>
      </c>
      <c r="N409" s="360"/>
      <c r="O409" s="361" t="s">
        <v>99</v>
      </c>
      <c r="P409" s="362"/>
      <c r="Q409" s="388" t="s">
        <v>35</v>
      </c>
      <c r="R409" s="388" t="s">
        <v>133</v>
      </c>
      <c r="S409" s="381" t="s">
        <v>36</v>
      </c>
      <c r="T409" s="381" t="s">
        <v>36</v>
      </c>
      <c r="U409" s="374" t="s">
        <v>37</v>
      </c>
      <c r="V409" s="430"/>
      <c r="W409" s="382"/>
      <c r="X409" s="436" t="s">
        <v>951</v>
      </c>
      <c r="Y409" s="365" t="s">
        <v>516</v>
      </c>
      <c r="Z409" s="380" t="s">
        <v>516</v>
      </c>
      <c r="AA409" s="367"/>
      <c r="AB409" s="13"/>
      <c r="AC409" s="13"/>
      <c r="AD409" s="13"/>
      <c r="AE409" s="13"/>
      <c r="AF409" s="13"/>
      <c r="AG409" s="13"/>
      <c r="AH409" s="13"/>
      <c r="AI409" s="13"/>
      <c r="AJ409" s="13"/>
      <c r="AK409" s="13"/>
      <c r="AL409" s="13"/>
      <c r="AM409" s="14"/>
      <c r="AN409" s="14"/>
      <c r="AO409" s="14"/>
      <c r="AP409" s="14"/>
      <c r="AQ409" s="14"/>
      <c r="AR409" s="14"/>
      <c r="AS409" s="14"/>
      <c r="AT409" s="14"/>
      <c r="AU409" s="14"/>
      <c r="AV409" s="14"/>
      <c r="AW409" s="14"/>
      <c r="AX409" s="14"/>
      <c r="AY409" s="14"/>
      <c r="AZ409" s="14"/>
      <c r="BA409" s="14"/>
      <c r="BB409" s="14"/>
      <c r="BC409" s="14"/>
      <c r="BD409" s="14"/>
      <c r="BE409" s="14"/>
      <c r="BF409" s="14"/>
      <c r="BG409" s="14"/>
      <c r="BH409" s="14"/>
      <c r="BI409" s="14"/>
      <c r="BJ409" s="14"/>
      <c r="BK409" s="14"/>
      <c r="BL409" s="14"/>
      <c r="BM409" s="14"/>
      <c r="BN409" s="14"/>
    </row>
    <row r="410" ht="22.5" hidden="1" customHeight="1">
      <c r="A410" s="349" t="s">
        <v>948</v>
      </c>
      <c r="B410" s="350"/>
      <c r="C410" s="433" t="s">
        <v>953</v>
      </c>
      <c r="D410" s="379">
        <v>3085.0</v>
      </c>
      <c r="E410" s="353" t="s">
        <v>164</v>
      </c>
      <c r="F410" s="354" t="s">
        <v>30</v>
      </c>
      <c r="G410" s="355" t="s">
        <v>950</v>
      </c>
      <c r="H410" s="356" t="s">
        <v>31</v>
      </c>
      <c r="I410" s="356" t="s">
        <v>261</v>
      </c>
      <c r="J410" s="357" t="s">
        <v>84</v>
      </c>
      <c r="K410" s="358">
        <v>3886.0</v>
      </c>
      <c r="L410" s="359">
        <v>46188.0</v>
      </c>
      <c r="M410" s="359">
        <v>46192.0</v>
      </c>
      <c r="N410" s="360"/>
      <c r="O410" s="361" t="s">
        <v>99</v>
      </c>
      <c r="P410" s="362"/>
      <c r="Q410" s="388" t="s">
        <v>35</v>
      </c>
      <c r="R410" s="388" t="s">
        <v>133</v>
      </c>
      <c r="S410" s="381" t="s">
        <v>36</v>
      </c>
      <c r="T410" s="381" t="s">
        <v>36</v>
      </c>
      <c r="U410" s="374" t="s">
        <v>37</v>
      </c>
      <c r="V410" s="430"/>
      <c r="W410" s="382"/>
      <c r="X410" s="436" t="s">
        <v>951</v>
      </c>
      <c r="Y410" s="365" t="s">
        <v>516</v>
      </c>
      <c r="Z410" s="380" t="s">
        <v>516</v>
      </c>
      <c r="AA410" s="367"/>
      <c r="AB410" s="13"/>
      <c r="AC410" s="13"/>
      <c r="AD410" s="13"/>
      <c r="AE410" s="13"/>
      <c r="AF410" s="13"/>
      <c r="AG410" s="13"/>
      <c r="AH410" s="13"/>
      <c r="AI410" s="13"/>
      <c r="AJ410" s="13"/>
      <c r="AK410" s="13"/>
      <c r="AL410" s="13"/>
      <c r="AM410" s="14"/>
      <c r="AN410" s="14"/>
      <c r="AO410" s="14"/>
      <c r="AP410" s="14"/>
      <c r="AQ410" s="14"/>
      <c r="AR410" s="14"/>
      <c r="AS410" s="14"/>
      <c r="AT410" s="14"/>
      <c r="AU410" s="14"/>
      <c r="AV410" s="14"/>
      <c r="AW410" s="14"/>
      <c r="AX410" s="14"/>
      <c r="AY410" s="14"/>
      <c r="AZ410" s="14"/>
      <c r="BA410" s="14"/>
      <c r="BB410" s="14"/>
      <c r="BC410" s="14"/>
      <c r="BD410" s="14"/>
      <c r="BE410" s="14"/>
      <c r="BF410" s="14"/>
      <c r="BG410" s="14"/>
      <c r="BH410" s="14"/>
      <c r="BI410" s="14"/>
      <c r="BJ410" s="14"/>
      <c r="BK410" s="14"/>
      <c r="BL410" s="14"/>
      <c r="BM410" s="14"/>
      <c r="BN410" s="14"/>
    </row>
    <row r="411" ht="22.5" hidden="1" customHeight="1">
      <c r="A411" s="349" t="s">
        <v>948</v>
      </c>
      <c r="B411" s="350"/>
      <c r="C411" s="433" t="s">
        <v>954</v>
      </c>
      <c r="D411" s="379">
        <v>3086.0</v>
      </c>
      <c r="E411" s="353" t="s">
        <v>164</v>
      </c>
      <c r="F411" s="354" t="s">
        <v>30</v>
      </c>
      <c r="G411" s="355" t="s">
        <v>950</v>
      </c>
      <c r="H411" s="356" t="s">
        <v>31</v>
      </c>
      <c r="I411" s="356" t="s">
        <v>261</v>
      </c>
      <c r="J411" s="357" t="s">
        <v>84</v>
      </c>
      <c r="K411" s="358">
        <v>3886.0</v>
      </c>
      <c r="L411" s="359">
        <v>46188.0</v>
      </c>
      <c r="M411" s="359">
        <v>46192.0</v>
      </c>
      <c r="N411" s="360"/>
      <c r="O411" s="361" t="s">
        <v>99</v>
      </c>
      <c r="P411" s="362"/>
      <c r="Q411" s="388" t="s">
        <v>35</v>
      </c>
      <c r="R411" s="388" t="s">
        <v>133</v>
      </c>
      <c r="S411" s="381" t="s">
        <v>36</v>
      </c>
      <c r="T411" s="381" t="s">
        <v>36</v>
      </c>
      <c r="U411" s="374" t="s">
        <v>37</v>
      </c>
      <c r="V411" s="430"/>
      <c r="W411" s="382"/>
      <c r="X411" s="436" t="s">
        <v>951</v>
      </c>
      <c r="Y411" s="365" t="s">
        <v>516</v>
      </c>
      <c r="Z411" s="380" t="s">
        <v>516</v>
      </c>
      <c r="AA411" s="367"/>
      <c r="AB411" s="13"/>
      <c r="AC411" s="13"/>
      <c r="AD411" s="13"/>
      <c r="AE411" s="13"/>
      <c r="AF411" s="13"/>
      <c r="AG411" s="13"/>
      <c r="AH411" s="13"/>
      <c r="AI411" s="13"/>
      <c r="AJ411" s="13"/>
      <c r="AK411" s="13"/>
      <c r="AL411" s="13"/>
      <c r="AM411" s="14"/>
      <c r="AN411" s="14"/>
      <c r="AO411" s="14"/>
      <c r="AP411" s="14"/>
      <c r="AQ411" s="14"/>
      <c r="AR411" s="14"/>
      <c r="AS411" s="14"/>
      <c r="AT411" s="14"/>
      <c r="AU411" s="14"/>
      <c r="AV411" s="14"/>
      <c r="AW411" s="14"/>
      <c r="AX411" s="14"/>
      <c r="AY411" s="14"/>
      <c r="AZ411" s="14"/>
      <c r="BA411" s="14"/>
      <c r="BB411" s="14"/>
      <c r="BC411" s="14"/>
      <c r="BD411" s="14"/>
      <c r="BE411" s="14"/>
      <c r="BF411" s="14"/>
      <c r="BG411" s="14"/>
      <c r="BH411" s="14"/>
      <c r="BI411" s="14"/>
      <c r="BJ411" s="14"/>
      <c r="BK411" s="14"/>
      <c r="BL411" s="14"/>
      <c r="BM411" s="14"/>
      <c r="BN411" s="14"/>
    </row>
    <row r="412" ht="22.5" hidden="1" customHeight="1">
      <c r="A412" s="349" t="s">
        <v>803</v>
      </c>
      <c r="B412" s="350"/>
      <c r="C412" s="351" t="s">
        <v>946</v>
      </c>
      <c r="D412" s="379">
        <v>3088.0</v>
      </c>
      <c r="E412" s="353" t="s">
        <v>29</v>
      </c>
      <c r="F412" s="354" t="s">
        <v>30</v>
      </c>
      <c r="G412" s="355" t="s">
        <v>131</v>
      </c>
      <c r="H412" s="356" t="s">
        <v>31</v>
      </c>
      <c r="I412" s="356" t="s">
        <v>132</v>
      </c>
      <c r="J412" s="357">
        <v>30000.0</v>
      </c>
      <c r="K412" s="358">
        <v>1577.0</v>
      </c>
      <c r="L412" s="359">
        <v>46182.0</v>
      </c>
      <c r="M412" s="359">
        <v>46188.0</v>
      </c>
      <c r="N412" s="360"/>
      <c r="O412" s="361" t="s">
        <v>34</v>
      </c>
      <c r="P412" s="362"/>
      <c r="Q412" s="387"/>
      <c r="R412" s="353" t="s">
        <v>133</v>
      </c>
      <c r="S412" s="361" t="s">
        <v>36</v>
      </c>
      <c r="T412" s="361" t="s">
        <v>36</v>
      </c>
      <c r="U412" s="374" t="s">
        <v>37</v>
      </c>
      <c r="V412" s="357">
        <v>1.0</v>
      </c>
      <c r="W412" s="395"/>
      <c r="X412" s="366"/>
      <c r="Y412" s="365">
        <v>3.0</v>
      </c>
      <c r="Z412" s="380">
        <v>12.0</v>
      </c>
      <c r="AA412" s="380" t="s">
        <v>928</v>
      </c>
      <c r="AB412" s="13"/>
      <c r="AC412" s="13"/>
      <c r="AD412" s="13"/>
      <c r="AE412" s="13"/>
      <c r="AF412" s="13"/>
      <c r="AG412" s="13"/>
      <c r="AH412" s="13"/>
      <c r="AI412" s="13"/>
      <c r="AJ412" s="13"/>
      <c r="AK412" s="13"/>
      <c r="AL412" s="13"/>
      <c r="AM412" s="14"/>
      <c r="AN412" s="14"/>
      <c r="AO412" s="14"/>
      <c r="AP412" s="14"/>
      <c r="AQ412" s="14"/>
      <c r="AR412" s="14"/>
      <c r="AS412" s="14"/>
      <c r="AT412" s="14"/>
      <c r="AU412" s="14"/>
      <c r="AV412" s="14"/>
      <c r="AW412" s="14"/>
      <c r="AX412" s="14"/>
      <c r="AY412" s="14"/>
      <c r="AZ412" s="14"/>
      <c r="BA412" s="14"/>
      <c r="BB412" s="14"/>
      <c r="BC412" s="14"/>
      <c r="BD412" s="14"/>
      <c r="BE412" s="14"/>
      <c r="BF412" s="14"/>
      <c r="BG412" s="14"/>
      <c r="BH412" s="14"/>
      <c r="BI412" s="14"/>
      <c r="BJ412" s="14"/>
      <c r="BK412" s="14"/>
      <c r="BL412" s="14"/>
      <c r="BM412" s="14"/>
      <c r="BN412" s="14"/>
    </row>
    <row r="413" ht="22.5" hidden="1" customHeight="1">
      <c r="A413" s="349" t="s">
        <v>803</v>
      </c>
      <c r="B413" s="350"/>
      <c r="C413" s="351" t="s">
        <v>944</v>
      </c>
      <c r="D413" s="379">
        <v>3089.0</v>
      </c>
      <c r="E413" s="353" t="s">
        <v>29</v>
      </c>
      <c r="F413" s="354" t="s">
        <v>30</v>
      </c>
      <c r="G413" s="355" t="s">
        <v>138</v>
      </c>
      <c r="H413" s="356" t="s">
        <v>31</v>
      </c>
      <c r="I413" s="356" t="s">
        <v>132</v>
      </c>
      <c r="J413" s="357">
        <v>30000.0</v>
      </c>
      <c r="K413" s="358">
        <v>1437.0</v>
      </c>
      <c r="L413" s="359">
        <v>46185.0</v>
      </c>
      <c r="M413" s="359">
        <v>46188.0</v>
      </c>
      <c r="N413" s="360"/>
      <c r="O413" s="361" t="s">
        <v>70</v>
      </c>
      <c r="P413" s="362"/>
      <c r="Q413" s="388" t="s">
        <v>35</v>
      </c>
      <c r="R413" s="388" t="s">
        <v>133</v>
      </c>
      <c r="S413" s="381" t="s">
        <v>36</v>
      </c>
      <c r="T413" s="381" t="s">
        <v>36</v>
      </c>
      <c r="U413" s="374" t="s">
        <v>37</v>
      </c>
      <c r="V413" s="357">
        <v>2.0</v>
      </c>
      <c r="W413" s="382"/>
      <c r="X413" s="366"/>
      <c r="Y413" s="365">
        <v>3.0</v>
      </c>
      <c r="Z413" s="380">
        <v>12.0</v>
      </c>
      <c r="AA413" s="380" t="s">
        <v>928</v>
      </c>
      <c r="AB413" s="13"/>
      <c r="AC413" s="13"/>
      <c r="AD413" s="13"/>
      <c r="AE413" s="13"/>
      <c r="AF413" s="13"/>
      <c r="AG413" s="13"/>
      <c r="AH413" s="13"/>
      <c r="AI413" s="13"/>
      <c r="AJ413" s="13"/>
      <c r="AK413" s="13"/>
      <c r="AL413" s="13"/>
      <c r="AM413" s="14"/>
      <c r="AN413" s="14"/>
      <c r="AO413" s="14"/>
      <c r="AP413" s="14"/>
      <c r="AQ413" s="14"/>
      <c r="AR413" s="14"/>
      <c r="AS413" s="14"/>
      <c r="AT413" s="14"/>
      <c r="AU413" s="14"/>
      <c r="AV413" s="14"/>
      <c r="AW413" s="14"/>
      <c r="AX413" s="14"/>
      <c r="AY413" s="14"/>
      <c r="AZ413" s="14"/>
      <c r="BA413" s="14"/>
      <c r="BB413" s="14"/>
      <c r="BC413" s="14"/>
      <c r="BD413" s="14"/>
      <c r="BE413" s="14"/>
      <c r="BF413" s="14"/>
      <c r="BG413" s="14"/>
      <c r="BH413" s="14"/>
      <c r="BI413" s="14"/>
      <c r="BJ413" s="14"/>
      <c r="BK413" s="14"/>
      <c r="BL413" s="14"/>
      <c r="BM413" s="14"/>
      <c r="BN413" s="14"/>
    </row>
    <row r="414" ht="22.5" hidden="1" customHeight="1">
      <c r="A414" s="349" t="s">
        <v>803</v>
      </c>
      <c r="B414" s="350"/>
      <c r="C414" s="351" t="s">
        <v>955</v>
      </c>
      <c r="D414" s="379">
        <v>3090.0</v>
      </c>
      <c r="E414" s="353" t="s">
        <v>29</v>
      </c>
      <c r="F414" s="354" t="s">
        <v>30</v>
      </c>
      <c r="G414" s="355" t="s">
        <v>138</v>
      </c>
      <c r="H414" s="356" t="s">
        <v>31</v>
      </c>
      <c r="I414" s="356" t="s">
        <v>132</v>
      </c>
      <c r="J414" s="357">
        <v>50000.0</v>
      </c>
      <c r="K414" s="358">
        <v>2225.0</v>
      </c>
      <c r="L414" s="359">
        <v>46182.0</v>
      </c>
      <c r="M414" s="359">
        <v>46188.0</v>
      </c>
      <c r="N414" s="360"/>
      <c r="O414" s="361" t="s">
        <v>34</v>
      </c>
      <c r="P414" s="362"/>
      <c r="Q414" s="387"/>
      <c r="R414" s="387"/>
      <c r="S414" s="381" t="s">
        <v>35</v>
      </c>
      <c r="T414" s="381" t="s">
        <v>36</v>
      </c>
      <c r="U414" s="374" t="s">
        <v>37</v>
      </c>
      <c r="V414" s="357">
        <v>4.0</v>
      </c>
      <c r="W414" s="395" t="s">
        <v>956</v>
      </c>
      <c r="X414" s="366"/>
      <c r="Y414" s="366"/>
      <c r="Z414" s="367"/>
      <c r="AA414" s="367"/>
      <c r="AB414" s="13"/>
      <c r="AC414" s="13"/>
      <c r="AD414" s="13"/>
      <c r="AE414" s="13"/>
      <c r="AF414" s="13"/>
      <c r="AG414" s="13"/>
      <c r="AH414" s="13"/>
      <c r="AI414" s="13"/>
      <c r="AJ414" s="13"/>
      <c r="AK414" s="13"/>
      <c r="AL414" s="13"/>
      <c r="AM414" s="14"/>
      <c r="AN414" s="14"/>
      <c r="AO414" s="14"/>
      <c r="AP414" s="14"/>
      <c r="AQ414" s="14"/>
      <c r="AR414" s="14"/>
      <c r="AS414" s="14"/>
      <c r="AT414" s="14"/>
      <c r="AU414" s="14"/>
      <c r="AV414" s="14"/>
      <c r="AW414" s="14"/>
      <c r="AX414" s="14"/>
      <c r="AY414" s="14"/>
      <c r="AZ414" s="14"/>
      <c r="BA414" s="14"/>
      <c r="BB414" s="14"/>
      <c r="BC414" s="14"/>
      <c r="BD414" s="14"/>
      <c r="BE414" s="14"/>
      <c r="BF414" s="14"/>
      <c r="BG414" s="14"/>
      <c r="BH414" s="14"/>
      <c r="BI414" s="14"/>
      <c r="BJ414" s="14"/>
      <c r="BK414" s="14"/>
      <c r="BL414" s="14"/>
      <c r="BM414" s="14"/>
      <c r="BN414" s="14"/>
    </row>
    <row r="415" ht="22.5" hidden="1" customHeight="1">
      <c r="A415" s="349" t="s">
        <v>957</v>
      </c>
      <c r="B415" s="350"/>
      <c r="C415" s="351" t="s">
        <v>958</v>
      </c>
      <c r="D415" s="352" t="s">
        <v>959</v>
      </c>
      <c r="E415" s="353" t="s">
        <v>29</v>
      </c>
      <c r="F415" s="354" t="s">
        <v>68</v>
      </c>
      <c r="G415" s="355" t="s">
        <v>960</v>
      </c>
      <c r="H415" s="356" t="s">
        <v>31</v>
      </c>
      <c r="I415" s="356" t="s">
        <v>311</v>
      </c>
      <c r="J415" s="357">
        <v>35000.0</v>
      </c>
      <c r="K415" s="437" t="s">
        <v>961</v>
      </c>
      <c r="L415" s="359">
        <v>46182.0</v>
      </c>
      <c r="M415" s="359">
        <v>46188.0</v>
      </c>
      <c r="N415" s="360"/>
      <c r="O415" s="361" t="s">
        <v>54</v>
      </c>
      <c r="P415" s="362"/>
      <c r="Q415" s="387"/>
      <c r="R415" s="387"/>
      <c r="S415" s="381" t="s">
        <v>36</v>
      </c>
      <c r="T415" s="381" t="s">
        <v>36</v>
      </c>
      <c r="U415" s="374" t="s">
        <v>37</v>
      </c>
      <c r="V415" s="375"/>
      <c r="W415" s="382"/>
      <c r="X415" s="366"/>
      <c r="Y415" s="366"/>
      <c r="Z415" s="367"/>
      <c r="AA415" s="367"/>
      <c r="AB415" s="13"/>
      <c r="AC415" s="13"/>
      <c r="AD415" s="13"/>
      <c r="AE415" s="13"/>
      <c r="AF415" s="13"/>
      <c r="AG415" s="13"/>
      <c r="AH415" s="13"/>
      <c r="AI415" s="13"/>
      <c r="AJ415" s="13"/>
      <c r="AK415" s="13"/>
      <c r="AL415" s="13"/>
      <c r="AM415" s="14"/>
      <c r="AN415" s="14"/>
      <c r="AO415" s="14"/>
      <c r="AP415" s="14"/>
      <c r="AQ415" s="14"/>
      <c r="AR415" s="14"/>
      <c r="AS415" s="14"/>
      <c r="AT415" s="14"/>
      <c r="AU415" s="14"/>
      <c r="AV415" s="14"/>
      <c r="AW415" s="14"/>
      <c r="AX415" s="14"/>
      <c r="AY415" s="14"/>
      <c r="AZ415" s="14"/>
      <c r="BA415" s="14"/>
      <c r="BB415" s="14"/>
      <c r="BC415" s="14"/>
      <c r="BD415" s="14"/>
      <c r="BE415" s="14"/>
      <c r="BF415" s="14"/>
      <c r="BG415" s="14"/>
      <c r="BH415" s="14"/>
      <c r="BI415" s="14"/>
      <c r="BJ415" s="14"/>
      <c r="BK415" s="14"/>
      <c r="BL415" s="14"/>
      <c r="BM415" s="14"/>
      <c r="BN415" s="14"/>
    </row>
    <row r="416" ht="22.5" hidden="1" customHeight="1">
      <c r="A416" s="349" t="s">
        <v>861</v>
      </c>
      <c r="B416" s="350"/>
      <c r="C416" s="433" t="s">
        <v>962</v>
      </c>
      <c r="D416" s="379">
        <v>3100.0</v>
      </c>
      <c r="E416" s="353" t="s">
        <v>164</v>
      </c>
      <c r="F416" s="354" t="s">
        <v>30</v>
      </c>
      <c r="G416" s="355" t="s">
        <v>963</v>
      </c>
      <c r="H416" s="356" t="s">
        <v>31</v>
      </c>
      <c r="I416" s="356" t="s">
        <v>98</v>
      </c>
      <c r="J416" s="357">
        <v>6000.0</v>
      </c>
      <c r="K416" s="358">
        <v>639.0</v>
      </c>
      <c r="L416" s="359">
        <v>46184.0</v>
      </c>
      <c r="M416" s="359">
        <v>46192.0</v>
      </c>
      <c r="N416" s="360"/>
      <c r="O416" s="361" t="s">
        <v>99</v>
      </c>
      <c r="P416" s="362"/>
      <c r="Q416" s="388" t="s">
        <v>35</v>
      </c>
      <c r="R416" s="388" t="s">
        <v>133</v>
      </c>
      <c r="S416" s="381" t="s">
        <v>36</v>
      </c>
      <c r="T416" s="381" t="s">
        <v>35</v>
      </c>
      <c r="U416" s="374" t="s">
        <v>37</v>
      </c>
      <c r="V416" s="430"/>
      <c r="W416" s="395" t="s">
        <v>964</v>
      </c>
      <c r="X416" s="338" t="s">
        <v>399</v>
      </c>
      <c r="Y416" s="365" t="s">
        <v>516</v>
      </c>
      <c r="Z416" s="380" t="s">
        <v>814</v>
      </c>
      <c r="AA416" s="367"/>
      <c r="AB416" s="13"/>
      <c r="AC416" s="13"/>
      <c r="AD416" s="13"/>
      <c r="AE416" s="13"/>
      <c r="AF416" s="13"/>
      <c r="AG416" s="13"/>
      <c r="AH416" s="13"/>
      <c r="AI416" s="13"/>
      <c r="AJ416" s="13"/>
      <c r="AK416" s="13"/>
      <c r="AL416" s="13"/>
      <c r="AM416" s="14"/>
      <c r="AN416" s="14"/>
      <c r="AO416" s="14"/>
      <c r="AP416" s="14"/>
      <c r="AQ416" s="14"/>
      <c r="AR416" s="14"/>
      <c r="AS416" s="14"/>
      <c r="AT416" s="14"/>
      <c r="AU416" s="14"/>
      <c r="AV416" s="14"/>
      <c r="AW416" s="14"/>
      <c r="AX416" s="14"/>
      <c r="AY416" s="14"/>
      <c r="AZ416" s="14"/>
      <c r="BA416" s="14"/>
      <c r="BB416" s="14"/>
      <c r="BC416" s="14"/>
      <c r="BD416" s="14"/>
      <c r="BE416" s="14"/>
      <c r="BF416" s="14"/>
      <c r="BG416" s="14"/>
      <c r="BH416" s="14"/>
      <c r="BI416" s="14"/>
      <c r="BJ416" s="14"/>
      <c r="BK416" s="14"/>
      <c r="BL416" s="14"/>
      <c r="BM416" s="14"/>
      <c r="BN416" s="14"/>
    </row>
    <row r="417" ht="51.75" hidden="1" customHeight="1">
      <c r="A417" s="349" t="s">
        <v>868</v>
      </c>
      <c r="B417" s="350"/>
      <c r="C417" s="433" t="s">
        <v>962</v>
      </c>
      <c r="D417" s="379">
        <v>3100.0</v>
      </c>
      <c r="E417" s="353" t="s">
        <v>164</v>
      </c>
      <c r="F417" s="354" t="s">
        <v>30</v>
      </c>
      <c r="G417" s="355" t="s">
        <v>963</v>
      </c>
      <c r="H417" s="356" t="s">
        <v>31</v>
      </c>
      <c r="I417" s="356" t="s">
        <v>98</v>
      </c>
      <c r="J417" s="357">
        <v>2000.0</v>
      </c>
      <c r="K417" s="407"/>
      <c r="L417" s="359">
        <v>46184.0</v>
      </c>
      <c r="M417" s="359">
        <v>46192.0</v>
      </c>
      <c r="N417" s="360"/>
      <c r="O417" s="361" t="s">
        <v>99</v>
      </c>
      <c r="P417" s="362"/>
      <c r="Q417" s="388" t="s">
        <v>35</v>
      </c>
      <c r="R417" s="388" t="s">
        <v>133</v>
      </c>
      <c r="S417" s="381" t="s">
        <v>36</v>
      </c>
      <c r="T417" s="381" t="s">
        <v>35</v>
      </c>
      <c r="U417" s="374" t="s">
        <v>37</v>
      </c>
      <c r="V417" s="430"/>
      <c r="W417" s="395" t="s">
        <v>964</v>
      </c>
      <c r="X417" s="338" t="s">
        <v>399</v>
      </c>
      <c r="Y417" s="365" t="s">
        <v>516</v>
      </c>
      <c r="Z417" s="380" t="s">
        <v>814</v>
      </c>
      <c r="AA417" s="367"/>
      <c r="AB417" s="13"/>
      <c r="AC417" s="13"/>
      <c r="AD417" s="13"/>
      <c r="AE417" s="13"/>
      <c r="AF417" s="13"/>
      <c r="AG417" s="13"/>
      <c r="AH417" s="13"/>
      <c r="AI417" s="13"/>
      <c r="AJ417" s="13"/>
      <c r="AK417" s="13"/>
      <c r="AL417" s="13"/>
      <c r="AM417" s="14"/>
      <c r="AN417" s="14"/>
      <c r="AO417" s="14"/>
      <c r="AP417" s="14"/>
      <c r="AQ417" s="14"/>
      <c r="AR417" s="14"/>
      <c r="AS417" s="14"/>
      <c r="AT417" s="14"/>
      <c r="AU417" s="14"/>
      <c r="AV417" s="14"/>
      <c r="AW417" s="14"/>
      <c r="AX417" s="14"/>
      <c r="AY417" s="14"/>
      <c r="AZ417" s="14"/>
      <c r="BA417" s="14"/>
      <c r="BB417" s="14"/>
      <c r="BC417" s="14"/>
      <c r="BD417" s="14"/>
      <c r="BE417" s="14"/>
      <c r="BF417" s="14"/>
      <c r="BG417" s="14"/>
      <c r="BH417" s="14"/>
      <c r="BI417" s="14"/>
      <c r="BJ417" s="14"/>
      <c r="BK417" s="14"/>
      <c r="BL417" s="14"/>
      <c r="BM417" s="14"/>
      <c r="BN417" s="14"/>
    </row>
    <row r="418" ht="22.5" hidden="1" customHeight="1">
      <c r="A418" s="349" t="s">
        <v>938</v>
      </c>
      <c r="B418" s="350"/>
      <c r="C418" s="433" t="s">
        <v>962</v>
      </c>
      <c r="D418" s="379">
        <v>3100.0</v>
      </c>
      <c r="E418" s="353" t="s">
        <v>164</v>
      </c>
      <c r="F418" s="354" t="s">
        <v>30</v>
      </c>
      <c r="G418" s="355" t="s">
        <v>963</v>
      </c>
      <c r="H418" s="356" t="s">
        <v>31</v>
      </c>
      <c r="I418" s="356" t="s">
        <v>98</v>
      </c>
      <c r="J418" s="357">
        <v>2000.0</v>
      </c>
      <c r="K418" s="407"/>
      <c r="L418" s="359">
        <v>46184.0</v>
      </c>
      <c r="M418" s="359">
        <v>46192.0</v>
      </c>
      <c r="N418" s="360"/>
      <c r="O418" s="361" t="s">
        <v>99</v>
      </c>
      <c r="P418" s="362"/>
      <c r="Q418" s="388" t="s">
        <v>35</v>
      </c>
      <c r="R418" s="388" t="s">
        <v>133</v>
      </c>
      <c r="S418" s="381" t="s">
        <v>36</v>
      </c>
      <c r="T418" s="381" t="s">
        <v>35</v>
      </c>
      <c r="U418" s="374" t="s">
        <v>37</v>
      </c>
      <c r="V418" s="430"/>
      <c r="W418" s="395" t="s">
        <v>964</v>
      </c>
      <c r="X418" s="338" t="s">
        <v>399</v>
      </c>
      <c r="Y418" s="365" t="s">
        <v>516</v>
      </c>
      <c r="Z418" s="380" t="s">
        <v>814</v>
      </c>
      <c r="AA418" s="367"/>
      <c r="AB418" s="13"/>
      <c r="AC418" s="13"/>
      <c r="AD418" s="13"/>
      <c r="AE418" s="13"/>
      <c r="AF418" s="13"/>
      <c r="AG418" s="13"/>
      <c r="AH418" s="13"/>
      <c r="AI418" s="13"/>
      <c r="AJ418" s="13"/>
      <c r="AK418" s="13"/>
      <c r="AL418" s="13"/>
      <c r="AM418" s="14"/>
      <c r="AN418" s="14"/>
      <c r="AO418" s="14"/>
      <c r="AP418" s="14"/>
      <c r="AQ418" s="14"/>
      <c r="AR418" s="14"/>
      <c r="AS418" s="14"/>
      <c r="AT418" s="14"/>
      <c r="AU418" s="14"/>
      <c r="AV418" s="14"/>
      <c r="AW418" s="14"/>
      <c r="AX418" s="14"/>
      <c r="AY418" s="14"/>
      <c r="AZ418" s="14"/>
      <c r="BA418" s="14"/>
      <c r="BB418" s="14"/>
      <c r="BC418" s="14"/>
      <c r="BD418" s="14"/>
      <c r="BE418" s="14"/>
      <c r="BF418" s="14"/>
      <c r="BG418" s="14"/>
      <c r="BH418" s="14"/>
      <c r="BI418" s="14"/>
      <c r="BJ418" s="14"/>
      <c r="BK418" s="14"/>
      <c r="BL418" s="14"/>
      <c r="BM418" s="14"/>
      <c r="BN418" s="14"/>
    </row>
    <row r="419" ht="22.5" hidden="1" customHeight="1">
      <c r="A419" s="349" t="s">
        <v>965</v>
      </c>
      <c r="B419" s="350"/>
      <c r="C419" s="351" t="s">
        <v>966</v>
      </c>
      <c r="D419" s="379">
        <v>3101.0</v>
      </c>
      <c r="E419" s="353" t="s">
        <v>164</v>
      </c>
      <c r="F419" s="354" t="s">
        <v>30</v>
      </c>
      <c r="G419" s="355" t="s">
        <v>680</v>
      </c>
      <c r="H419" s="356" t="s">
        <v>31</v>
      </c>
      <c r="I419" s="356" t="s">
        <v>132</v>
      </c>
      <c r="J419" s="357" t="s">
        <v>967</v>
      </c>
      <c r="K419" s="358">
        <v>952.0</v>
      </c>
      <c r="L419" s="359">
        <v>46188.0</v>
      </c>
      <c r="M419" s="359">
        <v>46195.0</v>
      </c>
      <c r="N419" s="360"/>
      <c r="O419" s="361" t="s">
        <v>661</v>
      </c>
      <c r="P419" s="362"/>
      <c r="Q419" s="388" t="s">
        <v>35</v>
      </c>
      <c r="R419" s="388" t="s">
        <v>133</v>
      </c>
      <c r="S419" s="381" t="s">
        <v>36</v>
      </c>
      <c r="T419" s="381" t="s">
        <v>36</v>
      </c>
      <c r="U419" s="374" t="s">
        <v>37</v>
      </c>
      <c r="V419" s="430"/>
      <c r="W419" s="395" t="s">
        <v>968</v>
      </c>
      <c r="X419" s="338" t="s">
        <v>683</v>
      </c>
      <c r="Y419" s="365" t="s">
        <v>516</v>
      </c>
      <c r="Z419" s="380" t="s">
        <v>516</v>
      </c>
      <c r="AA419" s="367"/>
      <c r="AB419" s="13"/>
      <c r="AC419" s="13"/>
      <c r="AD419" s="13"/>
      <c r="AE419" s="13"/>
      <c r="AF419" s="13"/>
      <c r="AG419" s="13"/>
      <c r="AH419" s="13"/>
      <c r="AI419" s="13"/>
      <c r="AJ419" s="13"/>
      <c r="AK419" s="13"/>
      <c r="AL419" s="13"/>
      <c r="AM419" s="14"/>
      <c r="AN419" s="14"/>
      <c r="AO419" s="14"/>
      <c r="AP419" s="14"/>
      <c r="AQ419" s="14"/>
      <c r="AR419" s="14"/>
      <c r="AS419" s="14"/>
      <c r="AT419" s="14"/>
      <c r="AU419" s="14"/>
      <c r="AV419" s="14"/>
      <c r="AW419" s="14"/>
      <c r="AX419" s="14"/>
      <c r="AY419" s="14"/>
      <c r="AZ419" s="14"/>
      <c r="BA419" s="14"/>
      <c r="BB419" s="14"/>
      <c r="BC419" s="14"/>
      <c r="BD419" s="14"/>
      <c r="BE419" s="14"/>
      <c r="BF419" s="14"/>
      <c r="BG419" s="14"/>
      <c r="BH419" s="14"/>
      <c r="BI419" s="14"/>
      <c r="BJ419" s="14"/>
      <c r="BK419" s="14"/>
      <c r="BL419" s="14"/>
      <c r="BM419" s="14"/>
      <c r="BN419" s="14"/>
    </row>
    <row r="420" ht="22.5" hidden="1" customHeight="1">
      <c r="A420" s="349" t="s">
        <v>965</v>
      </c>
      <c r="B420" s="350"/>
      <c r="C420" s="351" t="s">
        <v>969</v>
      </c>
      <c r="D420" s="379">
        <v>3102.0</v>
      </c>
      <c r="E420" s="353" t="s">
        <v>164</v>
      </c>
      <c r="F420" s="354" t="s">
        <v>30</v>
      </c>
      <c r="G420" s="355" t="s">
        <v>680</v>
      </c>
      <c r="H420" s="356" t="s">
        <v>31</v>
      </c>
      <c r="I420" s="356" t="s">
        <v>132</v>
      </c>
      <c r="J420" s="357" t="s">
        <v>970</v>
      </c>
      <c r="K420" s="358">
        <v>921.0</v>
      </c>
      <c r="L420" s="359">
        <v>46188.0</v>
      </c>
      <c r="M420" s="359">
        <v>46195.0</v>
      </c>
      <c r="N420" s="360"/>
      <c r="O420" s="361" t="s">
        <v>661</v>
      </c>
      <c r="P420" s="362"/>
      <c r="Q420" s="388" t="s">
        <v>35</v>
      </c>
      <c r="R420" s="388" t="s">
        <v>133</v>
      </c>
      <c r="S420" s="381" t="s">
        <v>36</v>
      </c>
      <c r="T420" s="381" t="s">
        <v>36</v>
      </c>
      <c r="U420" s="374" t="s">
        <v>37</v>
      </c>
      <c r="V420" s="430"/>
      <c r="W420" s="395" t="s">
        <v>968</v>
      </c>
      <c r="X420" s="338" t="s">
        <v>683</v>
      </c>
      <c r="Y420" s="365" t="s">
        <v>516</v>
      </c>
      <c r="Z420" s="380" t="s">
        <v>516</v>
      </c>
      <c r="AA420" s="367"/>
      <c r="AB420" s="13"/>
      <c r="AC420" s="13"/>
      <c r="AD420" s="13"/>
      <c r="AE420" s="13"/>
      <c r="AF420" s="13"/>
      <c r="AG420" s="13"/>
      <c r="AH420" s="13"/>
      <c r="AI420" s="13"/>
      <c r="AJ420" s="13"/>
      <c r="AK420" s="13"/>
      <c r="AL420" s="13"/>
      <c r="AM420" s="14"/>
      <c r="AN420" s="14"/>
      <c r="AO420" s="14"/>
      <c r="AP420" s="14"/>
      <c r="AQ420" s="14"/>
      <c r="AR420" s="14"/>
      <c r="AS420" s="14"/>
      <c r="AT420" s="14"/>
      <c r="AU420" s="14"/>
      <c r="AV420" s="14"/>
      <c r="AW420" s="14"/>
      <c r="AX420" s="14"/>
      <c r="AY420" s="14"/>
      <c r="AZ420" s="14"/>
      <c r="BA420" s="14"/>
      <c r="BB420" s="14"/>
      <c r="BC420" s="14"/>
      <c r="BD420" s="14"/>
      <c r="BE420" s="14"/>
      <c r="BF420" s="14"/>
      <c r="BG420" s="14"/>
      <c r="BH420" s="14"/>
      <c r="BI420" s="14"/>
      <c r="BJ420" s="14"/>
      <c r="BK420" s="14"/>
      <c r="BL420" s="14"/>
      <c r="BM420" s="14"/>
      <c r="BN420" s="14"/>
    </row>
    <row r="421" ht="22.5" hidden="1" customHeight="1">
      <c r="A421" s="349" t="s">
        <v>965</v>
      </c>
      <c r="B421" s="350"/>
      <c r="C421" s="351" t="s">
        <v>971</v>
      </c>
      <c r="D421" s="379">
        <v>3103.0</v>
      </c>
      <c r="E421" s="353" t="s">
        <v>164</v>
      </c>
      <c r="F421" s="354" t="s">
        <v>30</v>
      </c>
      <c r="G421" s="355" t="s">
        <v>680</v>
      </c>
      <c r="H421" s="356" t="s">
        <v>31</v>
      </c>
      <c r="I421" s="356" t="s">
        <v>132</v>
      </c>
      <c r="J421" s="357" t="s">
        <v>972</v>
      </c>
      <c r="K421" s="358">
        <v>542.0</v>
      </c>
      <c r="L421" s="359">
        <v>46188.0</v>
      </c>
      <c r="M421" s="359">
        <v>46195.0</v>
      </c>
      <c r="N421" s="360"/>
      <c r="O421" s="361" t="s">
        <v>661</v>
      </c>
      <c r="P421" s="362"/>
      <c r="Q421" s="388" t="s">
        <v>35</v>
      </c>
      <c r="R421" s="388" t="s">
        <v>133</v>
      </c>
      <c r="S421" s="381" t="s">
        <v>36</v>
      </c>
      <c r="T421" s="381" t="s">
        <v>36</v>
      </c>
      <c r="U421" s="374" t="s">
        <v>37</v>
      </c>
      <c r="V421" s="430"/>
      <c r="W421" s="395" t="s">
        <v>968</v>
      </c>
      <c r="X421" s="338" t="s">
        <v>683</v>
      </c>
      <c r="Y421" s="365" t="s">
        <v>516</v>
      </c>
      <c r="Z421" s="380" t="s">
        <v>516</v>
      </c>
      <c r="AA421" s="367"/>
      <c r="AB421" s="13"/>
      <c r="AC421" s="13"/>
      <c r="AD421" s="13"/>
      <c r="AE421" s="13"/>
      <c r="AF421" s="13"/>
      <c r="AG421" s="13"/>
      <c r="AH421" s="13"/>
      <c r="AI421" s="13"/>
      <c r="AJ421" s="13"/>
      <c r="AK421" s="13"/>
      <c r="AL421" s="13"/>
      <c r="AM421" s="14"/>
      <c r="AN421" s="14"/>
      <c r="AO421" s="14"/>
      <c r="AP421" s="14"/>
      <c r="AQ421" s="14"/>
      <c r="AR421" s="14"/>
      <c r="AS421" s="14"/>
      <c r="AT421" s="14"/>
      <c r="AU421" s="14"/>
      <c r="AV421" s="14"/>
      <c r="AW421" s="14"/>
      <c r="AX421" s="14"/>
      <c r="AY421" s="14"/>
      <c r="AZ421" s="14"/>
      <c r="BA421" s="14"/>
      <c r="BB421" s="14"/>
      <c r="BC421" s="14"/>
      <c r="BD421" s="14"/>
      <c r="BE421" s="14"/>
      <c r="BF421" s="14"/>
      <c r="BG421" s="14"/>
      <c r="BH421" s="14"/>
      <c r="BI421" s="14"/>
      <c r="BJ421" s="14"/>
      <c r="BK421" s="14"/>
      <c r="BL421" s="14"/>
      <c r="BM421" s="14"/>
      <c r="BN421" s="14"/>
    </row>
    <row r="422" ht="22.5" hidden="1" customHeight="1">
      <c r="A422" s="349" t="s">
        <v>906</v>
      </c>
      <c r="B422" s="350"/>
      <c r="C422" s="351" t="s">
        <v>973</v>
      </c>
      <c r="D422" s="352">
        <v>3115.0</v>
      </c>
      <c r="E422" s="353" t="s">
        <v>157</v>
      </c>
      <c r="F422" s="354" t="s">
        <v>30</v>
      </c>
      <c r="G422" s="355" t="s">
        <v>974</v>
      </c>
      <c r="H422" s="356" t="s">
        <v>31</v>
      </c>
      <c r="I422" s="356" t="s">
        <v>98</v>
      </c>
      <c r="J422" s="357">
        <v>10000.0</v>
      </c>
      <c r="K422" s="358">
        <v>811.0</v>
      </c>
      <c r="L422" s="359">
        <v>46189.0</v>
      </c>
      <c r="M422" s="359">
        <v>46191.0</v>
      </c>
      <c r="N422" s="360"/>
      <c r="O422" s="361" t="s">
        <v>338</v>
      </c>
      <c r="P422" s="362"/>
      <c r="Q422" s="353" t="s">
        <v>35</v>
      </c>
      <c r="R422" s="353" t="s">
        <v>133</v>
      </c>
      <c r="S422" s="361" t="s">
        <v>35</v>
      </c>
      <c r="T422" s="361" t="s">
        <v>36</v>
      </c>
      <c r="U422" s="363" t="s">
        <v>37</v>
      </c>
      <c r="V422" s="430"/>
      <c r="W422" s="357" t="s">
        <v>975</v>
      </c>
      <c r="X422" s="365" t="s">
        <v>976</v>
      </c>
      <c r="Y422" s="366"/>
      <c r="Z422" s="367"/>
      <c r="AA422" s="367"/>
      <c r="AB422" s="13"/>
      <c r="AC422" s="13"/>
      <c r="AD422" s="13"/>
      <c r="AE422" s="13"/>
      <c r="AF422" s="13"/>
      <c r="AG422" s="13"/>
      <c r="AH422" s="13"/>
      <c r="AI422" s="13"/>
      <c r="AJ422" s="13"/>
      <c r="AK422" s="13"/>
      <c r="AL422" s="13"/>
      <c r="AM422" s="14"/>
      <c r="AN422" s="14"/>
      <c r="AO422" s="14"/>
      <c r="AP422" s="14"/>
      <c r="AQ422" s="14"/>
      <c r="AR422" s="14"/>
      <c r="AS422" s="14"/>
      <c r="AT422" s="14"/>
      <c r="AU422" s="14"/>
      <c r="AV422" s="14"/>
      <c r="AW422" s="14"/>
      <c r="AX422" s="14"/>
      <c r="AY422" s="14"/>
      <c r="AZ422" s="14"/>
      <c r="BA422" s="14"/>
      <c r="BB422" s="14"/>
      <c r="BC422" s="14"/>
      <c r="BD422" s="14"/>
      <c r="BE422" s="14"/>
      <c r="BF422" s="14"/>
      <c r="BG422" s="14"/>
      <c r="BH422" s="14"/>
      <c r="BI422" s="14"/>
      <c r="BJ422" s="14"/>
      <c r="BK422" s="14"/>
      <c r="BL422" s="14"/>
      <c r="BM422" s="14"/>
      <c r="BN422" s="14"/>
    </row>
    <row r="423" ht="22.5" hidden="1" customHeight="1">
      <c r="A423" s="349" t="s">
        <v>957</v>
      </c>
      <c r="B423" s="350"/>
      <c r="C423" s="351" t="s">
        <v>977</v>
      </c>
      <c r="D423" s="352"/>
      <c r="E423" s="353" t="s">
        <v>29</v>
      </c>
      <c r="F423" s="354" t="s">
        <v>68</v>
      </c>
      <c r="G423" s="355" t="s">
        <v>978</v>
      </c>
      <c r="H423" s="356" t="s">
        <v>31</v>
      </c>
      <c r="I423" s="356" t="s">
        <v>311</v>
      </c>
      <c r="J423" s="357">
        <v>63000.0</v>
      </c>
      <c r="K423" s="407"/>
      <c r="L423" s="359">
        <v>46182.0</v>
      </c>
      <c r="M423" s="359">
        <v>46188.0</v>
      </c>
      <c r="N423" s="360"/>
      <c r="O423" s="361" t="s">
        <v>54</v>
      </c>
      <c r="P423" s="362"/>
      <c r="Q423" s="387"/>
      <c r="R423" s="387"/>
      <c r="S423" s="381" t="s">
        <v>36</v>
      </c>
      <c r="T423" s="381" t="s">
        <v>36</v>
      </c>
      <c r="U423" s="374" t="s">
        <v>37</v>
      </c>
      <c r="V423" s="375"/>
      <c r="W423" s="382"/>
      <c r="X423" s="366"/>
      <c r="Y423" s="366"/>
      <c r="Z423" s="367"/>
      <c r="AA423" s="367"/>
      <c r="AB423" s="13"/>
      <c r="AC423" s="13"/>
      <c r="AD423" s="13"/>
      <c r="AE423" s="13"/>
      <c r="AF423" s="13"/>
      <c r="AG423" s="13"/>
      <c r="AH423" s="13"/>
      <c r="AI423" s="13"/>
      <c r="AJ423" s="13"/>
      <c r="AK423" s="13"/>
      <c r="AL423" s="13"/>
      <c r="AM423" s="14"/>
      <c r="AN423" s="14"/>
      <c r="AO423" s="14"/>
      <c r="AP423" s="14"/>
      <c r="AQ423" s="14"/>
      <c r="AR423" s="14"/>
      <c r="AS423" s="14"/>
      <c r="AT423" s="14"/>
      <c r="AU423" s="14"/>
      <c r="AV423" s="14"/>
      <c r="AW423" s="14"/>
      <c r="AX423" s="14"/>
      <c r="AY423" s="14"/>
      <c r="AZ423" s="14"/>
      <c r="BA423" s="14"/>
      <c r="BB423" s="14"/>
      <c r="BC423" s="14"/>
      <c r="BD423" s="14"/>
      <c r="BE423" s="14"/>
      <c r="BF423" s="14"/>
      <c r="BG423" s="14"/>
      <c r="BH423" s="14"/>
      <c r="BI423" s="14"/>
      <c r="BJ423" s="14"/>
      <c r="BK423" s="14"/>
      <c r="BL423" s="14"/>
      <c r="BM423" s="14"/>
      <c r="BN423" s="14"/>
    </row>
    <row r="424" ht="22.5" hidden="1" customHeight="1">
      <c r="A424" s="349" t="s">
        <v>965</v>
      </c>
      <c r="B424" s="350"/>
      <c r="C424" s="351" t="s">
        <v>979</v>
      </c>
      <c r="D424" s="379">
        <v>3117.0</v>
      </c>
      <c r="E424" s="353" t="s">
        <v>164</v>
      </c>
      <c r="F424" s="354" t="s">
        <v>30</v>
      </c>
      <c r="G424" s="355" t="s">
        <v>203</v>
      </c>
      <c r="H424" s="356" t="s">
        <v>31</v>
      </c>
      <c r="I424" s="356" t="s">
        <v>98</v>
      </c>
      <c r="J424" s="357" t="s">
        <v>84</v>
      </c>
      <c r="K424" s="358">
        <v>2895.0</v>
      </c>
      <c r="L424" s="359">
        <v>46188.0</v>
      </c>
      <c r="M424" s="359">
        <v>46195.0</v>
      </c>
      <c r="N424" s="360"/>
      <c r="O424" s="361" t="s">
        <v>980</v>
      </c>
      <c r="P424" s="362"/>
      <c r="Q424" s="388" t="s">
        <v>35</v>
      </c>
      <c r="R424" s="388" t="s">
        <v>133</v>
      </c>
      <c r="S424" s="381" t="s">
        <v>35</v>
      </c>
      <c r="T424" s="381" t="s">
        <v>36</v>
      </c>
      <c r="U424" s="374" t="s">
        <v>37</v>
      </c>
      <c r="V424" s="430"/>
      <c r="W424" s="395" t="s">
        <v>968</v>
      </c>
      <c r="X424" s="338" t="s">
        <v>683</v>
      </c>
      <c r="Y424" s="365" t="s">
        <v>516</v>
      </c>
      <c r="Z424" s="380" t="s">
        <v>516</v>
      </c>
      <c r="AA424" s="367"/>
      <c r="AB424" s="13"/>
      <c r="AC424" s="13"/>
      <c r="AD424" s="13"/>
      <c r="AE424" s="13"/>
      <c r="AF424" s="13"/>
      <c r="AG424" s="13"/>
      <c r="AH424" s="13"/>
      <c r="AI424" s="13"/>
      <c r="AJ424" s="13"/>
      <c r="AK424" s="13"/>
      <c r="AL424" s="13"/>
      <c r="AM424" s="14"/>
      <c r="AN424" s="14"/>
      <c r="AO424" s="14"/>
      <c r="AP424" s="14"/>
      <c r="AQ424" s="14"/>
      <c r="AR424" s="14"/>
      <c r="AS424" s="14"/>
      <c r="AT424" s="14"/>
      <c r="AU424" s="14"/>
      <c r="AV424" s="14"/>
      <c r="AW424" s="14"/>
      <c r="AX424" s="14"/>
      <c r="AY424" s="14"/>
      <c r="AZ424" s="14"/>
      <c r="BA424" s="14"/>
      <c r="BB424" s="14"/>
      <c r="BC424" s="14"/>
      <c r="BD424" s="14"/>
      <c r="BE424" s="14"/>
      <c r="BF424" s="14"/>
      <c r="BG424" s="14"/>
      <c r="BH424" s="14"/>
      <c r="BI424" s="14"/>
      <c r="BJ424" s="14"/>
      <c r="BK424" s="14"/>
      <c r="BL424" s="14"/>
      <c r="BM424" s="14"/>
      <c r="BN424" s="14"/>
    </row>
    <row r="425" ht="22.5" hidden="1" customHeight="1">
      <c r="A425" s="349" t="s">
        <v>965</v>
      </c>
      <c r="B425" s="350"/>
      <c r="C425" s="351" t="s">
        <v>981</v>
      </c>
      <c r="D425" s="379">
        <v>3118.0</v>
      </c>
      <c r="E425" s="353" t="s">
        <v>164</v>
      </c>
      <c r="F425" s="354" t="s">
        <v>30</v>
      </c>
      <c r="G425" s="355" t="s">
        <v>203</v>
      </c>
      <c r="H425" s="356" t="s">
        <v>31</v>
      </c>
      <c r="I425" s="356" t="s">
        <v>98</v>
      </c>
      <c r="J425" s="357" t="s">
        <v>84</v>
      </c>
      <c r="K425" s="358">
        <v>2895.0</v>
      </c>
      <c r="L425" s="359">
        <v>46188.0</v>
      </c>
      <c r="M425" s="359">
        <v>46195.0</v>
      </c>
      <c r="N425" s="360"/>
      <c r="O425" s="361" t="s">
        <v>980</v>
      </c>
      <c r="P425" s="362"/>
      <c r="Q425" s="388" t="s">
        <v>35</v>
      </c>
      <c r="R425" s="388" t="s">
        <v>133</v>
      </c>
      <c r="S425" s="381" t="s">
        <v>35</v>
      </c>
      <c r="T425" s="381" t="s">
        <v>36</v>
      </c>
      <c r="U425" s="374" t="s">
        <v>37</v>
      </c>
      <c r="V425" s="430"/>
      <c r="W425" s="395" t="s">
        <v>968</v>
      </c>
      <c r="X425" s="338" t="s">
        <v>683</v>
      </c>
      <c r="Y425" s="365" t="s">
        <v>516</v>
      </c>
      <c r="Z425" s="380" t="s">
        <v>516</v>
      </c>
      <c r="AA425" s="367"/>
      <c r="AB425" s="13"/>
      <c r="AC425" s="13"/>
      <c r="AD425" s="13"/>
      <c r="AE425" s="13"/>
      <c r="AF425" s="13"/>
      <c r="AG425" s="13"/>
      <c r="AH425" s="13"/>
      <c r="AI425" s="13"/>
      <c r="AJ425" s="13"/>
      <c r="AK425" s="13"/>
      <c r="AL425" s="13"/>
      <c r="AM425" s="14"/>
      <c r="AN425" s="14"/>
      <c r="AO425" s="14"/>
      <c r="AP425" s="14"/>
      <c r="AQ425" s="14"/>
      <c r="AR425" s="14"/>
      <c r="AS425" s="14"/>
      <c r="AT425" s="14"/>
      <c r="AU425" s="14"/>
      <c r="AV425" s="14"/>
      <c r="AW425" s="14"/>
      <c r="AX425" s="14"/>
      <c r="AY425" s="14"/>
      <c r="AZ425" s="14"/>
      <c r="BA425" s="14"/>
      <c r="BB425" s="14"/>
      <c r="BC425" s="14"/>
      <c r="BD425" s="14"/>
      <c r="BE425" s="14"/>
      <c r="BF425" s="14"/>
      <c r="BG425" s="14"/>
      <c r="BH425" s="14"/>
      <c r="BI425" s="14"/>
      <c r="BJ425" s="14"/>
      <c r="BK425" s="14"/>
      <c r="BL425" s="14"/>
      <c r="BM425" s="14"/>
      <c r="BN425" s="14"/>
    </row>
    <row r="426" ht="22.5" hidden="1" customHeight="1">
      <c r="A426" s="349" t="s">
        <v>803</v>
      </c>
      <c r="B426" s="350"/>
      <c r="C426" s="351" t="s">
        <v>982</v>
      </c>
      <c r="D426" s="352">
        <v>3127.0</v>
      </c>
      <c r="E426" s="353" t="s">
        <v>29</v>
      </c>
      <c r="F426" s="354" t="s">
        <v>30</v>
      </c>
      <c r="G426" s="355" t="s">
        <v>138</v>
      </c>
      <c r="H426" s="356" t="s">
        <v>31</v>
      </c>
      <c r="I426" s="356" t="s">
        <v>132</v>
      </c>
      <c r="J426" s="357">
        <v>10000.0</v>
      </c>
      <c r="K426" s="358">
        <v>689.0</v>
      </c>
      <c r="L426" s="359">
        <v>46182.0</v>
      </c>
      <c r="M426" s="359">
        <v>46188.0</v>
      </c>
      <c r="N426" s="360"/>
      <c r="O426" s="361" t="s">
        <v>34</v>
      </c>
      <c r="P426" s="362"/>
      <c r="Q426" s="387"/>
      <c r="R426" s="388" t="s">
        <v>133</v>
      </c>
      <c r="S426" s="381" t="s">
        <v>35</v>
      </c>
      <c r="T426" s="381" t="s">
        <v>36</v>
      </c>
      <c r="U426" s="374" t="s">
        <v>37</v>
      </c>
      <c r="V426" s="357">
        <v>3.0</v>
      </c>
      <c r="W426" s="395" t="s">
        <v>983</v>
      </c>
      <c r="X426" s="366"/>
      <c r="Y426" s="366"/>
      <c r="Z426" s="367"/>
      <c r="AA426" s="367"/>
      <c r="AB426" s="13"/>
      <c r="AC426" s="13"/>
      <c r="AD426" s="13"/>
      <c r="AE426" s="13"/>
      <c r="AF426" s="13"/>
      <c r="AG426" s="13"/>
      <c r="AH426" s="13"/>
      <c r="AI426" s="13"/>
      <c r="AJ426" s="13"/>
      <c r="AK426" s="13"/>
      <c r="AL426" s="13"/>
      <c r="AM426" s="14"/>
      <c r="AN426" s="14"/>
      <c r="AO426" s="14"/>
      <c r="AP426" s="14"/>
      <c r="AQ426" s="14"/>
      <c r="AR426" s="14"/>
      <c r="AS426" s="14"/>
      <c r="AT426" s="14"/>
      <c r="AU426" s="14"/>
      <c r="AV426" s="14"/>
      <c r="AW426" s="14"/>
      <c r="AX426" s="14"/>
      <c r="AY426" s="14"/>
      <c r="AZ426" s="14"/>
      <c r="BA426" s="14"/>
      <c r="BB426" s="14"/>
      <c r="BC426" s="14"/>
      <c r="BD426" s="14"/>
      <c r="BE426" s="14"/>
      <c r="BF426" s="14"/>
      <c r="BG426" s="14"/>
      <c r="BH426" s="14"/>
      <c r="BI426" s="14"/>
      <c r="BJ426" s="14"/>
      <c r="BK426" s="14"/>
      <c r="BL426" s="14"/>
      <c r="BM426" s="14"/>
      <c r="BN426" s="14"/>
    </row>
    <row r="427" ht="22.5" hidden="1" customHeight="1">
      <c r="A427" s="349" t="s">
        <v>803</v>
      </c>
      <c r="B427" s="350"/>
      <c r="C427" s="351" t="s">
        <v>984</v>
      </c>
      <c r="D427" s="352">
        <v>3128.0</v>
      </c>
      <c r="E427" s="353" t="s">
        <v>29</v>
      </c>
      <c r="F427" s="354" t="s">
        <v>30</v>
      </c>
      <c r="G427" s="355" t="s">
        <v>234</v>
      </c>
      <c r="H427" s="356" t="s">
        <v>31</v>
      </c>
      <c r="I427" s="356" t="s">
        <v>132</v>
      </c>
      <c r="J427" s="357">
        <v>20000.0</v>
      </c>
      <c r="K427" s="358">
        <v>1998.0</v>
      </c>
      <c r="L427" s="359">
        <v>46182.0</v>
      </c>
      <c r="M427" s="359">
        <v>46188.0</v>
      </c>
      <c r="N427" s="360"/>
      <c r="O427" s="361" t="s">
        <v>34</v>
      </c>
      <c r="P427" s="362"/>
      <c r="Q427" s="387"/>
      <c r="R427" s="388" t="s">
        <v>133</v>
      </c>
      <c r="S427" s="381" t="s">
        <v>35</v>
      </c>
      <c r="T427" s="381" t="s">
        <v>36</v>
      </c>
      <c r="U427" s="374" t="s">
        <v>37</v>
      </c>
      <c r="V427" s="375"/>
      <c r="W427" s="395" t="s">
        <v>983</v>
      </c>
      <c r="X427" s="366"/>
      <c r="Y427" s="366"/>
      <c r="Z427" s="367"/>
      <c r="AA427" s="367"/>
      <c r="AB427" s="13"/>
      <c r="AC427" s="13"/>
      <c r="AD427" s="13"/>
      <c r="AE427" s="13"/>
      <c r="AF427" s="13"/>
      <c r="AG427" s="13"/>
      <c r="AH427" s="13"/>
      <c r="AI427" s="13"/>
      <c r="AJ427" s="13"/>
      <c r="AK427" s="13"/>
      <c r="AL427" s="13"/>
      <c r="AM427" s="14"/>
      <c r="AN427" s="14"/>
      <c r="AO427" s="14"/>
      <c r="AP427" s="14"/>
      <c r="AQ427" s="14"/>
      <c r="AR427" s="14"/>
      <c r="AS427" s="14"/>
      <c r="AT427" s="14"/>
      <c r="AU427" s="14"/>
      <c r="AV427" s="14"/>
      <c r="AW427" s="14"/>
      <c r="AX427" s="14"/>
      <c r="AY427" s="14"/>
      <c r="AZ427" s="14"/>
      <c r="BA427" s="14"/>
      <c r="BB427" s="14"/>
      <c r="BC427" s="14"/>
      <c r="BD427" s="14"/>
      <c r="BE427" s="14"/>
      <c r="BF427" s="14"/>
      <c r="BG427" s="14"/>
      <c r="BH427" s="14"/>
      <c r="BI427" s="14"/>
      <c r="BJ427" s="14"/>
      <c r="BK427" s="14"/>
      <c r="BL427" s="14"/>
      <c r="BM427" s="14"/>
      <c r="BN427" s="14"/>
    </row>
    <row r="428" ht="22.5" hidden="1" customHeight="1">
      <c r="A428" s="349" t="s">
        <v>803</v>
      </c>
      <c r="B428" s="350"/>
      <c r="C428" s="351" t="s">
        <v>985</v>
      </c>
      <c r="D428" s="352">
        <v>3129.0</v>
      </c>
      <c r="E428" s="353" t="s">
        <v>29</v>
      </c>
      <c r="F428" s="354" t="s">
        <v>30</v>
      </c>
      <c r="G428" s="355" t="s">
        <v>240</v>
      </c>
      <c r="H428" s="356" t="s">
        <v>31</v>
      </c>
      <c r="I428" s="356" t="s">
        <v>132</v>
      </c>
      <c r="J428" s="357">
        <v>10000.0</v>
      </c>
      <c r="K428" s="358">
        <v>625.0</v>
      </c>
      <c r="L428" s="359">
        <v>46182.0</v>
      </c>
      <c r="M428" s="359">
        <v>46188.0</v>
      </c>
      <c r="N428" s="360"/>
      <c r="O428" s="361" t="s">
        <v>34</v>
      </c>
      <c r="P428" s="362"/>
      <c r="Q428" s="387"/>
      <c r="R428" s="387"/>
      <c r="S428" s="381" t="s">
        <v>35</v>
      </c>
      <c r="T428" s="381" t="s">
        <v>36</v>
      </c>
      <c r="U428" s="374" t="s">
        <v>37</v>
      </c>
      <c r="V428" s="375"/>
      <c r="W428" s="395" t="s">
        <v>986</v>
      </c>
      <c r="X428" s="366"/>
      <c r="Y428" s="366"/>
      <c r="Z428" s="367"/>
      <c r="AA428" s="367"/>
      <c r="AB428" s="13"/>
      <c r="AC428" s="13"/>
      <c r="AD428" s="13"/>
      <c r="AE428" s="13"/>
      <c r="AF428" s="13"/>
      <c r="AG428" s="13"/>
      <c r="AH428" s="13"/>
      <c r="AI428" s="13"/>
      <c r="AJ428" s="13"/>
      <c r="AK428" s="13"/>
      <c r="AL428" s="13"/>
      <c r="AM428" s="14"/>
      <c r="AN428" s="14"/>
      <c r="AO428" s="14"/>
      <c r="AP428" s="14"/>
      <c r="AQ428" s="14"/>
      <c r="AR428" s="14"/>
      <c r="AS428" s="14"/>
      <c r="AT428" s="14"/>
      <c r="AU428" s="14"/>
      <c r="AV428" s="14"/>
      <c r="AW428" s="14"/>
      <c r="AX428" s="14"/>
      <c r="AY428" s="14"/>
      <c r="AZ428" s="14"/>
      <c r="BA428" s="14"/>
      <c r="BB428" s="14"/>
      <c r="BC428" s="14"/>
      <c r="BD428" s="14"/>
      <c r="BE428" s="14"/>
      <c r="BF428" s="14"/>
      <c r="BG428" s="14"/>
      <c r="BH428" s="14"/>
      <c r="BI428" s="14"/>
      <c r="BJ428" s="14"/>
      <c r="BK428" s="14"/>
      <c r="BL428" s="14"/>
      <c r="BM428" s="14"/>
      <c r="BN428" s="14"/>
    </row>
    <row r="429" ht="22.5" hidden="1" customHeight="1">
      <c r="A429" s="349" t="s">
        <v>965</v>
      </c>
      <c r="B429" s="350"/>
      <c r="C429" s="438" t="s">
        <v>987</v>
      </c>
      <c r="D429" s="379">
        <v>3131.0</v>
      </c>
      <c r="E429" s="353" t="s">
        <v>164</v>
      </c>
      <c r="F429" s="354" t="s">
        <v>30</v>
      </c>
      <c r="G429" s="355" t="s">
        <v>988</v>
      </c>
      <c r="H429" s="356" t="s">
        <v>31</v>
      </c>
      <c r="I429" s="356" t="s">
        <v>98</v>
      </c>
      <c r="J429" s="357" t="s">
        <v>84</v>
      </c>
      <c r="K429" s="358">
        <v>1717.0</v>
      </c>
      <c r="L429" s="359">
        <v>46188.0</v>
      </c>
      <c r="M429" s="359">
        <v>46195.0</v>
      </c>
      <c r="N429" s="360"/>
      <c r="O429" s="361" t="s">
        <v>980</v>
      </c>
      <c r="P429" s="362"/>
      <c r="Q429" s="388" t="s">
        <v>35</v>
      </c>
      <c r="R429" s="388" t="s">
        <v>133</v>
      </c>
      <c r="S429" s="381" t="s">
        <v>35</v>
      </c>
      <c r="T429" s="381" t="s">
        <v>36</v>
      </c>
      <c r="U429" s="374" t="s">
        <v>37</v>
      </c>
      <c r="V429" s="430"/>
      <c r="W429" s="395" t="s">
        <v>968</v>
      </c>
      <c r="X429" s="338" t="s">
        <v>683</v>
      </c>
      <c r="Y429" s="365" t="s">
        <v>516</v>
      </c>
      <c r="Z429" s="380" t="s">
        <v>516</v>
      </c>
      <c r="AA429" s="367"/>
      <c r="AB429" s="13"/>
      <c r="AC429" s="13"/>
      <c r="AD429" s="13"/>
      <c r="AE429" s="13"/>
      <c r="AF429" s="13"/>
      <c r="AG429" s="13"/>
      <c r="AH429" s="13"/>
      <c r="AI429" s="13"/>
      <c r="AJ429" s="13"/>
      <c r="AK429" s="13"/>
      <c r="AL429" s="13"/>
      <c r="AM429" s="14"/>
      <c r="AN429" s="14"/>
      <c r="AO429" s="14"/>
      <c r="AP429" s="14"/>
      <c r="AQ429" s="14"/>
      <c r="AR429" s="14"/>
      <c r="AS429" s="14"/>
      <c r="AT429" s="14"/>
      <c r="AU429" s="14"/>
      <c r="AV429" s="14"/>
      <c r="AW429" s="14"/>
      <c r="AX429" s="14"/>
      <c r="AY429" s="14"/>
      <c r="AZ429" s="14"/>
      <c r="BA429" s="14"/>
      <c r="BB429" s="14"/>
      <c r="BC429" s="14"/>
      <c r="BD429" s="14"/>
      <c r="BE429" s="14"/>
      <c r="BF429" s="14"/>
      <c r="BG429" s="14"/>
      <c r="BH429" s="14"/>
      <c r="BI429" s="14"/>
      <c r="BJ429" s="14"/>
      <c r="BK429" s="14"/>
      <c r="BL429" s="14"/>
      <c r="BM429" s="14"/>
      <c r="BN429" s="14"/>
    </row>
    <row r="430" ht="22.5" hidden="1" customHeight="1">
      <c r="A430" s="349" t="s">
        <v>989</v>
      </c>
      <c r="B430" s="350"/>
      <c r="C430" s="351" t="s">
        <v>990</v>
      </c>
      <c r="D430" s="352">
        <v>3132.0</v>
      </c>
      <c r="E430" s="353" t="s">
        <v>51</v>
      </c>
      <c r="F430" s="354" t="s">
        <v>30</v>
      </c>
      <c r="G430" s="355" t="s">
        <v>991</v>
      </c>
      <c r="H430" s="356" t="s">
        <v>31</v>
      </c>
      <c r="I430" s="356" t="s">
        <v>261</v>
      </c>
      <c r="J430" s="357">
        <v>20000.0</v>
      </c>
      <c r="K430" s="358">
        <v>825.0</v>
      </c>
      <c r="L430" s="359">
        <v>46190.0</v>
      </c>
      <c r="M430" s="359">
        <v>46199.0</v>
      </c>
      <c r="N430" s="360"/>
      <c r="O430" s="361" t="s">
        <v>54</v>
      </c>
      <c r="P430" s="362"/>
      <c r="Q430" s="388" t="s">
        <v>35</v>
      </c>
      <c r="R430" s="388" t="s">
        <v>133</v>
      </c>
      <c r="S430" s="439"/>
      <c r="T430" s="381" t="s">
        <v>36</v>
      </c>
      <c r="U430" s="374" t="s">
        <v>37</v>
      </c>
      <c r="V430" s="430"/>
      <c r="W430" s="395" t="s">
        <v>992</v>
      </c>
      <c r="X430" s="436" t="s">
        <v>993</v>
      </c>
      <c r="Y430" s="366"/>
      <c r="Z430" s="367"/>
      <c r="AA430" s="367"/>
      <c r="AB430" s="13"/>
      <c r="AC430" s="13"/>
      <c r="AD430" s="13"/>
      <c r="AE430" s="13"/>
      <c r="AF430" s="13"/>
      <c r="AG430" s="13"/>
      <c r="AH430" s="13"/>
      <c r="AI430" s="13"/>
      <c r="AJ430" s="13"/>
      <c r="AK430" s="13"/>
      <c r="AL430" s="13"/>
      <c r="AM430" s="14"/>
      <c r="AN430" s="14"/>
      <c r="AO430" s="14"/>
      <c r="AP430" s="14"/>
      <c r="AQ430" s="14"/>
      <c r="AR430" s="14"/>
      <c r="AS430" s="14"/>
      <c r="AT430" s="14"/>
      <c r="AU430" s="14"/>
      <c r="AV430" s="14"/>
      <c r="AW430" s="14"/>
      <c r="AX430" s="14"/>
      <c r="AY430" s="14"/>
      <c r="AZ430" s="14"/>
      <c r="BA430" s="14"/>
      <c r="BB430" s="14"/>
      <c r="BC430" s="14"/>
      <c r="BD430" s="14"/>
      <c r="BE430" s="14"/>
      <c r="BF430" s="14"/>
      <c r="BG430" s="14"/>
      <c r="BH430" s="14"/>
      <c r="BI430" s="14"/>
      <c r="BJ430" s="14"/>
      <c r="BK430" s="14"/>
      <c r="BL430" s="14"/>
      <c r="BM430" s="14"/>
      <c r="BN430" s="14"/>
    </row>
    <row r="431" ht="22.5" hidden="1" customHeight="1">
      <c r="A431" s="349" t="s">
        <v>989</v>
      </c>
      <c r="B431" s="350"/>
      <c r="C431" s="351" t="s">
        <v>994</v>
      </c>
      <c r="D431" s="352">
        <v>3133.0</v>
      </c>
      <c r="E431" s="353" t="s">
        <v>51</v>
      </c>
      <c r="F431" s="354" t="s">
        <v>30</v>
      </c>
      <c r="G431" s="355" t="s">
        <v>995</v>
      </c>
      <c r="H431" s="356" t="s">
        <v>31</v>
      </c>
      <c r="I431" s="356" t="s">
        <v>261</v>
      </c>
      <c r="J431" s="357">
        <v>25000.0</v>
      </c>
      <c r="K431" s="358">
        <v>444.0</v>
      </c>
      <c r="L431" s="359">
        <v>46190.0</v>
      </c>
      <c r="M431" s="359">
        <v>46199.0</v>
      </c>
      <c r="N431" s="360"/>
      <c r="O431" s="361" t="s">
        <v>54</v>
      </c>
      <c r="P431" s="362"/>
      <c r="Q431" s="388" t="s">
        <v>35</v>
      </c>
      <c r="R431" s="388" t="s">
        <v>133</v>
      </c>
      <c r="S431" s="439"/>
      <c r="T431" s="381" t="s">
        <v>36</v>
      </c>
      <c r="U431" s="374" t="s">
        <v>37</v>
      </c>
      <c r="V431" s="430"/>
      <c r="W431" s="395" t="s">
        <v>992</v>
      </c>
      <c r="X431" s="436" t="s">
        <v>993</v>
      </c>
      <c r="Y431" s="366"/>
      <c r="Z431" s="367"/>
      <c r="AA431" s="367"/>
      <c r="AB431" s="13"/>
      <c r="AC431" s="13"/>
      <c r="AD431" s="13"/>
      <c r="AE431" s="13"/>
      <c r="AF431" s="13"/>
      <c r="AG431" s="13"/>
      <c r="AH431" s="13"/>
      <c r="AI431" s="13"/>
      <c r="AJ431" s="13"/>
      <c r="AK431" s="13"/>
      <c r="AL431" s="13"/>
      <c r="AM431" s="14"/>
      <c r="AN431" s="14"/>
      <c r="AO431" s="14"/>
      <c r="AP431" s="14"/>
      <c r="AQ431" s="14"/>
      <c r="AR431" s="14"/>
      <c r="AS431" s="14"/>
      <c r="AT431" s="14"/>
      <c r="AU431" s="14"/>
      <c r="AV431" s="14"/>
      <c r="AW431" s="14"/>
      <c r="AX431" s="14"/>
      <c r="AY431" s="14"/>
      <c r="AZ431" s="14"/>
      <c r="BA431" s="14"/>
      <c r="BB431" s="14"/>
      <c r="BC431" s="14"/>
      <c r="BD431" s="14"/>
      <c r="BE431" s="14"/>
      <c r="BF431" s="14"/>
      <c r="BG431" s="14"/>
      <c r="BH431" s="14"/>
      <c r="BI431" s="14"/>
      <c r="BJ431" s="14"/>
      <c r="BK431" s="14"/>
      <c r="BL431" s="14"/>
      <c r="BM431" s="14"/>
      <c r="BN431" s="14"/>
    </row>
    <row r="432" ht="22.5" hidden="1" customHeight="1">
      <c r="A432" s="349" t="s">
        <v>989</v>
      </c>
      <c r="B432" s="350"/>
      <c r="C432" s="351" t="s">
        <v>996</v>
      </c>
      <c r="D432" s="352">
        <v>3134.0</v>
      </c>
      <c r="E432" s="353" t="s">
        <v>51</v>
      </c>
      <c r="F432" s="354" t="s">
        <v>30</v>
      </c>
      <c r="G432" s="355" t="s">
        <v>997</v>
      </c>
      <c r="H432" s="356" t="s">
        <v>31</v>
      </c>
      <c r="I432" s="356" t="s">
        <v>261</v>
      </c>
      <c r="J432" s="357">
        <v>60000.0</v>
      </c>
      <c r="K432" s="358">
        <v>1701.0</v>
      </c>
      <c r="L432" s="359">
        <v>46190.0</v>
      </c>
      <c r="M432" s="359">
        <v>46199.0</v>
      </c>
      <c r="N432" s="360"/>
      <c r="O432" s="361" t="s">
        <v>54</v>
      </c>
      <c r="P432" s="362"/>
      <c r="Q432" s="388" t="s">
        <v>35</v>
      </c>
      <c r="R432" s="388" t="s">
        <v>133</v>
      </c>
      <c r="S432" s="439"/>
      <c r="T432" s="381" t="s">
        <v>36</v>
      </c>
      <c r="U432" s="374" t="s">
        <v>37</v>
      </c>
      <c r="V432" s="430"/>
      <c r="W432" s="395" t="s">
        <v>992</v>
      </c>
      <c r="X432" s="436" t="s">
        <v>993</v>
      </c>
      <c r="Y432" s="366"/>
      <c r="Z432" s="367"/>
      <c r="AA432" s="367"/>
      <c r="AB432" s="13"/>
      <c r="AC432" s="13"/>
      <c r="AD432" s="13"/>
      <c r="AE432" s="13"/>
      <c r="AF432" s="13"/>
      <c r="AG432" s="13"/>
      <c r="AH432" s="13"/>
      <c r="AI432" s="13"/>
      <c r="AJ432" s="13"/>
      <c r="AK432" s="13"/>
      <c r="AL432" s="13"/>
      <c r="AM432" s="14"/>
      <c r="AN432" s="14"/>
      <c r="AO432" s="14"/>
      <c r="AP432" s="14"/>
      <c r="AQ432" s="14"/>
      <c r="AR432" s="14"/>
      <c r="AS432" s="14"/>
      <c r="AT432" s="14"/>
      <c r="AU432" s="14"/>
      <c r="AV432" s="14"/>
      <c r="AW432" s="14"/>
      <c r="AX432" s="14"/>
      <c r="AY432" s="14"/>
      <c r="AZ432" s="14"/>
      <c r="BA432" s="14"/>
      <c r="BB432" s="14"/>
      <c r="BC432" s="14"/>
      <c r="BD432" s="14"/>
      <c r="BE432" s="14"/>
      <c r="BF432" s="14"/>
      <c r="BG432" s="14"/>
      <c r="BH432" s="14"/>
      <c r="BI432" s="14"/>
      <c r="BJ432" s="14"/>
      <c r="BK432" s="14"/>
      <c r="BL432" s="14"/>
      <c r="BM432" s="14"/>
      <c r="BN432" s="14"/>
    </row>
    <row r="433" ht="22.5" hidden="1" customHeight="1">
      <c r="A433" s="349" t="s">
        <v>184</v>
      </c>
      <c r="B433" s="350"/>
      <c r="C433" s="440" t="s">
        <v>199</v>
      </c>
      <c r="D433" s="379">
        <v>3149.0</v>
      </c>
      <c r="E433" s="353" t="s">
        <v>164</v>
      </c>
      <c r="F433" s="354" t="s">
        <v>68</v>
      </c>
      <c r="G433" s="355" t="s">
        <v>186</v>
      </c>
      <c r="H433" s="356" t="s">
        <v>31</v>
      </c>
      <c r="I433" s="356" t="s">
        <v>98</v>
      </c>
      <c r="J433" s="357" t="s">
        <v>197</v>
      </c>
      <c r="K433" s="358">
        <v>619.0</v>
      </c>
      <c r="L433" s="359">
        <v>46190.0</v>
      </c>
      <c r="M433" s="359">
        <v>46197.0</v>
      </c>
      <c r="N433" s="360"/>
      <c r="O433" s="361" t="s">
        <v>99</v>
      </c>
      <c r="P433" s="362"/>
      <c r="Q433" s="388" t="s">
        <v>35</v>
      </c>
      <c r="R433" s="388" t="s">
        <v>133</v>
      </c>
      <c r="S433" s="381" t="s">
        <v>36</v>
      </c>
      <c r="T433" s="381" t="s">
        <v>36</v>
      </c>
      <c r="U433" s="374" t="s">
        <v>37</v>
      </c>
      <c r="V433" s="430"/>
      <c r="W433" s="395" t="s">
        <v>262</v>
      </c>
      <c r="X433" s="338" t="s">
        <v>426</v>
      </c>
      <c r="Y433" s="365" t="s">
        <v>516</v>
      </c>
      <c r="Z433" s="380" t="s">
        <v>516</v>
      </c>
      <c r="AA433" s="367"/>
      <c r="AB433" s="13"/>
      <c r="AC433" s="13"/>
      <c r="AD433" s="13"/>
      <c r="AE433" s="13"/>
      <c r="AF433" s="13"/>
      <c r="AG433" s="13"/>
      <c r="AH433" s="13"/>
      <c r="AI433" s="13"/>
      <c r="AJ433" s="13"/>
      <c r="AK433" s="13"/>
      <c r="AL433" s="13"/>
      <c r="AM433" s="14"/>
      <c r="AN433" s="14"/>
      <c r="AO433" s="14"/>
      <c r="AP433" s="14"/>
      <c r="AQ433" s="14"/>
      <c r="AR433" s="14"/>
      <c r="AS433" s="14"/>
      <c r="AT433" s="14"/>
      <c r="AU433" s="14"/>
      <c r="AV433" s="14"/>
      <c r="AW433" s="14"/>
      <c r="AX433" s="14"/>
      <c r="AY433" s="14"/>
      <c r="AZ433" s="14"/>
      <c r="BA433" s="14"/>
      <c r="BB433" s="14"/>
      <c r="BC433" s="14"/>
      <c r="BD433" s="14"/>
      <c r="BE433" s="14"/>
      <c r="BF433" s="14"/>
      <c r="BG433" s="14"/>
      <c r="BH433" s="14"/>
      <c r="BI433" s="14"/>
      <c r="BJ433" s="14"/>
      <c r="BK433" s="14"/>
      <c r="BL433" s="14"/>
      <c r="BM433" s="14"/>
      <c r="BN433" s="14"/>
    </row>
    <row r="434" ht="22.5" hidden="1" customHeight="1">
      <c r="A434" s="349" t="s">
        <v>184</v>
      </c>
      <c r="B434" s="350"/>
      <c r="C434" s="440" t="s">
        <v>424</v>
      </c>
      <c r="D434" s="379">
        <v>3150.0</v>
      </c>
      <c r="E434" s="353" t="s">
        <v>164</v>
      </c>
      <c r="F434" s="354" t="s">
        <v>68</v>
      </c>
      <c r="G434" s="355" t="s">
        <v>186</v>
      </c>
      <c r="H434" s="356" t="s">
        <v>31</v>
      </c>
      <c r="I434" s="356" t="s">
        <v>98</v>
      </c>
      <c r="J434" s="357" t="s">
        <v>998</v>
      </c>
      <c r="K434" s="358">
        <v>619.0</v>
      </c>
      <c r="L434" s="359">
        <v>46190.0</v>
      </c>
      <c r="M434" s="359">
        <v>46197.0</v>
      </c>
      <c r="N434" s="360"/>
      <c r="O434" s="361" t="s">
        <v>99</v>
      </c>
      <c r="P434" s="362"/>
      <c r="Q434" s="388" t="s">
        <v>35</v>
      </c>
      <c r="R434" s="388" t="s">
        <v>133</v>
      </c>
      <c r="S434" s="381" t="s">
        <v>36</v>
      </c>
      <c r="T434" s="381" t="s">
        <v>36</v>
      </c>
      <c r="U434" s="374" t="s">
        <v>37</v>
      </c>
      <c r="V434" s="430"/>
      <c r="W434" s="395" t="s">
        <v>262</v>
      </c>
      <c r="X434" s="338" t="s">
        <v>426</v>
      </c>
      <c r="Y434" s="365" t="s">
        <v>516</v>
      </c>
      <c r="Z434" s="380" t="s">
        <v>516</v>
      </c>
      <c r="AA434" s="367"/>
      <c r="AB434" s="13"/>
      <c r="AC434" s="13"/>
      <c r="AD434" s="13"/>
      <c r="AE434" s="13"/>
      <c r="AF434" s="13"/>
      <c r="AG434" s="13"/>
      <c r="AH434" s="13"/>
      <c r="AI434" s="13"/>
      <c r="AJ434" s="13"/>
      <c r="AK434" s="13"/>
      <c r="AL434" s="13"/>
      <c r="AM434" s="14"/>
      <c r="AN434" s="14"/>
      <c r="AO434" s="14"/>
      <c r="AP434" s="14"/>
      <c r="AQ434" s="14"/>
      <c r="AR434" s="14"/>
      <c r="AS434" s="14"/>
      <c r="AT434" s="14"/>
      <c r="AU434" s="14"/>
      <c r="AV434" s="14"/>
      <c r="AW434" s="14"/>
      <c r="AX434" s="14"/>
      <c r="AY434" s="14"/>
      <c r="AZ434" s="14"/>
      <c r="BA434" s="14"/>
      <c r="BB434" s="14"/>
      <c r="BC434" s="14"/>
      <c r="BD434" s="14"/>
      <c r="BE434" s="14"/>
      <c r="BF434" s="14"/>
      <c r="BG434" s="14"/>
      <c r="BH434" s="14"/>
      <c r="BI434" s="14"/>
      <c r="BJ434" s="14"/>
      <c r="BK434" s="14"/>
      <c r="BL434" s="14"/>
      <c r="BM434" s="14"/>
      <c r="BN434" s="14"/>
    </row>
    <row r="435" ht="22.5" hidden="1" customHeight="1">
      <c r="A435" s="349" t="s">
        <v>184</v>
      </c>
      <c r="B435" s="350"/>
      <c r="C435" s="440" t="s">
        <v>999</v>
      </c>
      <c r="D435" s="379">
        <v>3151.0</v>
      </c>
      <c r="E435" s="353" t="s">
        <v>164</v>
      </c>
      <c r="F435" s="354" t="s">
        <v>68</v>
      </c>
      <c r="G435" s="355" t="s">
        <v>186</v>
      </c>
      <c r="H435" s="356" t="s">
        <v>31</v>
      </c>
      <c r="I435" s="356" t="s">
        <v>98</v>
      </c>
      <c r="J435" s="357" t="s">
        <v>187</v>
      </c>
      <c r="K435" s="358">
        <v>1027.0</v>
      </c>
      <c r="L435" s="359">
        <v>46190.0</v>
      </c>
      <c r="M435" s="359">
        <v>46197.0</v>
      </c>
      <c r="N435" s="360"/>
      <c r="O435" s="361" t="s">
        <v>99</v>
      </c>
      <c r="P435" s="362"/>
      <c r="Q435" s="388" t="s">
        <v>35</v>
      </c>
      <c r="R435" s="388" t="s">
        <v>133</v>
      </c>
      <c r="S435" s="381" t="s">
        <v>36</v>
      </c>
      <c r="T435" s="381" t="s">
        <v>36</v>
      </c>
      <c r="U435" s="374" t="s">
        <v>37</v>
      </c>
      <c r="V435" s="430"/>
      <c r="W435" s="395" t="s">
        <v>262</v>
      </c>
      <c r="X435" s="338" t="s">
        <v>426</v>
      </c>
      <c r="Y435" s="365" t="s">
        <v>516</v>
      </c>
      <c r="Z435" s="380" t="s">
        <v>516</v>
      </c>
      <c r="AA435" s="367"/>
      <c r="AB435" s="13"/>
      <c r="AC435" s="13"/>
      <c r="AD435" s="13"/>
      <c r="AE435" s="13"/>
      <c r="AF435" s="13"/>
      <c r="AG435" s="13"/>
      <c r="AH435" s="13"/>
      <c r="AI435" s="13"/>
      <c r="AJ435" s="13"/>
      <c r="AK435" s="13"/>
      <c r="AL435" s="13"/>
      <c r="AM435" s="14"/>
      <c r="AN435" s="14"/>
      <c r="AO435" s="14"/>
      <c r="AP435" s="14"/>
      <c r="AQ435" s="14"/>
      <c r="AR435" s="14"/>
      <c r="AS435" s="14"/>
      <c r="AT435" s="14"/>
      <c r="AU435" s="14"/>
      <c r="AV435" s="14"/>
      <c r="AW435" s="14"/>
      <c r="AX435" s="14"/>
      <c r="AY435" s="14"/>
      <c r="AZ435" s="14"/>
      <c r="BA435" s="14"/>
      <c r="BB435" s="14"/>
      <c r="BC435" s="14"/>
      <c r="BD435" s="14"/>
      <c r="BE435" s="14"/>
      <c r="BF435" s="14"/>
      <c r="BG435" s="14"/>
      <c r="BH435" s="14"/>
      <c r="BI435" s="14"/>
      <c r="BJ435" s="14"/>
      <c r="BK435" s="14"/>
      <c r="BL435" s="14"/>
      <c r="BM435" s="14"/>
      <c r="BN435" s="14"/>
    </row>
    <row r="436" ht="22.5" hidden="1" customHeight="1">
      <c r="A436" s="349" t="s">
        <v>184</v>
      </c>
      <c r="B436" s="350"/>
      <c r="C436" s="351" t="s">
        <v>1000</v>
      </c>
      <c r="D436" s="379">
        <v>3152.0</v>
      </c>
      <c r="E436" s="353" t="s">
        <v>164</v>
      </c>
      <c r="F436" s="354" t="s">
        <v>68</v>
      </c>
      <c r="G436" s="355" t="s">
        <v>186</v>
      </c>
      <c r="H436" s="356" t="s">
        <v>31</v>
      </c>
      <c r="I436" s="356" t="s">
        <v>98</v>
      </c>
      <c r="J436" s="357" t="s">
        <v>197</v>
      </c>
      <c r="K436" s="358">
        <v>519.0</v>
      </c>
      <c r="L436" s="359">
        <v>46190.0</v>
      </c>
      <c r="M436" s="359">
        <v>46197.0</v>
      </c>
      <c r="N436" s="360"/>
      <c r="O436" s="361" t="s">
        <v>99</v>
      </c>
      <c r="P436" s="362"/>
      <c r="Q436" s="388" t="s">
        <v>35</v>
      </c>
      <c r="R436" s="388" t="s">
        <v>133</v>
      </c>
      <c r="S436" s="381" t="s">
        <v>36</v>
      </c>
      <c r="T436" s="381" t="s">
        <v>36</v>
      </c>
      <c r="U436" s="374" t="s">
        <v>37</v>
      </c>
      <c r="V436" s="430"/>
      <c r="W436" s="395" t="s">
        <v>262</v>
      </c>
      <c r="X436" s="338" t="s">
        <v>426</v>
      </c>
      <c r="Y436" s="365" t="s">
        <v>516</v>
      </c>
      <c r="Z436" s="380" t="s">
        <v>516</v>
      </c>
      <c r="AA436" s="367"/>
      <c r="AB436" s="13"/>
      <c r="AC436" s="13"/>
      <c r="AD436" s="13"/>
      <c r="AE436" s="13"/>
      <c r="AF436" s="13"/>
      <c r="AG436" s="13"/>
      <c r="AH436" s="13"/>
      <c r="AI436" s="13"/>
      <c r="AJ436" s="13"/>
      <c r="AK436" s="13"/>
      <c r="AL436" s="13"/>
      <c r="AM436" s="14"/>
      <c r="AN436" s="14"/>
      <c r="AO436" s="14"/>
      <c r="AP436" s="14"/>
      <c r="AQ436" s="14"/>
      <c r="AR436" s="14"/>
      <c r="AS436" s="14"/>
      <c r="AT436" s="14"/>
      <c r="AU436" s="14"/>
      <c r="AV436" s="14"/>
      <c r="AW436" s="14"/>
      <c r="AX436" s="14"/>
      <c r="AY436" s="14"/>
      <c r="AZ436" s="14"/>
      <c r="BA436" s="14"/>
      <c r="BB436" s="14"/>
      <c r="BC436" s="14"/>
      <c r="BD436" s="14"/>
      <c r="BE436" s="14"/>
      <c r="BF436" s="14"/>
      <c r="BG436" s="14"/>
      <c r="BH436" s="14"/>
      <c r="BI436" s="14"/>
      <c r="BJ436" s="14"/>
      <c r="BK436" s="14"/>
      <c r="BL436" s="14"/>
      <c r="BM436" s="14"/>
      <c r="BN436" s="14"/>
    </row>
    <row r="437" ht="22.5" hidden="1" customHeight="1">
      <c r="A437" s="349" t="s">
        <v>1001</v>
      </c>
      <c r="B437" s="350"/>
      <c r="C437" s="351" t="s">
        <v>1002</v>
      </c>
      <c r="D437" s="352">
        <v>3153.0</v>
      </c>
      <c r="E437" s="353" t="s">
        <v>157</v>
      </c>
      <c r="F437" s="354" t="s">
        <v>30</v>
      </c>
      <c r="G437" s="355" t="s">
        <v>784</v>
      </c>
      <c r="H437" s="356" t="s">
        <v>31</v>
      </c>
      <c r="I437" s="356" t="s">
        <v>311</v>
      </c>
      <c r="J437" s="357">
        <v>20000.0</v>
      </c>
      <c r="K437" s="358">
        <v>1464.0</v>
      </c>
      <c r="L437" s="359">
        <v>46190.0</v>
      </c>
      <c r="M437" s="359">
        <v>46196.0</v>
      </c>
      <c r="N437" s="360"/>
      <c r="O437" s="361" t="s">
        <v>54</v>
      </c>
      <c r="P437" s="362"/>
      <c r="Q437" s="353" t="s">
        <v>35</v>
      </c>
      <c r="R437" s="353" t="s">
        <v>133</v>
      </c>
      <c r="S437" s="361" t="s">
        <v>35</v>
      </c>
      <c r="T437" s="361" t="s">
        <v>36</v>
      </c>
      <c r="U437" s="363" t="s">
        <v>37</v>
      </c>
      <c r="V437" s="430"/>
      <c r="W437" s="382"/>
      <c r="X437" s="366"/>
      <c r="Y437" s="366"/>
      <c r="Z437" s="367"/>
      <c r="AA437" s="367"/>
      <c r="AB437" s="13"/>
      <c r="AC437" s="13"/>
      <c r="AD437" s="13"/>
      <c r="AE437" s="13"/>
      <c r="AF437" s="13"/>
      <c r="AG437" s="13"/>
      <c r="AH437" s="13"/>
      <c r="AI437" s="13"/>
      <c r="AJ437" s="13"/>
      <c r="AK437" s="13"/>
      <c r="AL437" s="13"/>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c r="BI437" s="14"/>
      <c r="BJ437" s="14"/>
      <c r="BK437" s="14"/>
      <c r="BL437" s="14"/>
      <c r="BM437" s="14"/>
      <c r="BN437" s="14"/>
    </row>
    <row r="438" ht="22.5" hidden="1" customHeight="1">
      <c r="A438" s="349" t="s">
        <v>1001</v>
      </c>
      <c r="B438" s="350"/>
      <c r="C438" s="351" t="s">
        <v>1003</v>
      </c>
      <c r="D438" s="352">
        <v>3154.0</v>
      </c>
      <c r="E438" s="353" t="s">
        <v>157</v>
      </c>
      <c r="F438" s="354" t="s">
        <v>30</v>
      </c>
      <c r="G438" s="355" t="s">
        <v>1004</v>
      </c>
      <c r="H438" s="356" t="s">
        <v>31</v>
      </c>
      <c r="I438" s="356" t="s">
        <v>311</v>
      </c>
      <c r="J438" s="357">
        <v>20000.0</v>
      </c>
      <c r="K438" s="358">
        <v>1231.0</v>
      </c>
      <c r="L438" s="359">
        <v>46190.0</v>
      </c>
      <c r="M438" s="359">
        <v>46196.0</v>
      </c>
      <c r="N438" s="360"/>
      <c r="O438" s="361" t="s">
        <v>54</v>
      </c>
      <c r="P438" s="362"/>
      <c r="Q438" s="353" t="s">
        <v>35</v>
      </c>
      <c r="R438" s="353" t="s">
        <v>133</v>
      </c>
      <c r="S438" s="361" t="s">
        <v>35</v>
      </c>
      <c r="T438" s="361" t="s">
        <v>36</v>
      </c>
      <c r="U438" s="363" t="s">
        <v>37</v>
      </c>
      <c r="V438" s="430"/>
      <c r="W438" s="382"/>
      <c r="X438" s="366"/>
      <c r="Y438" s="366"/>
      <c r="Z438" s="367"/>
      <c r="AA438" s="367"/>
      <c r="AB438" s="13"/>
      <c r="AC438" s="13"/>
      <c r="AD438" s="13"/>
      <c r="AE438" s="13"/>
      <c r="AF438" s="13"/>
      <c r="AG438" s="13"/>
      <c r="AH438" s="13"/>
      <c r="AI438" s="13"/>
      <c r="AJ438" s="13"/>
      <c r="AK438" s="13"/>
      <c r="AL438" s="13"/>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c r="BI438" s="14"/>
      <c r="BJ438" s="14"/>
      <c r="BK438" s="14"/>
      <c r="BL438" s="14"/>
      <c r="BM438" s="14"/>
      <c r="BN438" s="14"/>
    </row>
    <row r="439" ht="22.5" hidden="1" customHeight="1">
      <c r="A439" s="349" t="s">
        <v>1005</v>
      </c>
      <c r="B439" s="350"/>
      <c r="C439" s="351" t="s">
        <v>1006</v>
      </c>
      <c r="D439" s="352">
        <v>3158.0</v>
      </c>
      <c r="E439" s="353" t="s">
        <v>164</v>
      </c>
      <c r="F439" s="354" t="s">
        <v>30</v>
      </c>
      <c r="G439" s="355" t="s">
        <v>1007</v>
      </c>
      <c r="H439" s="356" t="s">
        <v>31</v>
      </c>
      <c r="I439" s="356" t="s">
        <v>511</v>
      </c>
      <c r="J439" s="357" t="s">
        <v>77</v>
      </c>
      <c r="K439" s="358">
        <v>250.0</v>
      </c>
      <c r="L439" s="359">
        <v>46190.0</v>
      </c>
      <c r="M439" s="359">
        <v>46195.0</v>
      </c>
      <c r="N439" s="360"/>
      <c r="O439" s="361" t="s">
        <v>99</v>
      </c>
      <c r="P439" s="362"/>
      <c r="Q439" s="388" t="s">
        <v>35</v>
      </c>
      <c r="R439" s="388" t="s">
        <v>133</v>
      </c>
      <c r="S439" s="361" t="s">
        <v>1008</v>
      </c>
      <c r="T439" s="381" t="s">
        <v>36</v>
      </c>
      <c r="U439" s="374" t="s">
        <v>37</v>
      </c>
      <c r="V439" s="430"/>
      <c r="W439" s="395"/>
      <c r="X439" s="431" t="s">
        <v>1009</v>
      </c>
      <c r="Y439" s="365" t="s">
        <v>516</v>
      </c>
      <c r="Z439" s="380" t="s">
        <v>516</v>
      </c>
      <c r="AA439" s="367"/>
      <c r="AB439" s="13"/>
      <c r="AC439" s="13"/>
      <c r="AD439" s="13"/>
      <c r="AE439" s="13"/>
      <c r="AF439" s="13"/>
      <c r="AG439" s="13"/>
      <c r="AH439" s="13"/>
      <c r="AI439" s="13"/>
      <c r="AJ439" s="13"/>
      <c r="AK439" s="13"/>
      <c r="AL439" s="13"/>
      <c r="AM439" s="14"/>
      <c r="AN439" s="14"/>
      <c r="AO439" s="14"/>
      <c r="AP439" s="14"/>
      <c r="AQ439" s="14"/>
      <c r="AR439" s="14"/>
      <c r="AS439" s="14"/>
      <c r="AT439" s="14"/>
      <c r="AU439" s="14"/>
      <c r="AV439" s="14"/>
      <c r="AW439" s="14"/>
      <c r="AX439" s="14"/>
      <c r="AY439" s="14"/>
      <c r="AZ439" s="14"/>
      <c r="BA439" s="14"/>
      <c r="BB439" s="14"/>
      <c r="BC439" s="14"/>
      <c r="BD439" s="14"/>
      <c r="BE439" s="14"/>
      <c r="BF439" s="14"/>
      <c r="BG439" s="14"/>
      <c r="BH439" s="14"/>
      <c r="BI439" s="14"/>
      <c r="BJ439" s="14"/>
      <c r="BK439" s="14"/>
      <c r="BL439" s="14"/>
      <c r="BM439" s="14"/>
      <c r="BN439" s="14"/>
    </row>
    <row r="440" ht="22.5" hidden="1" customHeight="1">
      <c r="A440" s="349" t="s">
        <v>906</v>
      </c>
      <c r="B440" s="350"/>
      <c r="C440" s="351" t="s">
        <v>1010</v>
      </c>
      <c r="D440" s="352">
        <v>3161.0</v>
      </c>
      <c r="E440" s="353" t="s">
        <v>157</v>
      </c>
      <c r="F440" s="354" t="s">
        <v>96</v>
      </c>
      <c r="G440" s="355" t="s">
        <v>1011</v>
      </c>
      <c r="H440" s="356" t="s">
        <v>52</v>
      </c>
      <c r="I440" s="356" t="s">
        <v>274</v>
      </c>
      <c r="J440" s="357" t="s">
        <v>1012</v>
      </c>
      <c r="K440" s="358">
        <v>57.0</v>
      </c>
      <c r="L440" s="359">
        <v>46190.0</v>
      </c>
      <c r="M440" s="359">
        <v>46191.0</v>
      </c>
      <c r="N440" s="360"/>
      <c r="O440" s="361" t="s">
        <v>338</v>
      </c>
      <c r="P440" s="362"/>
      <c r="Q440" s="353" t="s">
        <v>35</v>
      </c>
      <c r="R440" s="353" t="s">
        <v>133</v>
      </c>
      <c r="S440" s="361" t="s">
        <v>55</v>
      </c>
      <c r="T440" s="361" t="s">
        <v>36</v>
      </c>
      <c r="U440" s="363" t="s">
        <v>37</v>
      </c>
      <c r="V440" s="430"/>
      <c r="W440" s="357" t="s">
        <v>1013</v>
      </c>
      <c r="X440" s="365" t="s">
        <v>976</v>
      </c>
      <c r="Y440" s="366"/>
      <c r="Z440" s="367"/>
      <c r="AA440" s="367"/>
      <c r="AB440" s="13"/>
      <c r="AC440" s="13"/>
      <c r="AD440" s="13"/>
      <c r="AE440" s="13"/>
      <c r="AF440" s="13"/>
      <c r="AG440" s="13"/>
      <c r="AH440" s="13"/>
      <c r="AI440" s="13"/>
      <c r="AJ440" s="13"/>
      <c r="AK440" s="13"/>
      <c r="AL440" s="13"/>
      <c r="AM440" s="14"/>
      <c r="AN440" s="14"/>
      <c r="AO440" s="14"/>
      <c r="AP440" s="14"/>
      <c r="AQ440" s="14"/>
      <c r="AR440" s="14"/>
      <c r="AS440" s="14"/>
      <c r="AT440" s="14"/>
      <c r="AU440" s="14"/>
      <c r="AV440" s="14"/>
      <c r="AW440" s="14"/>
      <c r="AX440" s="14"/>
      <c r="AY440" s="14"/>
      <c r="AZ440" s="14"/>
      <c r="BA440" s="14"/>
      <c r="BB440" s="14"/>
      <c r="BC440" s="14"/>
      <c r="BD440" s="14"/>
      <c r="BE440" s="14"/>
      <c r="BF440" s="14"/>
      <c r="BG440" s="14"/>
      <c r="BH440" s="14"/>
      <c r="BI440" s="14"/>
      <c r="BJ440" s="14"/>
      <c r="BK440" s="14"/>
      <c r="BL440" s="14"/>
      <c r="BM440" s="14"/>
      <c r="BN440" s="14"/>
    </row>
    <row r="441" ht="22.5" hidden="1" customHeight="1">
      <c r="A441" s="349" t="s">
        <v>810</v>
      </c>
      <c r="B441" s="350"/>
      <c r="C441" s="441" t="s">
        <v>811</v>
      </c>
      <c r="D441" s="379">
        <v>3162.0</v>
      </c>
      <c r="E441" s="353" t="s">
        <v>164</v>
      </c>
      <c r="F441" s="354" t="s">
        <v>72</v>
      </c>
      <c r="G441" s="355" t="s">
        <v>812</v>
      </c>
      <c r="H441" s="356" t="s">
        <v>31</v>
      </c>
      <c r="I441" s="356" t="s">
        <v>98</v>
      </c>
      <c r="J441" s="357" t="s">
        <v>1014</v>
      </c>
      <c r="K441" s="358">
        <v>354.0</v>
      </c>
      <c r="L441" s="359">
        <v>46190.0</v>
      </c>
      <c r="M441" s="359">
        <v>46197.0</v>
      </c>
      <c r="N441" s="360"/>
      <c r="O441" s="361" t="s">
        <v>34</v>
      </c>
      <c r="P441" s="362"/>
      <c r="Q441" s="388" t="s">
        <v>35</v>
      </c>
      <c r="R441" s="388" t="s">
        <v>133</v>
      </c>
      <c r="S441" s="381" t="s">
        <v>36</v>
      </c>
      <c r="T441" s="381" t="s">
        <v>36</v>
      </c>
      <c r="U441" s="374" t="s">
        <v>37</v>
      </c>
      <c r="V441" s="430"/>
      <c r="W441" s="395" t="s">
        <v>1015</v>
      </c>
      <c r="X441" s="338" t="s">
        <v>399</v>
      </c>
      <c r="Y441" s="365" t="s">
        <v>516</v>
      </c>
      <c r="Z441" s="380" t="s">
        <v>814</v>
      </c>
      <c r="AA441" s="367"/>
      <c r="AB441" s="13"/>
      <c r="AC441" s="13"/>
      <c r="AD441" s="13"/>
      <c r="AE441" s="13"/>
      <c r="AF441" s="13"/>
      <c r="AG441" s="13"/>
      <c r="AH441" s="13"/>
      <c r="AI441" s="13"/>
      <c r="AJ441" s="13"/>
      <c r="AK441" s="13"/>
      <c r="AL441" s="13"/>
      <c r="AM441" s="14"/>
      <c r="AN441" s="14"/>
      <c r="AO441" s="14"/>
      <c r="AP441" s="14"/>
      <c r="AQ441" s="14"/>
      <c r="AR441" s="14"/>
      <c r="AS441" s="14"/>
      <c r="AT441" s="14"/>
      <c r="AU441" s="14"/>
      <c r="AV441" s="14"/>
      <c r="AW441" s="14"/>
      <c r="AX441" s="14"/>
      <c r="AY441" s="14"/>
      <c r="AZ441" s="14"/>
      <c r="BA441" s="14"/>
      <c r="BB441" s="14"/>
      <c r="BC441" s="14"/>
      <c r="BD441" s="14"/>
      <c r="BE441" s="14"/>
      <c r="BF441" s="14"/>
      <c r="BG441" s="14"/>
      <c r="BH441" s="14"/>
      <c r="BI441" s="14"/>
      <c r="BJ441" s="14"/>
      <c r="BK441" s="14"/>
      <c r="BL441" s="14"/>
      <c r="BM441" s="14"/>
      <c r="BN441" s="14"/>
    </row>
    <row r="442" ht="22.5" hidden="1" customHeight="1">
      <c r="A442" s="349" t="s">
        <v>810</v>
      </c>
      <c r="B442" s="350"/>
      <c r="C442" s="441" t="s">
        <v>820</v>
      </c>
      <c r="D442" s="379">
        <v>3163.0</v>
      </c>
      <c r="E442" s="353" t="s">
        <v>164</v>
      </c>
      <c r="F442" s="354" t="s">
        <v>72</v>
      </c>
      <c r="G442" s="355" t="s">
        <v>812</v>
      </c>
      <c r="H442" s="356" t="s">
        <v>31</v>
      </c>
      <c r="I442" s="356" t="s">
        <v>98</v>
      </c>
      <c r="J442" s="357" t="s">
        <v>197</v>
      </c>
      <c r="K442" s="358">
        <v>561.0</v>
      </c>
      <c r="L442" s="359">
        <v>46190.0</v>
      </c>
      <c r="M442" s="359">
        <v>46197.0</v>
      </c>
      <c r="N442" s="360"/>
      <c r="O442" s="361" t="s">
        <v>34</v>
      </c>
      <c r="P442" s="362"/>
      <c r="Q442" s="388" t="s">
        <v>35</v>
      </c>
      <c r="R442" s="388" t="s">
        <v>133</v>
      </c>
      <c r="S442" s="381" t="s">
        <v>36</v>
      </c>
      <c r="T442" s="381" t="s">
        <v>36</v>
      </c>
      <c r="U442" s="374" t="s">
        <v>37</v>
      </c>
      <c r="V442" s="430"/>
      <c r="W442" s="395" t="s">
        <v>1015</v>
      </c>
      <c r="X442" s="338" t="s">
        <v>399</v>
      </c>
      <c r="Y442" s="365" t="s">
        <v>516</v>
      </c>
      <c r="Z442" s="380" t="s">
        <v>814</v>
      </c>
      <c r="AA442" s="367"/>
      <c r="AB442" s="13"/>
      <c r="AC442" s="13"/>
      <c r="AD442" s="13"/>
      <c r="AE442" s="13"/>
      <c r="AF442" s="13"/>
      <c r="AG442" s="13"/>
      <c r="AH442" s="13"/>
      <c r="AI442" s="13"/>
      <c r="AJ442" s="13"/>
      <c r="AK442" s="13"/>
      <c r="AL442" s="13"/>
      <c r="AM442" s="14"/>
      <c r="AN442" s="14"/>
      <c r="AO442" s="14"/>
      <c r="AP442" s="14"/>
      <c r="AQ442" s="14"/>
      <c r="AR442" s="14"/>
      <c r="AS442" s="14"/>
      <c r="AT442" s="14"/>
      <c r="AU442" s="14"/>
      <c r="AV442" s="14"/>
      <c r="AW442" s="14"/>
      <c r="AX442" s="14"/>
      <c r="AY442" s="14"/>
      <c r="AZ442" s="14"/>
      <c r="BA442" s="14"/>
      <c r="BB442" s="14"/>
      <c r="BC442" s="14"/>
      <c r="BD442" s="14"/>
      <c r="BE442" s="14"/>
      <c r="BF442" s="14"/>
      <c r="BG442" s="14"/>
      <c r="BH442" s="14"/>
      <c r="BI442" s="14"/>
      <c r="BJ442" s="14"/>
      <c r="BK442" s="14"/>
      <c r="BL442" s="14"/>
      <c r="BM442" s="14"/>
      <c r="BN442" s="14"/>
    </row>
    <row r="443" ht="22.5" hidden="1" customHeight="1">
      <c r="A443" s="349" t="s">
        <v>803</v>
      </c>
      <c r="B443" s="350"/>
      <c r="C443" s="351" t="s">
        <v>1016</v>
      </c>
      <c r="D443" s="379">
        <v>3185.0</v>
      </c>
      <c r="E443" s="353" t="s">
        <v>29</v>
      </c>
      <c r="F443" s="354" t="s">
        <v>30</v>
      </c>
      <c r="G443" s="355" t="s">
        <v>332</v>
      </c>
      <c r="H443" s="356" t="s">
        <v>31</v>
      </c>
      <c r="I443" s="356" t="s">
        <v>98</v>
      </c>
      <c r="J443" s="357">
        <v>10000.0</v>
      </c>
      <c r="K443" s="407"/>
      <c r="L443" s="359">
        <v>46185.0</v>
      </c>
      <c r="M443" s="359">
        <v>46188.0</v>
      </c>
      <c r="N443" s="360"/>
      <c r="O443" s="361" t="s">
        <v>70</v>
      </c>
      <c r="P443" s="362"/>
      <c r="Q443" s="387"/>
      <c r="R443" s="388" t="s">
        <v>133</v>
      </c>
      <c r="S443" s="381" t="s">
        <v>36</v>
      </c>
      <c r="T443" s="381" t="s">
        <v>36</v>
      </c>
      <c r="U443" s="374" t="s">
        <v>37</v>
      </c>
      <c r="V443" s="430"/>
      <c r="W443" s="382"/>
      <c r="X443" s="366"/>
      <c r="Y443" s="366"/>
      <c r="Z443" s="367"/>
      <c r="AA443" s="367"/>
      <c r="AB443" s="13"/>
      <c r="AC443" s="13"/>
      <c r="AD443" s="13"/>
      <c r="AE443" s="13"/>
      <c r="AF443" s="13"/>
      <c r="AG443" s="13"/>
      <c r="AH443" s="13"/>
      <c r="AI443" s="13"/>
      <c r="AJ443" s="13"/>
      <c r="AK443" s="13"/>
      <c r="AL443" s="13"/>
      <c r="AM443" s="14"/>
      <c r="AN443" s="14"/>
      <c r="AO443" s="14"/>
      <c r="AP443" s="14"/>
      <c r="AQ443" s="14"/>
      <c r="AR443" s="14"/>
      <c r="AS443" s="14"/>
      <c r="AT443" s="14"/>
      <c r="AU443" s="14"/>
      <c r="AV443" s="14"/>
      <c r="AW443" s="14"/>
      <c r="AX443" s="14"/>
      <c r="AY443" s="14"/>
      <c r="AZ443" s="14"/>
      <c r="BA443" s="14"/>
      <c r="BB443" s="14"/>
      <c r="BC443" s="14"/>
      <c r="BD443" s="14"/>
      <c r="BE443" s="14"/>
      <c r="BF443" s="14"/>
      <c r="BG443" s="14"/>
      <c r="BH443" s="14"/>
      <c r="BI443" s="14"/>
      <c r="BJ443" s="14"/>
      <c r="BK443" s="14"/>
      <c r="BL443" s="14"/>
      <c r="BM443" s="14"/>
      <c r="BN443" s="14"/>
    </row>
    <row r="444" ht="22.5" hidden="1" customHeight="1">
      <c r="A444" s="349" t="s">
        <v>395</v>
      </c>
      <c r="B444" s="350"/>
      <c r="C444" s="389" t="s">
        <v>1017</v>
      </c>
      <c r="D444" s="352">
        <v>3186.0</v>
      </c>
      <c r="E444" s="353" t="s">
        <v>164</v>
      </c>
      <c r="F444" s="354" t="s">
        <v>72</v>
      </c>
      <c r="G444" s="355" t="s">
        <v>397</v>
      </c>
      <c r="H444" s="356" t="s">
        <v>31</v>
      </c>
      <c r="I444" s="356" t="s">
        <v>261</v>
      </c>
      <c r="J444" s="357" t="s">
        <v>79</v>
      </c>
      <c r="K444" s="358">
        <v>977.0</v>
      </c>
      <c r="L444" s="359">
        <v>46191.0</v>
      </c>
      <c r="M444" s="359">
        <v>46197.0</v>
      </c>
      <c r="N444" s="360"/>
      <c r="O444" s="361" t="s">
        <v>70</v>
      </c>
      <c r="P444" s="362"/>
      <c r="Q444" s="388" t="s">
        <v>35</v>
      </c>
      <c r="R444" s="388" t="s">
        <v>133</v>
      </c>
      <c r="S444" s="381" t="s">
        <v>36</v>
      </c>
      <c r="T444" s="381" t="s">
        <v>36</v>
      </c>
      <c r="U444" s="374" t="s">
        <v>37</v>
      </c>
      <c r="V444" s="375">
        <v>46195.0</v>
      </c>
      <c r="W444" s="382"/>
      <c r="X444" s="338" t="s">
        <v>399</v>
      </c>
      <c r="Y444" s="365" t="s">
        <v>516</v>
      </c>
      <c r="Z444" s="380" t="s">
        <v>814</v>
      </c>
      <c r="AA444" s="367"/>
      <c r="AB444" s="13"/>
      <c r="AC444" s="13"/>
      <c r="AD444" s="13"/>
      <c r="AE444" s="13"/>
      <c r="AF444" s="13"/>
      <c r="AG444" s="13"/>
      <c r="AH444" s="13"/>
      <c r="AI444" s="13"/>
      <c r="AJ444" s="13"/>
      <c r="AK444" s="13"/>
      <c r="AL444" s="13"/>
      <c r="AM444" s="14"/>
      <c r="AN444" s="14"/>
      <c r="AO444" s="14"/>
      <c r="AP444" s="14"/>
      <c r="AQ444" s="14"/>
      <c r="AR444" s="14"/>
      <c r="AS444" s="14"/>
      <c r="AT444" s="14"/>
      <c r="AU444" s="14"/>
      <c r="AV444" s="14"/>
      <c r="AW444" s="14"/>
      <c r="AX444" s="14"/>
      <c r="AY444" s="14"/>
      <c r="AZ444" s="14"/>
      <c r="BA444" s="14"/>
      <c r="BB444" s="14"/>
      <c r="BC444" s="14"/>
      <c r="BD444" s="14"/>
      <c r="BE444" s="14"/>
      <c r="BF444" s="14"/>
      <c r="BG444" s="14"/>
      <c r="BH444" s="14"/>
      <c r="BI444" s="14"/>
      <c r="BJ444" s="14"/>
      <c r="BK444" s="14"/>
      <c r="BL444" s="14"/>
      <c r="BM444" s="14"/>
      <c r="BN444" s="14"/>
    </row>
    <row r="445" ht="22.5" hidden="1" customHeight="1">
      <c r="A445" s="349" t="s">
        <v>155</v>
      </c>
      <c r="B445" s="350"/>
      <c r="C445" s="351" t="s">
        <v>1018</v>
      </c>
      <c r="D445" s="352">
        <v>3192.0</v>
      </c>
      <c r="E445" s="353" t="s">
        <v>157</v>
      </c>
      <c r="F445" s="354" t="s">
        <v>68</v>
      </c>
      <c r="G445" s="355" t="s">
        <v>593</v>
      </c>
      <c r="H445" s="356" t="s">
        <v>31</v>
      </c>
      <c r="I445" s="356" t="s">
        <v>98</v>
      </c>
      <c r="J445" s="357">
        <v>20000.0</v>
      </c>
      <c r="K445" s="358">
        <v>3190.0</v>
      </c>
      <c r="L445" s="359">
        <v>46191.0</v>
      </c>
      <c r="M445" s="359">
        <v>46197.0</v>
      </c>
      <c r="N445" s="360"/>
      <c r="O445" s="361" t="s">
        <v>70</v>
      </c>
      <c r="P445" s="362"/>
      <c r="Q445" s="353" t="s">
        <v>35</v>
      </c>
      <c r="R445" s="353" t="s">
        <v>133</v>
      </c>
      <c r="S445" s="361" t="s">
        <v>35</v>
      </c>
      <c r="T445" s="361" t="s">
        <v>36</v>
      </c>
      <c r="U445" s="363" t="s">
        <v>37</v>
      </c>
      <c r="V445" s="430"/>
      <c r="W445" s="357" t="s">
        <v>1019</v>
      </c>
      <c r="X445" s="365" t="s">
        <v>160</v>
      </c>
      <c r="Y445" s="366"/>
      <c r="Z445" s="367"/>
      <c r="AA445" s="380" t="s">
        <v>1020</v>
      </c>
      <c r="AB445" s="13"/>
      <c r="AC445" s="13"/>
      <c r="AD445" s="13"/>
      <c r="AE445" s="13"/>
      <c r="AF445" s="13"/>
      <c r="AG445" s="13"/>
      <c r="AH445" s="13"/>
      <c r="AI445" s="13"/>
      <c r="AJ445" s="13"/>
      <c r="AK445" s="13"/>
      <c r="AL445" s="13"/>
      <c r="AM445" s="14"/>
      <c r="AN445" s="14"/>
      <c r="AO445" s="14"/>
      <c r="AP445" s="14"/>
      <c r="AQ445" s="14"/>
      <c r="AR445" s="14"/>
      <c r="AS445" s="14"/>
      <c r="AT445" s="14"/>
      <c r="AU445" s="14"/>
      <c r="AV445" s="14"/>
      <c r="AW445" s="14"/>
      <c r="AX445" s="14"/>
      <c r="AY445" s="14"/>
      <c r="AZ445" s="14"/>
      <c r="BA445" s="14"/>
      <c r="BB445" s="14"/>
      <c r="BC445" s="14"/>
      <c r="BD445" s="14"/>
      <c r="BE445" s="14"/>
      <c r="BF445" s="14"/>
      <c r="BG445" s="14"/>
      <c r="BH445" s="14"/>
      <c r="BI445" s="14"/>
      <c r="BJ445" s="14"/>
      <c r="BK445" s="14"/>
      <c r="BL445" s="14"/>
      <c r="BM445" s="14"/>
      <c r="BN445" s="14"/>
    </row>
    <row r="446" ht="22.5" hidden="1" customHeight="1">
      <c r="A446" s="349" t="s">
        <v>155</v>
      </c>
      <c r="B446" s="350"/>
      <c r="C446" s="351" t="s">
        <v>1021</v>
      </c>
      <c r="D446" s="352">
        <v>3194.0</v>
      </c>
      <c r="E446" s="353" t="s">
        <v>157</v>
      </c>
      <c r="F446" s="354" t="s">
        <v>30</v>
      </c>
      <c r="G446" s="355" t="s">
        <v>1022</v>
      </c>
      <c r="H446" s="356" t="s">
        <v>31</v>
      </c>
      <c r="I446" s="356" t="s">
        <v>98</v>
      </c>
      <c r="J446" s="357">
        <v>7000.0</v>
      </c>
      <c r="K446" s="358">
        <v>1032.0</v>
      </c>
      <c r="L446" s="359">
        <v>46191.0</v>
      </c>
      <c r="M446" s="359">
        <v>46197.0</v>
      </c>
      <c r="N446" s="360"/>
      <c r="O446" s="361" t="s">
        <v>70</v>
      </c>
      <c r="P446" s="362"/>
      <c r="Q446" s="353" t="s">
        <v>35</v>
      </c>
      <c r="R446" s="353" t="s">
        <v>133</v>
      </c>
      <c r="S446" s="361" t="s">
        <v>35</v>
      </c>
      <c r="T446" s="361" t="s">
        <v>36</v>
      </c>
      <c r="U446" s="363" t="s">
        <v>37</v>
      </c>
      <c r="V446" s="430"/>
      <c r="W446" s="357" t="s">
        <v>1019</v>
      </c>
      <c r="X446" s="365" t="s">
        <v>160</v>
      </c>
      <c r="Y446" s="366"/>
      <c r="Z446" s="367"/>
      <c r="AA446" s="380" t="s">
        <v>1020</v>
      </c>
      <c r="AB446" s="13"/>
      <c r="AC446" s="13"/>
      <c r="AD446" s="13"/>
      <c r="AE446" s="13"/>
      <c r="AF446" s="13"/>
      <c r="AG446" s="13"/>
      <c r="AH446" s="13"/>
      <c r="AI446" s="13"/>
      <c r="AJ446" s="13"/>
      <c r="AK446" s="13"/>
      <c r="AL446" s="13"/>
      <c r="AM446" s="14"/>
      <c r="AN446" s="14"/>
      <c r="AO446" s="14"/>
      <c r="AP446" s="14"/>
      <c r="AQ446" s="14"/>
      <c r="AR446" s="14"/>
      <c r="AS446" s="14"/>
      <c r="AT446" s="14"/>
      <c r="AU446" s="14"/>
      <c r="AV446" s="14"/>
      <c r="AW446" s="14"/>
      <c r="AX446" s="14"/>
      <c r="AY446" s="14"/>
      <c r="AZ446" s="14"/>
      <c r="BA446" s="14"/>
      <c r="BB446" s="14"/>
      <c r="BC446" s="14"/>
      <c r="BD446" s="14"/>
      <c r="BE446" s="14"/>
      <c r="BF446" s="14"/>
      <c r="BG446" s="14"/>
      <c r="BH446" s="14"/>
      <c r="BI446" s="14"/>
      <c r="BJ446" s="14"/>
      <c r="BK446" s="14"/>
      <c r="BL446" s="14"/>
      <c r="BM446" s="14"/>
      <c r="BN446" s="14"/>
    </row>
    <row r="447" ht="22.5" hidden="1" customHeight="1">
      <c r="A447" s="349" t="s">
        <v>155</v>
      </c>
      <c r="B447" s="350"/>
      <c r="C447" s="351" t="s">
        <v>1023</v>
      </c>
      <c r="D447" s="352">
        <v>3195.0</v>
      </c>
      <c r="E447" s="353" t="s">
        <v>157</v>
      </c>
      <c r="F447" s="354" t="s">
        <v>30</v>
      </c>
      <c r="G447" s="355" t="s">
        <v>593</v>
      </c>
      <c r="H447" s="356" t="s">
        <v>31</v>
      </c>
      <c r="I447" s="356" t="s">
        <v>98</v>
      </c>
      <c r="J447" s="357">
        <v>10000.0</v>
      </c>
      <c r="K447" s="358">
        <v>1757.0</v>
      </c>
      <c r="L447" s="359">
        <v>46191.0</v>
      </c>
      <c r="M447" s="359">
        <v>46197.0</v>
      </c>
      <c r="N447" s="360"/>
      <c r="O447" s="361" t="s">
        <v>70</v>
      </c>
      <c r="P447" s="362"/>
      <c r="Q447" s="353" t="s">
        <v>144</v>
      </c>
      <c r="R447" s="353" t="s">
        <v>133</v>
      </c>
      <c r="S447" s="361" t="s">
        <v>35</v>
      </c>
      <c r="T447" s="361" t="s">
        <v>36</v>
      </c>
      <c r="U447" s="363" t="s">
        <v>37</v>
      </c>
      <c r="V447" s="430"/>
      <c r="W447" s="357" t="s">
        <v>1019</v>
      </c>
      <c r="X447" s="365" t="s">
        <v>160</v>
      </c>
      <c r="Y447" s="366"/>
      <c r="Z447" s="367"/>
      <c r="AA447" s="380" t="s">
        <v>1020</v>
      </c>
      <c r="AB447" s="13"/>
      <c r="AC447" s="13"/>
      <c r="AD447" s="13"/>
      <c r="AE447" s="13"/>
      <c r="AF447" s="13"/>
      <c r="AG447" s="13"/>
      <c r="AH447" s="13"/>
      <c r="AI447" s="13"/>
      <c r="AJ447" s="13"/>
      <c r="AK447" s="13"/>
      <c r="AL447" s="13"/>
      <c r="AM447" s="14"/>
      <c r="AN447" s="14"/>
      <c r="AO447" s="14"/>
      <c r="AP447" s="14"/>
      <c r="AQ447" s="14"/>
      <c r="AR447" s="14"/>
      <c r="AS447" s="14"/>
      <c r="AT447" s="14"/>
      <c r="AU447" s="14"/>
      <c r="AV447" s="14"/>
      <c r="AW447" s="14"/>
      <c r="AX447" s="14"/>
      <c r="AY447" s="14"/>
      <c r="AZ447" s="14"/>
      <c r="BA447" s="14"/>
      <c r="BB447" s="14"/>
      <c r="BC447" s="14"/>
      <c r="BD447" s="14"/>
      <c r="BE447" s="14"/>
      <c r="BF447" s="14"/>
      <c r="BG447" s="14"/>
      <c r="BH447" s="14"/>
      <c r="BI447" s="14"/>
      <c r="BJ447" s="14"/>
      <c r="BK447" s="14"/>
      <c r="BL447" s="14"/>
      <c r="BM447" s="14"/>
      <c r="BN447" s="14"/>
    </row>
    <row r="448" ht="22.5" hidden="1" customHeight="1">
      <c r="A448" s="349" t="s">
        <v>384</v>
      </c>
      <c r="B448" s="350"/>
      <c r="C448" s="351" t="s">
        <v>1024</v>
      </c>
      <c r="D448" s="352">
        <v>3207.0</v>
      </c>
      <c r="E448" s="353" t="s">
        <v>157</v>
      </c>
      <c r="F448" s="354" t="s">
        <v>72</v>
      </c>
      <c r="G448" s="355" t="s">
        <v>386</v>
      </c>
      <c r="H448" s="356" t="s">
        <v>31</v>
      </c>
      <c r="I448" s="356" t="s">
        <v>311</v>
      </c>
      <c r="J448" s="357">
        <v>15000.0</v>
      </c>
      <c r="K448" s="358">
        <v>327.0</v>
      </c>
      <c r="L448" s="359">
        <v>46192.0</v>
      </c>
      <c r="M448" s="359">
        <v>46193.0</v>
      </c>
      <c r="N448" s="360"/>
      <c r="O448" s="361" t="s">
        <v>99</v>
      </c>
      <c r="P448" s="362"/>
      <c r="Q448" s="353" t="s">
        <v>35</v>
      </c>
      <c r="R448" s="353" t="s">
        <v>133</v>
      </c>
      <c r="S448" s="361" t="s">
        <v>36</v>
      </c>
      <c r="T448" s="361" t="s">
        <v>36</v>
      </c>
      <c r="U448" s="363" t="s">
        <v>37</v>
      </c>
      <c r="V448" s="430"/>
      <c r="W448" s="382"/>
      <c r="X448" s="365" t="s">
        <v>1025</v>
      </c>
      <c r="Y448" s="366"/>
      <c r="Z448" s="367"/>
      <c r="AA448" s="367"/>
      <c r="AB448" s="13"/>
      <c r="AC448" s="13"/>
      <c r="AD448" s="13"/>
      <c r="AE448" s="13"/>
      <c r="AF448" s="13"/>
      <c r="AG448" s="13"/>
      <c r="AH448" s="13"/>
      <c r="AI448" s="13"/>
      <c r="AJ448" s="13"/>
      <c r="AK448" s="13"/>
      <c r="AL448" s="13"/>
      <c r="AM448" s="14"/>
      <c r="AN448" s="14"/>
      <c r="AO448" s="14"/>
      <c r="AP448" s="14"/>
      <c r="AQ448" s="14"/>
      <c r="AR448" s="14"/>
      <c r="AS448" s="14"/>
      <c r="AT448" s="14"/>
      <c r="AU448" s="14"/>
      <c r="AV448" s="14"/>
      <c r="AW448" s="14"/>
      <c r="AX448" s="14"/>
      <c r="AY448" s="14"/>
      <c r="AZ448" s="14"/>
      <c r="BA448" s="14"/>
      <c r="BB448" s="14"/>
      <c r="BC448" s="14"/>
      <c r="BD448" s="14"/>
      <c r="BE448" s="14"/>
      <c r="BF448" s="14"/>
      <c r="BG448" s="14"/>
      <c r="BH448" s="14"/>
      <c r="BI448" s="14"/>
      <c r="BJ448" s="14"/>
      <c r="BK448" s="14"/>
      <c r="BL448" s="14"/>
      <c r="BM448" s="14"/>
      <c r="BN448" s="14"/>
    </row>
    <row r="449" ht="22.5" hidden="1" customHeight="1">
      <c r="A449" s="349" t="s">
        <v>744</v>
      </c>
      <c r="B449" s="350"/>
      <c r="C449" s="351" t="s">
        <v>1026</v>
      </c>
      <c r="D449" s="379">
        <v>3215.0</v>
      </c>
      <c r="E449" s="353" t="s">
        <v>95</v>
      </c>
      <c r="F449" s="354" t="s">
        <v>72</v>
      </c>
      <c r="G449" s="355" t="s">
        <v>660</v>
      </c>
      <c r="H449" s="356" t="s">
        <v>510</v>
      </c>
      <c r="I449" s="356" t="s">
        <v>511</v>
      </c>
      <c r="J449" s="357">
        <v>100000.0</v>
      </c>
      <c r="K449" s="358">
        <v>6356.0</v>
      </c>
      <c r="L449" s="359">
        <v>46191.0</v>
      </c>
      <c r="M449" s="359">
        <v>46195.0</v>
      </c>
      <c r="N449" s="360"/>
      <c r="O449" s="361" t="s">
        <v>661</v>
      </c>
      <c r="P449" s="362"/>
      <c r="Q449" s="353" t="s">
        <v>35</v>
      </c>
      <c r="R449" s="353" t="s">
        <v>133</v>
      </c>
      <c r="S449" s="361" t="s">
        <v>1008</v>
      </c>
      <c r="T449" s="361" t="s">
        <v>36</v>
      </c>
      <c r="U449" s="363" t="s">
        <v>37</v>
      </c>
      <c r="V449" s="375">
        <v>46194.0</v>
      </c>
      <c r="W449" s="382"/>
      <c r="X449" s="366"/>
      <c r="Y449" s="366"/>
      <c r="Z449" s="367"/>
      <c r="AA449" s="367"/>
      <c r="AB449" s="13"/>
      <c r="AC449" s="13"/>
      <c r="AD449" s="13"/>
      <c r="AE449" s="13"/>
      <c r="AF449" s="13"/>
      <c r="AG449" s="13"/>
      <c r="AH449" s="13"/>
      <c r="AI449" s="13"/>
      <c r="AJ449" s="13"/>
      <c r="AK449" s="13"/>
      <c r="AL449" s="13"/>
      <c r="AM449" s="14"/>
      <c r="AN449" s="14"/>
      <c r="AO449" s="14"/>
      <c r="AP449" s="14"/>
      <c r="AQ449" s="14"/>
      <c r="AR449" s="14"/>
      <c r="AS449" s="14"/>
      <c r="AT449" s="14"/>
      <c r="AU449" s="14"/>
      <c r="AV449" s="14"/>
      <c r="AW449" s="14"/>
      <c r="AX449" s="14"/>
      <c r="AY449" s="14"/>
      <c r="AZ449" s="14"/>
      <c r="BA449" s="14"/>
      <c r="BB449" s="14"/>
      <c r="BC449" s="14"/>
      <c r="BD449" s="14"/>
      <c r="BE449" s="14"/>
      <c r="BF449" s="14"/>
      <c r="BG449" s="14"/>
      <c r="BH449" s="14"/>
      <c r="BI449" s="14"/>
      <c r="BJ449" s="14"/>
      <c r="BK449" s="14"/>
      <c r="BL449" s="14"/>
      <c r="BM449" s="14"/>
      <c r="BN449" s="14"/>
    </row>
    <row r="450" ht="47.25" hidden="1" customHeight="1">
      <c r="A450" s="349" t="s">
        <v>744</v>
      </c>
      <c r="B450" s="350"/>
      <c r="C450" s="351" t="s">
        <v>1027</v>
      </c>
      <c r="D450" s="379">
        <v>3216.0</v>
      </c>
      <c r="E450" s="353" t="s">
        <v>95</v>
      </c>
      <c r="F450" s="354" t="s">
        <v>72</v>
      </c>
      <c r="G450" s="355" t="s">
        <v>722</v>
      </c>
      <c r="H450" s="356" t="s">
        <v>510</v>
      </c>
      <c r="I450" s="356" t="s">
        <v>511</v>
      </c>
      <c r="J450" s="357">
        <v>50000.0</v>
      </c>
      <c r="K450" s="358">
        <v>5205.0</v>
      </c>
      <c r="L450" s="359">
        <v>46191.0</v>
      </c>
      <c r="M450" s="359">
        <v>46195.0</v>
      </c>
      <c r="N450" s="360"/>
      <c r="O450" s="361" t="s">
        <v>338</v>
      </c>
      <c r="P450" s="362"/>
      <c r="Q450" s="353" t="s">
        <v>35</v>
      </c>
      <c r="R450" s="353" t="s">
        <v>133</v>
      </c>
      <c r="S450" s="361" t="s">
        <v>1008</v>
      </c>
      <c r="T450" s="361" t="s">
        <v>36</v>
      </c>
      <c r="U450" s="363" t="s">
        <v>37</v>
      </c>
      <c r="V450" s="375">
        <v>46194.0</v>
      </c>
      <c r="W450" s="382"/>
      <c r="X450" s="366"/>
      <c r="Y450" s="366"/>
      <c r="Z450" s="367"/>
      <c r="AA450" s="367"/>
      <c r="AB450" s="13"/>
      <c r="AC450" s="13"/>
      <c r="AD450" s="13"/>
      <c r="AE450" s="13"/>
      <c r="AF450" s="13"/>
      <c r="AG450" s="13"/>
      <c r="AH450" s="13"/>
      <c r="AI450" s="13"/>
      <c r="AJ450" s="13"/>
      <c r="AK450" s="13"/>
      <c r="AL450" s="13"/>
      <c r="AM450" s="14"/>
      <c r="AN450" s="14"/>
      <c r="AO450" s="14"/>
      <c r="AP450" s="14"/>
      <c r="AQ450" s="14"/>
      <c r="AR450" s="14"/>
      <c r="AS450" s="14"/>
      <c r="AT450" s="14"/>
      <c r="AU450" s="14"/>
      <c r="AV450" s="14"/>
      <c r="AW450" s="14"/>
      <c r="AX450" s="14"/>
      <c r="AY450" s="14"/>
      <c r="AZ450" s="14"/>
      <c r="BA450" s="14"/>
      <c r="BB450" s="14"/>
      <c r="BC450" s="14"/>
      <c r="BD450" s="14"/>
      <c r="BE450" s="14"/>
      <c r="BF450" s="14"/>
      <c r="BG450" s="14"/>
      <c r="BH450" s="14"/>
      <c r="BI450" s="14"/>
      <c r="BJ450" s="14"/>
      <c r="BK450" s="14"/>
      <c r="BL450" s="14"/>
      <c r="BM450" s="14"/>
      <c r="BN450" s="14"/>
    </row>
    <row r="451" ht="22.5" hidden="1" customHeight="1">
      <c r="A451" s="349" t="s">
        <v>155</v>
      </c>
      <c r="B451" s="350"/>
      <c r="C451" s="351" t="s">
        <v>380</v>
      </c>
      <c r="D451" s="352">
        <v>3236.0</v>
      </c>
      <c r="E451" s="353" t="s">
        <v>157</v>
      </c>
      <c r="F451" s="354" t="s">
        <v>72</v>
      </c>
      <c r="G451" s="355" t="s">
        <v>381</v>
      </c>
      <c r="H451" s="356" t="s">
        <v>31</v>
      </c>
      <c r="I451" s="356" t="s">
        <v>98</v>
      </c>
      <c r="J451" s="357">
        <v>10000.0</v>
      </c>
      <c r="K451" s="358">
        <v>1757.0</v>
      </c>
      <c r="L451" s="359">
        <v>46191.0</v>
      </c>
      <c r="M451" s="359">
        <v>46197.0</v>
      </c>
      <c r="N451" s="360"/>
      <c r="O451" s="361" t="s">
        <v>70</v>
      </c>
      <c r="P451" s="362"/>
      <c r="Q451" s="353" t="s">
        <v>35</v>
      </c>
      <c r="R451" s="353" t="s">
        <v>133</v>
      </c>
      <c r="S451" s="361" t="s">
        <v>36</v>
      </c>
      <c r="T451" s="361" t="s">
        <v>36</v>
      </c>
      <c r="U451" s="374" t="s">
        <v>37</v>
      </c>
      <c r="V451" s="430"/>
      <c r="W451" s="357" t="s">
        <v>1019</v>
      </c>
      <c r="X451" s="365" t="s">
        <v>160</v>
      </c>
      <c r="Y451" s="366"/>
      <c r="Z451" s="367"/>
      <c r="AA451" s="380" t="s">
        <v>1020</v>
      </c>
      <c r="AB451" s="13"/>
      <c r="AC451" s="13"/>
      <c r="AD451" s="13"/>
      <c r="AE451" s="13"/>
      <c r="AF451" s="13"/>
      <c r="AG451" s="13"/>
      <c r="AH451" s="13"/>
      <c r="AI451" s="13"/>
      <c r="AJ451" s="13"/>
      <c r="AK451" s="13"/>
      <c r="AL451" s="13"/>
      <c r="AM451" s="14"/>
      <c r="AN451" s="14"/>
      <c r="AO451" s="14"/>
      <c r="AP451" s="14"/>
      <c r="AQ451" s="14"/>
      <c r="AR451" s="14"/>
      <c r="AS451" s="14"/>
      <c r="AT451" s="14"/>
      <c r="AU451" s="14"/>
      <c r="AV451" s="14"/>
      <c r="AW451" s="14"/>
      <c r="AX451" s="14"/>
      <c r="AY451" s="14"/>
      <c r="AZ451" s="14"/>
      <c r="BA451" s="14"/>
      <c r="BB451" s="14"/>
      <c r="BC451" s="14"/>
      <c r="BD451" s="14"/>
      <c r="BE451" s="14"/>
      <c r="BF451" s="14"/>
      <c r="BG451" s="14"/>
      <c r="BH451" s="14"/>
      <c r="BI451" s="14"/>
      <c r="BJ451" s="14"/>
      <c r="BK451" s="14"/>
      <c r="BL451" s="14"/>
      <c r="BM451" s="14"/>
      <c r="BN451" s="14"/>
    </row>
    <row r="452" ht="22.5" hidden="1" customHeight="1">
      <c r="A452" s="349" t="s">
        <v>155</v>
      </c>
      <c r="B452" s="350"/>
      <c r="C452" s="401" t="s">
        <v>1028</v>
      </c>
      <c r="D452" s="352">
        <v>3237.0</v>
      </c>
      <c r="E452" s="353" t="s">
        <v>157</v>
      </c>
      <c r="F452" s="354" t="s">
        <v>30</v>
      </c>
      <c r="G452" s="355" t="s">
        <v>734</v>
      </c>
      <c r="H452" s="356" t="s">
        <v>31</v>
      </c>
      <c r="I452" s="356" t="s">
        <v>98</v>
      </c>
      <c r="J452" s="357">
        <v>3000.0</v>
      </c>
      <c r="K452" s="358">
        <v>494.0</v>
      </c>
      <c r="L452" s="359">
        <v>46191.0</v>
      </c>
      <c r="M452" s="359">
        <v>46197.0</v>
      </c>
      <c r="N452" s="360"/>
      <c r="O452" s="361" t="s">
        <v>731</v>
      </c>
      <c r="P452" s="362"/>
      <c r="Q452" s="353" t="s">
        <v>35</v>
      </c>
      <c r="R452" s="353" t="s">
        <v>133</v>
      </c>
      <c r="S452" s="361" t="s">
        <v>36</v>
      </c>
      <c r="T452" s="361" t="s">
        <v>36</v>
      </c>
      <c r="U452" s="374" t="s">
        <v>37</v>
      </c>
      <c r="V452" s="442"/>
      <c r="W452" s="357" t="s">
        <v>1019</v>
      </c>
      <c r="X452" s="365" t="s">
        <v>160</v>
      </c>
      <c r="Y452" s="366"/>
      <c r="Z452" s="367"/>
      <c r="AA452" s="380" t="s">
        <v>1020</v>
      </c>
      <c r="AB452" s="13"/>
      <c r="AC452" s="13"/>
      <c r="AD452" s="13"/>
      <c r="AE452" s="13"/>
      <c r="AF452" s="13"/>
      <c r="AG452" s="13"/>
      <c r="AH452" s="13"/>
      <c r="AI452" s="13"/>
      <c r="AJ452" s="13"/>
      <c r="AK452" s="13"/>
      <c r="AL452" s="13"/>
      <c r="AM452" s="14"/>
      <c r="AN452" s="14"/>
      <c r="AO452" s="14"/>
      <c r="AP452" s="14"/>
      <c r="AQ452" s="14"/>
      <c r="AR452" s="14"/>
      <c r="AS452" s="14"/>
      <c r="AT452" s="14"/>
      <c r="AU452" s="14"/>
      <c r="AV452" s="14"/>
      <c r="AW452" s="14"/>
      <c r="AX452" s="14"/>
      <c r="AY452" s="14"/>
      <c r="AZ452" s="14"/>
      <c r="BA452" s="14"/>
      <c r="BB452" s="14"/>
      <c r="BC452" s="14"/>
      <c r="BD452" s="14"/>
      <c r="BE452" s="14"/>
      <c r="BF452" s="14"/>
      <c r="BG452" s="14"/>
      <c r="BH452" s="14"/>
      <c r="BI452" s="14"/>
      <c r="BJ452" s="14"/>
      <c r="BK452" s="14"/>
      <c r="BL452" s="14"/>
      <c r="BM452" s="14"/>
      <c r="BN452" s="14"/>
    </row>
    <row r="453" ht="22.5" hidden="1" customHeight="1">
      <c r="A453" s="349" t="s">
        <v>943</v>
      </c>
      <c r="B453" s="350"/>
      <c r="C453" s="351" t="s">
        <v>662</v>
      </c>
      <c r="D453" s="379">
        <v>3242.0</v>
      </c>
      <c r="E453" s="353" t="s">
        <v>95</v>
      </c>
      <c r="F453" s="354" t="s">
        <v>72</v>
      </c>
      <c r="G453" s="355" t="s">
        <v>97</v>
      </c>
      <c r="H453" s="356" t="s">
        <v>31</v>
      </c>
      <c r="I453" s="356" t="s">
        <v>98</v>
      </c>
      <c r="J453" s="357">
        <v>100000.0</v>
      </c>
      <c r="K453" s="358">
        <v>3986.0</v>
      </c>
      <c r="L453" s="359">
        <v>46195.0</v>
      </c>
      <c r="M453" s="359">
        <v>46196.0</v>
      </c>
      <c r="N453" s="360"/>
      <c r="O453" s="361" t="s">
        <v>99</v>
      </c>
      <c r="P453" s="362"/>
      <c r="Q453" s="353" t="s">
        <v>35</v>
      </c>
      <c r="R453" s="353" t="s">
        <v>133</v>
      </c>
      <c r="S453" s="361" t="s">
        <v>36</v>
      </c>
      <c r="T453" s="361" t="s">
        <v>36</v>
      </c>
      <c r="U453" s="374" t="s">
        <v>37</v>
      </c>
      <c r="V453" s="430"/>
      <c r="W453" s="357" t="s">
        <v>1029</v>
      </c>
      <c r="X453" s="366"/>
      <c r="Y453" s="365" t="s">
        <v>516</v>
      </c>
      <c r="Z453" s="380" t="s">
        <v>533</v>
      </c>
      <c r="AA453" s="380" t="s">
        <v>1020</v>
      </c>
      <c r="AB453" s="13"/>
      <c r="AC453" s="13"/>
      <c r="AD453" s="13"/>
      <c r="AE453" s="13"/>
      <c r="AF453" s="13"/>
      <c r="AG453" s="13"/>
      <c r="AH453" s="13"/>
      <c r="AI453" s="13"/>
      <c r="AJ453" s="13"/>
      <c r="AK453" s="13"/>
      <c r="AL453" s="13"/>
      <c r="AM453" s="14"/>
      <c r="AN453" s="14"/>
      <c r="AO453" s="14"/>
      <c r="AP453" s="14"/>
      <c r="AQ453" s="14"/>
      <c r="AR453" s="14"/>
      <c r="AS453" s="14"/>
      <c r="AT453" s="14"/>
      <c r="AU453" s="14"/>
      <c r="AV453" s="14"/>
      <c r="AW453" s="14"/>
      <c r="AX453" s="14"/>
      <c r="AY453" s="14"/>
      <c r="AZ453" s="14"/>
      <c r="BA453" s="14"/>
      <c r="BB453" s="14"/>
      <c r="BC453" s="14"/>
      <c r="BD453" s="14"/>
      <c r="BE453" s="14"/>
      <c r="BF453" s="14"/>
      <c r="BG453" s="14"/>
      <c r="BH453" s="14"/>
      <c r="BI453" s="14"/>
      <c r="BJ453" s="14"/>
      <c r="BK453" s="14"/>
      <c r="BL453" s="14"/>
      <c r="BM453" s="14"/>
      <c r="BN453" s="14"/>
    </row>
    <row r="454" ht="22.5" hidden="1" customHeight="1">
      <c r="A454" s="349" t="s">
        <v>1030</v>
      </c>
      <c r="B454" s="350"/>
      <c r="C454" s="351" t="s">
        <v>1031</v>
      </c>
      <c r="D454" s="379">
        <v>3243.0</v>
      </c>
      <c r="E454" s="353" t="s">
        <v>95</v>
      </c>
      <c r="F454" s="354" t="s">
        <v>30</v>
      </c>
      <c r="G454" s="355" t="s">
        <v>1032</v>
      </c>
      <c r="H454" s="394"/>
      <c r="I454" s="356" t="s">
        <v>511</v>
      </c>
      <c r="J454" s="357">
        <v>100000.0</v>
      </c>
      <c r="K454" s="358">
        <v>6376.0</v>
      </c>
      <c r="L454" s="359">
        <v>46195.0</v>
      </c>
      <c r="M454" s="359">
        <v>46196.0</v>
      </c>
      <c r="N454" s="360"/>
      <c r="O454" s="361" t="s">
        <v>661</v>
      </c>
      <c r="P454" s="362"/>
      <c r="Q454" s="353" t="s">
        <v>35</v>
      </c>
      <c r="R454" s="353" t="s">
        <v>133</v>
      </c>
      <c r="S454" s="361" t="s">
        <v>1008</v>
      </c>
      <c r="T454" s="361" t="s">
        <v>36</v>
      </c>
      <c r="U454" s="374" t="s">
        <v>37</v>
      </c>
      <c r="V454" s="430"/>
      <c r="W454" s="357" t="s">
        <v>1029</v>
      </c>
      <c r="X454" s="366"/>
      <c r="Y454" s="365" t="s">
        <v>516</v>
      </c>
      <c r="Z454" s="380" t="s">
        <v>516</v>
      </c>
      <c r="AA454" s="380" t="s">
        <v>1020</v>
      </c>
      <c r="AB454" s="13"/>
      <c r="AC454" s="13"/>
      <c r="AD454" s="13"/>
      <c r="AE454" s="13"/>
      <c r="AF454" s="13"/>
      <c r="AG454" s="13"/>
      <c r="AH454" s="13"/>
      <c r="AI454" s="13"/>
      <c r="AJ454" s="13"/>
      <c r="AK454" s="13"/>
      <c r="AL454" s="13"/>
      <c r="AM454" s="14"/>
      <c r="AN454" s="14"/>
      <c r="AO454" s="14"/>
      <c r="AP454" s="14"/>
      <c r="AQ454" s="14"/>
      <c r="AR454" s="14"/>
      <c r="AS454" s="14"/>
      <c r="AT454" s="14"/>
      <c r="AU454" s="14"/>
      <c r="AV454" s="14"/>
      <c r="AW454" s="14"/>
      <c r="AX454" s="14"/>
      <c r="AY454" s="14"/>
      <c r="AZ454" s="14"/>
      <c r="BA454" s="14"/>
      <c r="BB454" s="14"/>
      <c r="BC454" s="14"/>
      <c r="BD454" s="14"/>
      <c r="BE454" s="14"/>
      <c r="BF454" s="14"/>
      <c r="BG454" s="14"/>
      <c r="BH454" s="14"/>
      <c r="BI454" s="14"/>
      <c r="BJ454" s="14"/>
      <c r="BK454" s="14"/>
      <c r="BL454" s="14"/>
      <c r="BM454" s="14"/>
      <c r="BN454" s="14"/>
    </row>
    <row r="455" ht="22.5" hidden="1" customHeight="1">
      <c r="A455" s="349" t="s">
        <v>803</v>
      </c>
      <c r="B455" s="350"/>
      <c r="C455" s="351" t="s">
        <v>1033</v>
      </c>
      <c r="D455" s="379">
        <v>3244.0</v>
      </c>
      <c r="E455" s="353" t="s">
        <v>29</v>
      </c>
      <c r="F455" s="354" t="s">
        <v>30</v>
      </c>
      <c r="G455" s="355" t="s">
        <v>138</v>
      </c>
      <c r="H455" s="356" t="s">
        <v>31</v>
      </c>
      <c r="I455" s="356" t="s">
        <v>132</v>
      </c>
      <c r="J455" s="357">
        <v>10000.0</v>
      </c>
      <c r="K455" s="358">
        <v>689.0</v>
      </c>
      <c r="L455" s="359">
        <v>46185.0</v>
      </c>
      <c r="M455" s="359">
        <v>46188.0</v>
      </c>
      <c r="N455" s="360"/>
      <c r="O455" s="361" t="s">
        <v>70</v>
      </c>
      <c r="P455" s="362"/>
      <c r="Q455" s="387"/>
      <c r="R455" s="388" t="s">
        <v>133</v>
      </c>
      <c r="S455" s="381" t="s">
        <v>36</v>
      </c>
      <c r="T455" s="381" t="s">
        <v>36</v>
      </c>
      <c r="U455" s="374" t="s">
        <v>37</v>
      </c>
      <c r="V455" s="430"/>
      <c r="W455" s="382"/>
      <c r="X455" s="366"/>
      <c r="Y455" s="366"/>
      <c r="Z455" s="367"/>
      <c r="AA455" s="367"/>
      <c r="AB455" s="13"/>
      <c r="AC455" s="13"/>
      <c r="AD455" s="13"/>
      <c r="AE455" s="13"/>
      <c r="AF455" s="13"/>
      <c r="AG455" s="13"/>
      <c r="AH455" s="13"/>
      <c r="AI455" s="13"/>
      <c r="AJ455" s="13"/>
      <c r="AK455" s="13"/>
      <c r="AL455" s="13"/>
      <c r="AM455" s="14"/>
      <c r="AN455" s="14"/>
      <c r="AO455" s="14"/>
      <c r="AP455" s="14"/>
      <c r="AQ455" s="14"/>
      <c r="AR455" s="14"/>
      <c r="AS455" s="14"/>
      <c r="AT455" s="14"/>
      <c r="AU455" s="14"/>
      <c r="AV455" s="14"/>
      <c r="AW455" s="14"/>
      <c r="AX455" s="14"/>
      <c r="AY455" s="14"/>
      <c r="AZ455" s="14"/>
      <c r="BA455" s="14"/>
      <c r="BB455" s="14"/>
      <c r="BC455" s="14"/>
      <c r="BD455" s="14"/>
      <c r="BE455" s="14"/>
      <c r="BF455" s="14"/>
      <c r="BG455" s="14"/>
      <c r="BH455" s="14"/>
      <c r="BI455" s="14"/>
      <c r="BJ455" s="14"/>
      <c r="BK455" s="14"/>
      <c r="BL455" s="14"/>
      <c r="BM455" s="14"/>
      <c r="BN455" s="14"/>
    </row>
    <row r="456" ht="22.5" hidden="1" customHeight="1">
      <c r="A456" s="349" t="s">
        <v>803</v>
      </c>
      <c r="B456" s="350"/>
      <c r="C456" s="351" t="s">
        <v>1034</v>
      </c>
      <c r="D456" s="379">
        <v>3245.0</v>
      </c>
      <c r="E456" s="353" t="s">
        <v>29</v>
      </c>
      <c r="F456" s="354" t="s">
        <v>30</v>
      </c>
      <c r="G456" s="355" t="s">
        <v>138</v>
      </c>
      <c r="H456" s="356" t="s">
        <v>31</v>
      </c>
      <c r="I456" s="356" t="s">
        <v>132</v>
      </c>
      <c r="J456" s="357">
        <v>10000.0</v>
      </c>
      <c r="K456" s="358">
        <v>689.0</v>
      </c>
      <c r="L456" s="359">
        <v>46185.0</v>
      </c>
      <c r="M456" s="359">
        <v>46188.0</v>
      </c>
      <c r="N456" s="360"/>
      <c r="O456" s="361" t="s">
        <v>70</v>
      </c>
      <c r="P456" s="362"/>
      <c r="Q456" s="387"/>
      <c r="R456" s="388" t="s">
        <v>133</v>
      </c>
      <c r="S456" s="381" t="s">
        <v>36</v>
      </c>
      <c r="T456" s="381" t="s">
        <v>36</v>
      </c>
      <c r="U456" s="374" t="s">
        <v>37</v>
      </c>
      <c r="V456" s="430"/>
      <c r="W456" s="382"/>
      <c r="X456" s="366"/>
      <c r="Y456" s="366"/>
      <c r="Z456" s="367"/>
      <c r="AA456" s="367"/>
      <c r="AB456" s="13"/>
      <c r="AC456" s="13"/>
      <c r="AD456" s="13"/>
      <c r="AE456" s="13"/>
      <c r="AF456" s="13"/>
      <c r="AG456" s="13"/>
      <c r="AH456" s="13"/>
      <c r="AI456" s="13"/>
      <c r="AJ456" s="13"/>
      <c r="AK456" s="13"/>
      <c r="AL456" s="13"/>
      <c r="AM456" s="14"/>
      <c r="AN456" s="14"/>
      <c r="AO456" s="14"/>
      <c r="AP456" s="14"/>
      <c r="AQ456" s="14"/>
      <c r="AR456" s="14"/>
      <c r="AS456" s="14"/>
      <c r="AT456" s="14"/>
      <c r="AU456" s="14"/>
      <c r="AV456" s="14"/>
      <c r="AW456" s="14"/>
      <c r="AX456" s="14"/>
      <c r="AY456" s="14"/>
      <c r="AZ456" s="14"/>
      <c r="BA456" s="14"/>
      <c r="BB456" s="14"/>
      <c r="BC456" s="14"/>
      <c r="BD456" s="14"/>
      <c r="BE456" s="14"/>
      <c r="BF456" s="14"/>
      <c r="BG456" s="14"/>
      <c r="BH456" s="14"/>
      <c r="BI456" s="14"/>
      <c r="BJ456" s="14"/>
      <c r="BK456" s="14"/>
      <c r="BL456" s="14"/>
      <c r="BM456" s="14"/>
      <c r="BN456" s="14"/>
    </row>
    <row r="457" ht="22.5" hidden="1" customHeight="1">
      <c r="A457" s="349" t="s">
        <v>906</v>
      </c>
      <c r="B457" s="350"/>
      <c r="C457" s="351" t="s">
        <v>1035</v>
      </c>
      <c r="D457" s="352">
        <v>3246.0</v>
      </c>
      <c r="E457" s="353" t="s">
        <v>157</v>
      </c>
      <c r="F457" s="354" t="s">
        <v>30</v>
      </c>
      <c r="G457" s="355" t="s">
        <v>908</v>
      </c>
      <c r="H457" s="356" t="s">
        <v>31</v>
      </c>
      <c r="I457" s="356" t="s">
        <v>98</v>
      </c>
      <c r="J457" s="357">
        <v>15000.0</v>
      </c>
      <c r="K457" s="358">
        <v>2429.0</v>
      </c>
      <c r="L457" s="359">
        <v>46195.0</v>
      </c>
      <c r="M457" s="359">
        <v>46197.0</v>
      </c>
      <c r="N457" s="360"/>
      <c r="O457" s="361" t="s">
        <v>338</v>
      </c>
      <c r="P457" s="362"/>
      <c r="Q457" s="353" t="s">
        <v>35</v>
      </c>
      <c r="R457" s="353" t="s">
        <v>133</v>
      </c>
      <c r="S457" s="361" t="s">
        <v>35</v>
      </c>
      <c r="T457" s="361" t="s">
        <v>36</v>
      </c>
      <c r="U457" s="363" t="s">
        <v>37</v>
      </c>
      <c r="V457" s="430"/>
      <c r="W457" s="382"/>
      <c r="X457" s="365" t="s">
        <v>976</v>
      </c>
      <c r="Y457" s="366"/>
      <c r="Z457" s="367"/>
      <c r="AA457" s="367"/>
      <c r="AB457" s="13"/>
      <c r="AC457" s="13"/>
      <c r="AD457" s="13"/>
      <c r="AE457" s="13"/>
      <c r="AF457" s="13"/>
      <c r="AG457" s="13"/>
      <c r="AH457" s="13"/>
      <c r="AI457" s="13"/>
      <c r="AJ457" s="13"/>
      <c r="AK457" s="13"/>
      <c r="AL457" s="13"/>
      <c r="AM457" s="14"/>
      <c r="AN457" s="14"/>
      <c r="AO457" s="14"/>
      <c r="AP457" s="14"/>
      <c r="AQ457" s="14"/>
      <c r="AR457" s="14"/>
      <c r="AS457" s="14"/>
      <c r="AT457" s="14"/>
      <c r="AU457" s="14"/>
      <c r="AV457" s="14"/>
      <c r="AW457" s="14"/>
      <c r="AX457" s="14"/>
      <c r="AY457" s="14"/>
      <c r="AZ457" s="14"/>
      <c r="BA457" s="14"/>
      <c r="BB457" s="14"/>
      <c r="BC457" s="14"/>
      <c r="BD457" s="14"/>
      <c r="BE457" s="14"/>
      <c r="BF457" s="14"/>
      <c r="BG457" s="14"/>
      <c r="BH457" s="14"/>
      <c r="BI457" s="14"/>
      <c r="BJ457" s="14"/>
      <c r="BK457" s="14"/>
      <c r="BL457" s="14"/>
      <c r="BM457" s="14"/>
      <c r="BN457" s="14"/>
    </row>
    <row r="458" ht="22.5" hidden="1" customHeight="1">
      <c r="A458" s="349" t="s">
        <v>411</v>
      </c>
      <c r="B458" s="350"/>
      <c r="C458" s="351" t="s">
        <v>1036</v>
      </c>
      <c r="D458" s="352">
        <v>3255.0</v>
      </c>
      <c r="E458" s="353" t="s">
        <v>157</v>
      </c>
      <c r="F458" s="354" t="s">
        <v>30</v>
      </c>
      <c r="G458" s="355" t="s">
        <v>1037</v>
      </c>
      <c r="H458" s="356" t="s">
        <v>52</v>
      </c>
      <c r="I458" s="356" t="s">
        <v>98</v>
      </c>
      <c r="J458" s="357" t="s">
        <v>714</v>
      </c>
      <c r="K458" s="358">
        <v>370.0</v>
      </c>
      <c r="L458" s="359">
        <v>46195.0</v>
      </c>
      <c r="M458" s="359">
        <v>46197.0</v>
      </c>
      <c r="N458" s="360"/>
      <c r="O458" s="361" t="s">
        <v>70</v>
      </c>
      <c r="P458" s="362"/>
      <c r="Q458" s="353" t="s">
        <v>144</v>
      </c>
      <c r="R458" s="353" t="s">
        <v>133</v>
      </c>
      <c r="S458" s="361" t="s">
        <v>55</v>
      </c>
      <c r="T458" s="361" t="s">
        <v>36</v>
      </c>
      <c r="U458" s="363" t="s">
        <v>37</v>
      </c>
      <c r="V458" s="430"/>
      <c r="W458" s="382"/>
      <c r="X458" s="365" t="s">
        <v>257</v>
      </c>
      <c r="Y458" s="366"/>
      <c r="Z458" s="367"/>
      <c r="AA458" s="367"/>
      <c r="AB458" s="13"/>
      <c r="AC458" s="13"/>
      <c r="AD458" s="13"/>
      <c r="AE458" s="13"/>
      <c r="AF458" s="13"/>
      <c r="AG458" s="13"/>
      <c r="AH458" s="13"/>
      <c r="AI458" s="13"/>
      <c r="AJ458" s="13"/>
      <c r="AK458" s="13"/>
      <c r="AL458" s="13"/>
      <c r="AM458" s="14"/>
      <c r="AN458" s="14"/>
      <c r="AO458" s="14"/>
      <c r="AP458" s="14"/>
      <c r="AQ458" s="14"/>
      <c r="AR458" s="14"/>
      <c r="AS458" s="14"/>
      <c r="AT458" s="14"/>
      <c r="AU458" s="14"/>
      <c r="AV458" s="14"/>
      <c r="AW458" s="14"/>
      <c r="AX458" s="14"/>
      <c r="AY458" s="14"/>
      <c r="AZ458" s="14"/>
      <c r="BA458" s="14"/>
      <c r="BB458" s="14"/>
      <c r="BC458" s="14"/>
      <c r="BD458" s="14"/>
      <c r="BE458" s="14"/>
      <c r="BF458" s="14"/>
      <c r="BG458" s="14"/>
      <c r="BH458" s="14"/>
      <c r="BI458" s="14"/>
      <c r="BJ458" s="14"/>
      <c r="BK458" s="14"/>
      <c r="BL458" s="14"/>
      <c r="BM458" s="14"/>
      <c r="BN458" s="14"/>
    </row>
    <row r="459" ht="22.5" hidden="1" customHeight="1">
      <c r="A459" s="349" t="s">
        <v>906</v>
      </c>
      <c r="B459" s="350"/>
      <c r="C459" s="351" t="s">
        <v>1038</v>
      </c>
      <c r="D459" s="352">
        <v>3260.0</v>
      </c>
      <c r="E459" s="353" t="s">
        <v>157</v>
      </c>
      <c r="F459" s="354" t="s">
        <v>72</v>
      </c>
      <c r="G459" s="355" t="s">
        <v>974</v>
      </c>
      <c r="H459" s="356" t="s">
        <v>31</v>
      </c>
      <c r="I459" s="356" t="s">
        <v>98</v>
      </c>
      <c r="J459" s="357">
        <v>15000.0</v>
      </c>
      <c r="K459" s="358">
        <f>1762*2</f>
        <v>3524</v>
      </c>
      <c r="L459" s="359">
        <v>46195.0</v>
      </c>
      <c r="M459" s="359">
        <v>46197.0</v>
      </c>
      <c r="N459" s="360"/>
      <c r="O459" s="361" t="s">
        <v>338</v>
      </c>
      <c r="P459" s="362"/>
      <c r="Q459" s="353" t="s">
        <v>35</v>
      </c>
      <c r="R459" s="353" t="s">
        <v>133</v>
      </c>
      <c r="S459" s="361" t="s">
        <v>36</v>
      </c>
      <c r="T459" s="361" t="s">
        <v>36</v>
      </c>
      <c r="U459" s="363" t="s">
        <v>37</v>
      </c>
      <c r="V459" s="430"/>
      <c r="W459" s="382"/>
      <c r="X459" s="365" t="s">
        <v>976</v>
      </c>
      <c r="Y459" s="366"/>
      <c r="Z459" s="367"/>
      <c r="AA459" s="367"/>
      <c r="AB459" s="13"/>
      <c r="AC459" s="13"/>
      <c r="AD459" s="13"/>
      <c r="AE459" s="13"/>
      <c r="AF459" s="13"/>
      <c r="AG459" s="13"/>
      <c r="AH459" s="13"/>
      <c r="AI459" s="13"/>
      <c r="AJ459" s="13"/>
      <c r="AK459" s="13"/>
      <c r="AL459" s="13"/>
      <c r="AM459" s="14"/>
      <c r="AN459" s="14"/>
      <c r="AO459" s="14"/>
      <c r="AP459" s="14"/>
      <c r="AQ459" s="14"/>
      <c r="AR459" s="14"/>
      <c r="AS459" s="14"/>
      <c r="AT459" s="14"/>
      <c r="AU459" s="14"/>
      <c r="AV459" s="14"/>
      <c r="AW459" s="14"/>
      <c r="AX459" s="14"/>
      <c r="AY459" s="14"/>
      <c r="AZ459" s="14"/>
      <c r="BA459" s="14"/>
      <c r="BB459" s="14"/>
      <c r="BC459" s="14"/>
      <c r="BD459" s="14"/>
      <c r="BE459" s="14"/>
      <c r="BF459" s="14"/>
      <c r="BG459" s="14"/>
      <c r="BH459" s="14"/>
      <c r="BI459" s="14"/>
      <c r="BJ459" s="14"/>
      <c r="BK459" s="14"/>
      <c r="BL459" s="14"/>
      <c r="BM459" s="14"/>
      <c r="BN459" s="14"/>
    </row>
    <row r="460" ht="22.5" hidden="1" customHeight="1">
      <c r="A460" s="349" t="s">
        <v>906</v>
      </c>
      <c r="B460" s="350"/>
      <c r="C460" s="351" t="s">
        <v>973</v>
      </c>
      <c r="D460" s="352">
        <v>3260.0</v>
      </c>
      <c r="E460" s="353" t="s">
        <v>157</v>
      </c>
      <c r="F460" s="354" t="s">
        <v>72</v>
      </c>
      <c r="G460" s="355" t="s">
        <v>974</v>
      </c>
      <c r="H460" s="356" t="s">
        <v>31</v>
      </c>
      <c r="I460" s="356" t="s">
        <v>98</v>
      </c>
      <c r="J460" s="357">
        <v>15000.0</v>
      </c>
      <c r="K460" s="358">
        <v>1762.0</v>
      </c>
      <c r="L460" s="359">
        <v>46195.0</v>
      </c>
      <c r="M460" s="359">
        <v>46197.0</v>
      </c>
      <c r="N460" s="360"/>
      <c r="O460" s="361" t="s">
        <v>338</v>
      </c>
      <c r="P460" s="362"/>
      <c r="Q460" s="353" t="s">
        <v>35</v>
      </c>
      <c r="R460" s="353" t="s">
        <v>133</v>
      </c>
      <c r="S460" s="361" t="s">
        <v>36</v>
      </c>
      <c r="T460" s="361" t="s">
        <v>36</v>
      </c>
      <c r="U460" s="363" t="s">
        <v>37</v>
      </c>
      <c r="V460" s="430"/>
      <c r="W460" s="382"/>
      <c r="X460" s="365" t="s">
        <v>976</v>
      </c>
      <c r="Y460" s="366"/>
      <c r="Z460" s="367"/>
      <c r="AA460" s="367"/>
      <c r="AB460" s="13"/>
      <c r="AC460" s="13"/>
      <c r="AD460" s="13"/>
      <c r="AE460" s="13"/>
      <c r="AF460" s="13"/>
      <c r="AG460" s="13"/>
      <c r="AH460" s="13"/>
      <c r="AI460" s="13"/>
      <c r="AJ460" s="13"/>
      <c r="AK460" s="13"/>
      <c r="AL460" s="13"/>
      <c r="AM460" s="14"/>
      <c r="AN460" s="14"/>
      <c r="AO460" s="14"/>
      <c r="AP460" s="14"/>
      <c r="AQ460" s="14"/>
      <c r="AR460" s="14"/>
      <c r="AS460" s="14"/>
      <c r="AT460" s="14"/>
      <c r="AU460" s="14"/>
      <c r="AV460" s="14"/>
      <c r="AW460" s="14"/>
      <c r="AX460" s="14"/>
      <c r="AY460" s="14"/>
      <c r="AZ460" s="14"/>
      <c r="BA460" s="14"/>
      <c r="BB460" s="14"/>
      <c r="BC460" s="14"/>
      <c r="BD460" s="14"/>
      <c r="BE460" s="14"/>
      <c r="BF460" s="14"/>
      <c r="BG460" s="14"/>
      <c r="BH460" s="14"/>
      <c r="BI460" s="14"/>
      <c r="BJ460" s="14"/>
      <c r="BK460" s="14"/>
      <c r="BL460" s="14"/>
      <c r="BM460" s="14"/>
      <c r="BN460" s="14"/>
    </row>
    <row r="461" ht="22.5" hidden="1" customHeight="1">
      <c r="A461" s="349" t="s">
        <v>906</v>
      </c>
      <c r="B461" s="350"/>
      <c r="C461" s="351" t="s">
        <v>1039</v>
      </c>
      <c r="D461" s="352">
        <v>3262.0</v>
      </c>
      <c r="E461" s="353" t="s">
        <v>157</v>
      </c>
      <c r="F461" s="354" t="s">
        <v>68</v>
      </c>
      <c r="G461" s="355" t="s">
        <v>1040</v>
      </c>
      <c r="H461" s="356" t="s">
        <v>31</v>
      </c>
      <c r="I461" s="356" t="s">
        <v>132</v>
      </c>
      <c r="J461" s="357">
        <v>15000.0</v>
      </c>
      <c r="K461" s="358">
        <v>1368.0</v>
      </c>
      <c r="L461" s="359">
        <v>46195.0</v>
      </c>
      <c r="M461" s="359">
        <v>46197.0</v>
      </c>
      <c r="N461" s="360"/>
      <c r="O461" s="361" t="s">
        <v>338</v>
      </c>
      <c r="P461" s="362"/>
      <c r="Q461" s="353" t="s">
        <v>35</v>
      </c>
      <c r="R461" s="353" t="s">
        <v>133</v>
      </c>
      <c r="S461" s="439"/>
      <c r="T461" s="361" t="s">
        <v>36</v>
      </c>
      <c r="U461" s="363" t="s">
        <v>37</v>
      </c>
      <c r="V461" s="430"/>
      <c r="W461" s="382"/>
      <c r="X461" s="365" t="s">
        <v>976</v>
      </c>
      <c r="Y461" s="366"/>
      <c r="Z461" s="367"/>
      <c r="AA461" s="367"/>
      <c r="AB461" s="13"/>
      <c r="AC461" s="13"/>
      <c r="AD461" s="13"/>
      <c r="AE461" s="13"/>
      <c r="AF461" s="13"/>
      <c r="AG461" s="13"/>
      <c r="AH461" s="13"/>
      <c r="AI461" s="13"/>
      <c r="AJ461" s="13"/>
      <c r="AK461" s="13"/>
      <c r="AL461" s="13"/>
      <c r="AM461" s="14"/>
      <c r="AN461" s="14"/>
      <c r="AO461" s="14"/>
      <c r="AP461" s="14"/>
      <c r="AQ461" s="14"/>
      <c r="AR461" s="14"/>
      <c r="AS461" s="14"/>
      <c r="AT461" s="14"/>
      <c r="AU461" s="14"/>
      <c r="AV461" s="14"/>
      <c r="AW461" s="14"/>
      <c r="AX461" s="14"/>
      <c r="AY461" s="14"/>
      <c r="AZ461" s="14"/>
      <c r="BA461" s="14"/>
      <c r="BB461" s="14"/>
      <c r="BC461" s="14"/>
      <c r="BD461" s="14"/>
      <c r="BE461" s="14"/>
      <c r="BF461" s="14"/>
      <c r="BG461" s="14"/>
      <c r="BH461" s="14"/>
      <c r="BI461" s="14"/>
      <c r="BJ461" s="14"/>
      <c r="BK461" s="14"/>
      <c r="BL461" s="14"/>
      <c r="BM461" s="14"/>
      <c r="BN461" s="14"/>
    </row>
    <row r="462" ht="22.5" hidden="1" customHeight="1">
      <c r="A462" s="349" t="s">
        <v>1041</v>
      </c>
      <c r="B462" s="350"/>
      <c r="C462" s="351" t="s">
        <v>1042</v>
      </c>
      <c r="D462" s="352">
        <v>3276.0</v>
      </c>
      <c r="E462" s="353" t="s">
        <v>157</v>
      </c>
      <c r="F462" s="354" t="s">
        <v>30</v>
      </c>
      <c r="G462" s="355" t="s">
        <v>1043</v>
      </c>
      <c r="H462" s="356" t="s">
        <v>31</v>
      </c>
      <c r="I462" s="356" t="s">
        <v>98</v>
      </c>
      <c r="J462" s="357" t="s">
        <v>1044</v>
      </c>
      <c r="K462" s="358">
        <v>1215.0</v>
      </c>
      <c r="L462" s="359">
        <v>46192.0</v>
      </c>
      <c r="M462" s="359">
        <v>46197.0</v>
      </c>
      <c r="N462" s="360"/>
      <c r="O462" s="361" t="s">
        <v>70</v>
      </c>
      <c r="P462" s="362"/>
      <c r="Q462" s="353" t="s">
        <v>35</v>
      </c>
      <c r="R462" s="353" t="s">
        <v>133</v>
      </c>
      <c r="S462" s="361" t="s">
        <v>35</v>
      </c>
      <c r="T462" s="361" t="s">
        <v>35</v>
      </c>
      <c r="U462" s="363" t="s">
        <v>37</v>
      </c>
      <c r="V462" s="430"/>
      <c r="W462" s="357" t="s">
        <v>1045</v>
      </c>
      <c r="X462" s="365" t="s">
        <v>724</v>
      </c>
      <c r="Y462" s="366"/>
      <c r="Z462" s="367"/>
      <c r="AA462" s="367"/>
      <c r="AB462" s="13"/>
      <c r="AC462" s="13"/>
      <c r="AD462" s="13"/>
      <c r="AE462" s="13"/>
      <c r="AF462" s="13"/>
      <c r="AG462" s="13"/>
      <c r="AH462" s="13"/>
      <c r="AI462" s="13"/>
      <c r="AJ462" s="13"/>
      <c r="AK462" s="13"/>
      <c r="AL462" s="13"/>
      <c r="AM462" s="14"/>
      <c r="AN462" s="14"/>
      <c r="AO462" s="14"/>
      <c r="AP462" s="14"/>
      <c r="AQ462" s="14"/>
      <c r="AR462" s="14"/>
      <c r="AS462" s="14"/>
      <c r="AT462" s="14"/>
      <c r="AU462" s="14"/>
      <c r="AV462" s="14"/>
      <c r="AW462" s="14"/>
      <c r="AX462" s="14"/>
      <c r="AY462" s="14"/>
      <c r="AZ462" s="14"/>
      <c r="BA462" s="14"/>
      <c r="BB462" s="14"/>
      <c r="BC462" s="14"/>
      <c r="BD462" s="14"/>
      <c r="BE462" s="14"/>
      <c r="BF462" s="14"/>
      <c r="BG462" s="14"/>
      <c r="BH462" s="14"/>
      <c r="BI462" s="14"/>
      <c r="BJ462" s="14"/>
      <c r="BK462" s="14"/>
      <c r="BL462" s="14"/>
      <c r="BM462" s="14"/>
      <c r="BN462" s="14"/>
    </row>
    <row r="463" ht="22.5" hidden="1" customHeight="1">
      <c r="A463" s="349" t="s">
        <v>1041</v>
      </c>
      <c r="B463" s="350"/>
      <c r="C463" s="351" t="s">
        <v>1046</v>
      </c>
      <c r="D463" s="352">
        <v>3277.0</v>
      </c>
      <c r="E463" s="353" t="s">
        <v>157</v>
      </c>
      <c r="F463" s="354" t="s">
        <v>30</v>
      </c>
      <c r="G463" s="355" t="s">
        <v>1043</v>
      </c>
      <c r="H463" s="356" t="s">
        <v>31</v>
      </c>
      <c r="I463" s="356" t="s">
        <v>98</v>
      </c>
      <c r="J463" s="357" t="s">
        <v>1044</v>
      </c>
      <c r="K463" s="358">
        <v>1215.0</v>
      </c>
      <c r="L463" s="359">
        <v>46192.0</v>
      </c>
      <c r="M463" s="359">
        <v>46197.0</v>
      </c>
      <c r="N463" s="360"/>
      <c r="O463" s="361" t="s">
        <v>70</v>
      </c>
      <c r="P463" s="362"/>
      <c r="Q463" s="353" t="s">
        <v>35</v>
      </c>
      <c r="R463" s="353" t="s">
        <v>133</v>
      </c>
      <c r="S463" s="361" t="s">
        <v>35</v>
      </c>
      <c r="T463" s="361" t="s">
        <v>35</v>
      </c>
      <c r="U463" s="363" t="s">
        <v>37</v>
      </c>
      <c r="V463" s="430"/>
      <c r="W463" s="357" t="s">
        <v>1045</v>
      </c>
      <c r="X463" s="365" t="s">
        <v>724</v>
      </c>
      <c r="Y463" s="366"/>
      <c r="Z463" s="367"/>
      <c r="AA463" s="367"/>
      <c r="AB463" s="13"/>
      <c r="AC463" s="13"/>
      <c r="AD463" s="13"/>
      <c r="AE463" s="13"/>
      <c r="AF463" s="13"/>
      <c r="AG463" s="13"/>
      <c r="AH463" s="13"/>
      <c r="AI463" s="13"/>
      <c r="AJ463" s="13"/>
      <c r="AK463" s="13"/>
      <c r="AL463" s="13"/>
      <c r="AM463" s="14"/>
      <c r="AN463" s="14"/>
      <c r="AO463" s="14"/>
      <c r="AP463" s="14"/>
      <c r="AQ463" s="14"/>
      <c r="AR463" s="14"/>
      <c r="AS463" s="14"/>
      <c r="AT463" s="14"/>
      <c r="AU463" s="14"/>
      <c r="AV463" s="14"/>
      <c r="AW463" s="14"/>
      <c r="AX463" s="14"/>
      <c r="AY463" s="14"/>
      <c r="AZ463" s="14"/>
      <c r="BA463" s="14"/>
      <c r="BB463" s="14"/>
      <c r="BC463" s="14"/>
      <c r="BD463" s="14"/>
      <c r="BE463" s="14"/>
      <c r="BF463" s="14"/>
      <c r="BG463" s="14"/>
      <c r="BH463" s="14"/>
      <c r="BI463" s="14"/>
      <c r="BJ463" s="14"/>
      <c r="BK463" s="14"/>
      <c r="BL463" s="14"/>
      <c r="BM463" s="14"/>
      <c r="BN463" s="14"/>
    </row>
    <row r="464" ht="22.5" hidden="1" customHeight="1">
      <c r="A464" s="349" t="s">
        <v>1030</v>
      </c>
      <c r="B464" s="350"/>
      <c r="C464" s="351" t="s">
        <v>1047</v>
      </c>
      <c r="D464" s="379">
        <v>3282.0</v>
      </c>
      <c r="E464" s="353" t="s">
        <v>95</v>
      </c>
      <c r="F464" s="354" t="s">
        <v>96</v>
      </c>
      <c r="G464" s="434"/>
      <c r="H464" s="394"/>
      <c r="I464" s="356" t="s">
        <v>98</v>
      </c>
      <c r="J464" s="357" t="s">
        <v>902</v>
      </c>
      <c r="K464" s="358">
        <v>297.0</v>
      </c>
      <c r="L464" s="359">
        <v>46195.0</v>
      </c>
      <c r="M464" s="359">
        <v>46196.0</v>
      </c>
      <c r="N464" s="360"/>
      <c r="O464" s="361" t="s">
        <v>661</v>
      </c>
      <c r="P464" s="362"/>
      <c r="Q464" s="353" t="s">
        <v>35</v>
      </c>
      <c r="R464" s="353" t="s">
        <v>133</v>
      </c>
      <c r="S464" s="361" t="s">
        <v>35</v>
      </c>
      <c r="T464" s="361" t="s">
        <v>100</v>
      </c>
      <c r="U464" s="374" t="s">
        <v>37</v>
      </c>
      <c r="V464" s="375">
        <v>46197.0</v>
      </c>
      <c r="W464" s="357" t="s">
        <v>1048</v>
      </c>
      <c r="X464" s="366"/>
      <c r="Y464" s="366"/>
      <c r="Z464" s="367"/>
      <c r="AA464" s="380"/>
      <c r="AB464" s="13"/>
      <c r="AC464" s="13"/>
      <c r="AD464" s="13"/>
      <c r="AE464" s="13"/>
      <c r="AF464" s="13"/>
      <c r="AG464" s="13"/>
      <c r="AH464" s="13"/>
      <c r="AI464" s="13"/>
      <c r="AJ464" s="13"/>
      <c r="AK464" s="13"/>
      <c r="AL464" s="13"/>
      <c r="AM464" s="14"/>
      <c r="AN464" s="14"/>
      <c r="AO464" s="14"/>
      <c r="AP464" s="14"/>
      <c r="AQ464" s="14"/>
      <c r="AR464" s="14"/>
      <c r="AS464" s="14"/>
      <c r="AT464" s="14"/>
      <c r="AU464" s="14"/>
      <c r="AV464" s="14"/>
      <c r="AW464" s="14"/>
      <c r="AX464" s="14"/>
      <c r="AY464" s="14"/>
      <c r="AZ464" s="14"/>
      <c r="BA464" s="14"/>
      <c r="BB464" s="14"/>
      <c r="BC464" s="14"/>
      <c r="BD464" s="14"/>
      <c r="BE464" s="14"/>
      <c r="BF464" s="14"/>
      <c r="BG464" s="14"/>
      <c r="BH464" s="14"/>
      <c r="BI464" s="14"/>
      <c r="BJ464" s="14"/>
      <c r="BK464" s="14"/>
      <c r="BL464" s="14"/>
      <c r="BM464" s="14"/>
      <c r="BN464" s="14"/>
    </row>
    <row r="465" ht="22.5" hidden="1" customHeight="1">
      <c r="A465" s="349" t="s">
        <v>486</v>
      </c>
      <c r="B465" s="350"/>
      <c r="C465" s="351" t="s">
        <v>762</v>
      </c>
      <c r="D465" s="379">
        <v>3290.0</v>
      </c>
      <c r="E465" s="353" t="s">
        <v>95</v>
      </c>
      <c r="F465" s="354" t="s">
        <v>72</v>
      </c>
      <c r="G465" s="434"/>
      <c r="H465" s="356" t="s">
        <v>31</v>
      </c>
      <c r="I465" s="356" t="s">
        <v>98</v>
      </c>
      <c r="J465" s="357">
        <v>10000.0</v>
      </c>
      <c r="K465" s="358">
        <v>678.0</v>
      </c>
      <c r="L465" s="359">
        <v>46196.0</v>
      </c>
      <c r="M465" s="359">
        <v>46198.0</v>
      </c>
      <c r="N465" s="360"/>
      <c r="O465" s="361" t="s">
        <v>661</v>
      </c>
      <c r="P465" s="362"/>
      <c r="Q465" s="353" t="s">
        <v>35</v>
      </c>
      <c r="R465" s="353" t="s">
        <v>133</v>
      </c>
      <c r="S465" s="361" t="s">
        <v>36</v>
      </c>
      <c r="T465" s="361" t="s">
        <v>36</v>
      </c>
      <c r="U465" s="374" t="s">
        <v>37</v>
      </c>
      <c r="V465" s="375">
        <v>46197.0</v>
      </c>
      <c r="W465" s="357" t="s">
        <v>1029</v>
      </c>
      <c r="X465" s="366"/>
      <c r="Y465" s="366"/>
      <c r="Z465" s="367"/>
      <c r="AA465" s="367"/>
      <c r="AB465" s="13"/>
      <c r="AC465" s="13"/>
      <c r="AD465" s="13"/>
      <c r="AE465" s="13"/>
      <c r="AF465" s="13"/>
      <c r="AG465" s="13"/>
      <c r="AH465" s="13"/>
      <c r="AI465" s="13"/>
      <c r="AJ465" s="13"/>
      <c r="AK465" s="13"/>
      <c r="AL465" s="13"/>
      <c r="AM465" s="14"/>
      <c r="AN465" s="14"/>
      <c r="AO465" s="14"/>
      <c r="AP465" s="14"/>
      <c r="AQ465" s="14"/>
      <c r="AR465" s="14"/>
      <c r="AS465" s="14"/>
      <c r="AT465" s="14"/>
      <c r="AU465" s="14"/>
      <c r="AV465" s="14"/>
      <c r="AW465" s="14"/>
      <c r="AX465" s="14"/>
      <c r="AY465" s="14"/>
      <c r="AZ465" s="14"/>
      <c r="BA465" s="14"/>
      <c r="BB465" s="14"/>
      <c r="BC465" s="14"/>
      <c r="BD465" s="14"/>
      <c r="BE465" s="14"/>
      <c r="BF465" s="14"/>
      <c r="BG465" s="14"/>
      <c r="BH465" s="14"/>
      <c r="BI465" s="14"/>
      <c r="BJ465" s="14"/>
      <c r="BK465" s="14"/>
      <c r="BL465" s="14"/>
      <c r="BM465" s="14"/>
      <c r="BN465" s="14"/>
    </row>
    <row r="466" ht="22.5" hidden="1" customHeight="1">
      <c r="A466" s="349" t="s">
        <v>486</v>
      </c>
      <c r="B466" s="350"/>
      <c r="C466" s="351" t="s">
        <v>1049</v>
      </c>
      <c r="D466" s="379">
        <v>3291.0</v>
      </c>
      <c r="E466" s="353" t="s">
        <v>95</v>
      </c>
      <c r="F466" s="354" t="s">
        <v>72</v>
      </c>
      <c r="G466" s="434"/>
      <c r="H466" s="356" t="s">
        <v>31</v>
      </c>
      <c r="I466" s="356" t="s">
        <v>98</v>
      </c>
      <c r="J466" s="357">
        <v>10000.0</v>
      </c>
      <c r="K466" s="358">
        <v>778.0</v>
      </c>
      <c r="L466" s="359">
        <v>46196.0</v>
      </c>
      <c r="M466" s="359">
        <v>46198.0</v>
      </c>
      <c r="N466" s="360"/>
      <c r="O466" s="361" t="s">
        <v>661</v>
      </c>
      <c r="P466" s="362"/>
      <c r="Q466" s="353" t="s">
        <v>35</v>
      </c>
      <c r="R466" s="353" t="s">
        <v>133</v>
      </c>
      <c r="S466" s="361" t="s">
        <v>36</v>
      </c>
      <c r="T466" s="361" t="s">
        <v>36</v>
      </c>
      <c r="U466" s="374" t="s">
        <v>37</v>
      </c>
      <c r="V466" s="375">
        <v>46197.0</v>
      </c>
      <c r="W466" s="357" t="s">
        <v>1029</v>
      </c>
      <c r="X466" s="366"/>
      <c r="Y466" s="365" t="s">
        <v>516</v>
      </c>
      <c r="Z466" s="367"/>
      <c r="AA466" s="367"/>
      <c r="AB466" s="13"/>
      <c r="AC466" s="13"/>
      <c r="AD466" s="13"/>
      <c r="AE466" s="13"/>
      <c r="AF466" s="13"/>
      <c r="AG466" s="13"/>
      <c r="AH466" s="13"/>
      <c r="AI466" s="13"/>
      <c r="AJ466" s="13"/>
      <c r="AK466" s="13"/>
      <c r="AL466" s="13"/>
      <c r="AM466" s="14"/>
      <c r="AN466" s="14"/>
      <c r="AO466" s="14"/>
      <c r="AP466" s="14"/>
      <c r="AQ466" s="14"/>
      <c r="AR466" s="14"/>
      <c r="AS466" s="14"/>
      <c r="AT466" s="14"/>
      <c r="AU466" s="14"/>
      <c r="AV466" s="14"/>
      <c r="AW466" s="14"/>
      <c r="AX466" s="14"/>
      <c r="AY466" s="14"/>
      <c r="AZ466" s="14"/>
      <c r="BA466" s="14"/>
      <c r="BB466" s="14"/>
      <c r="BC466" s="14"/>
      <c r="BD466" s="14"/>
      <c r="BE466" s="14"/>
      <c r="BF466" s="14"/>
      <c r="BG466" s="14"/>
      <c r="BH466" s="14"/>
      <c r="BI466" s="14"/>
      <c r="BJ466" s="14"/>
      <c r="BK466" s="14"/>
      <c r="BL466" s="14"/>
      <c r="BM466" s="14"/>
      <c r="BN466" s="14"/>
    </row>
    <row r="467" ht="22.5" hidden="1" customHeight="1">
      <c r="A467" s="349" t="s">
        <v>744</v>
      </c>
      <c r="B467" s="350"/>
      <c r="C467" s="351" t="s">
        <v>1050</v>
      </c>
      <c r="D467" s="352">
        <v>3296.0</v>
      </c>
      <c r="E467" s="353" t="s">
        <v>95</v>
      </c>
      <c r="F467" s="354" t="s">
        <v>96</v>
      </c>
      <c r="G467" s="355" t="s">
        <v>490</v>
      </c>
      <c r="H467" s="394"/>
      <c r="I467" s="356" t="s">
        <v>98</v>
      </c>
      <c r="J467" s="357">
        <v>10.0</v>
      </c>
      <c r="K467" s="407"/>
      <c r="L467" s="359">
        <v>46197.0</v>
      </c>
      <c r="M467" s="359">
        <v>46198.0</v>
      </c>
      <c r="N467" s="360"/>
      <c r="O467" s="361" t="s">
        <v>661</v>
      </c>
      <c r="P467" s="362"/>
      <c r="Q467" s="353" t="s">
        <v>35</v>
      </c>
      <c r="R467" s="353" t="s">
        <v>133</v>
      </c>
      <c r="S467" s="361" t="s">
        <v>35</v>
      </c>
      <c r="T467" s="361" t="s">
        <v>36</v>
      </c>
      <c r="U467" s="363" t="s">
        <v>37</v>
      </c>
      <c r="V467" s="430"/>
      <c r="W467" s="357" t="s">
        <v>1051</v>
      </c>
      <c r="X467" s="366"/>
      <c r="Y467" s="366"/>
      <c r="Z467" s="367"/>
      <c r="AA467" s="367"/>
      <c r="AB467" s="13"/>
      <c r="AC467" s="13"/>
      <c r="AD467" s="13"/>
      <c r="AE467" s="13"/>
      <c r="AF467" s="13"/>
      <c r="AG467" s="13"/>
      <c r="AH467" s="13"/>
      <c r="AI467" s="13"/>
      <c r="AJ467" s="13"/>
      <c r="AK467" s="13"/>
      <c r="AL467" s="13"/>
      <c r="AM467" s="14"/>
      <c r="AN467" s="14"/>
      <c r="AO467" s="14"/>
      <c r="AP467" s="14"/>
      <c r="AQ467" s="14"/>
      <c r="AR467" s="14"/>
      <c r="AS467" s="14"/>
      <c r="AT467" s="14"/>
      <c r="AU467" s="14"/>
      <c r="AV467" s="14"/>
      <c r="AW467" s="14"/>
      <c r="AX467" s="14"/>
      <c r="AY467" s="14"/>
      <c r="AZ467" s="14"/>
      <c r="BA467" s="14"/>
      <c r="BB467" s="14"/>
      <c r="BC467" s="14"/>
      <c r="BD467" s="14"/>
      <c r="BE467" s="14"/>
      <c r="BF467" s="14"/>
      <c r="BG467" s="14"/>
      <c r="BH467" s="14"/>
      <c r="BI467" s="14"/>
      <c r="BJ467" s="14"/>
      <c r="BK467" s="14"/>
      <c r="BL467" s="14"/>
      <c r="BM467" s="14"/>
      <c r="BN467" s="14"/>
    </row>
    <row r="468" ht="22.5" hidden="1" customHeight="1">
      <c r="A468" s="349" t="s">
        <v>744</v>
      </c>
      <c r="B468" s="350"/>
      <c r="C468" s="351" t="s">
        <v>1052</v>
      </c>
      <c r="D468" s="352">
        <v>3297.0</v>
      </c>
      <c r="E468" s="353" t="s">
        <v>95</v>
      </c>
      <c r="F468" s="354" t="s">
        <v>96</v>
      </c>
      <c r="G468" s="355" t="s">
        <v>128</v>
      </c>
      <c r="H468" s="394"/>
      <c r="I468" s="356" t="s">
        <v>98</v>
      </c>
      <c r="J468" s="357">
        <v>10.0</v>
      </c>
      <c r="K468" s="407"/>
      <c r="L468" s="359">
        <v>46197.0</v>
      </c>
      <c r="M468" s="359">
        <v>46198.0</v>
      </c>
      <c r="N468" s="360"/>
      <c r="O468" s="361" t="s">
        <v>661</v>
      </c>
      <c r="P468" s="362"/>
      <c r="Q468" s="353" t="s">
        <v>35</v>
      </c>
      <c r="R468" s="353" t="s">
        <v>133</v>
      </c>
      <c r="S468" s="361" t="s">
        <v>35</v>
      </c>
      <c r="T468" s="361" t="s">
        <v>36</v>
      </c>
      <c r="U468" s="363" t="s">
        <v>37</v>
      </c>
      <c r="V468" s="430"/>
      <c r="W468" s="357" t="s">
        <v>1051</v>
      </c>
      <c r="X468" s="366"/>
      <c r="Y468" s="366"/>
      <c r="Z468" s="367"/>
      <c r="AA468" s="367"/>
      <c r="AB468" s="13"/>
      <c r="AC468" s="13"/>
      <c r="AD468" s="13"/>
      <c r="AE468" s="13"/>
      <c r="AF468" s="13"/>
      <c r="AG468" s="13"/>
      <c r="AH468" s="13"/>
      <c r="AI468" s="13"/>
      <c r="AJ468" s="13"/>
      <c r="AK468" s="13"/>
      <c r="AL468" s="13"/>
      <c r="AM468" s="14"/>
      <c r="AN468" s="14"/>
      <c r="AO468" s="14"/>
      <c r="AP468" s="14"/>
      <c r="AQ468" s="14"/>
      <c r="AR468" s="14"/>
      <c r="AS468" s="14"/>
      <c r="AT468" s="14"/>
      <c r="AU468" s="14"/>
      <c r="AV468" s="14"/>
      <c r="AW468" s="14"/>
      <c r="AX468" s="14"/>
      <c r="AY468" s="14"/>
      <c r="AZ468" s="14"/>
      <c r="BA468" s="14"/>
      <c r="BB468" s="14"/>
      <c r="BC468" s="14"/>
      <c r="BD468" s="14"/>
      <c r="BE468" s="14"/>
      <c r="BF468" s="14"/>
      <c r="BG468" s="14"/>
      <c r="BH468" s="14"/>
      <c r="BI468" s="14"/>
      <c r="BJ468" s="14"/>
      <c r="BK468" s="14"/>
      <c r="BL468" s="14"/>
      <c r="BM468" s="14"/>
      <c r="BN468" s="14"/>
    </row>
    <row r="469" ht="22.5" hidden="1" customHeight="1">
      <c r="A469" s="349" t="s">
        <v>1053</v>
      </c>
      <c r="B469" s="350"/>
      <c r="C469" s="443" t="s">
        <v>862</v>
      </c>
      <c r="D469" s="379">
        <v>3298.0</v>
      </c>
      <c r="E469" s="353" t="s">
        <v>164</v>
      </c>
      <c r="F469" s="354" t="s">
        <v>72</v>
      </c>
      <c r="G469" s="355" t="s">
        <v>863</v>
      </c>
      <c r="H469" s="356" t="s">
        <v>31</v>
      </c>
      <c r="I469" s="356" t="s">
        <v>261</v>
      </c>
      <c r="J469" s="357" t="s">
        <v>77</v>
      </c>
      <c r="K469" s="358">
        <v>1365.0</v>
      </c>
      <c r="L469" s="359">
        <v>46196.0</v>
      </c>
      <c r="M469" s="359">
        <v>46199.0</v>
      </c>
      <c r="N469" s="360"/>
      <c r="O469" s="361" t="s">
        <v>212</v>
      </c>
      <c r="P469" s="362"/>
      <c r="Q469" s="388" t="s">
        <v>35</v>
      </c>
      <c r="R469" s="388" t="s">
        <v>133</v>
      </c>
      <c r="S469" s="381" t="s">
        <v>36</v>
      </c>
      <c r="T469" s="381" t="s">
        <v>36</v>
      </c>
      <c r="U469" s="374" t="s">
        <v>37</v>
      </c>
      <c r="V469" s="430"/>
      <c r="W469" s="382"/>
      <c r="X469" s="338" t="s">
        <v>399</v>
      </c>
      <c r="Y469" s="365" t="s">
        <v>516</v>
      </c>
      <c r="Z469" s="380" t="s">
        <v>814</v>
      </c>
      <c r="AA469" s="367"/>
      <c r="AB469" s="13"/>
      <c r="AC469" s="13"/>
      <c r="AD469" s="13"/>
      <c r="AE469" s="13"/>
      <c r="AF469" s="13"/>
      <c r="AG469" s="13"/>
      <c r="AH469" s="13"/>
      <c r="AI469" s="13"/>
      <c r="AJ469" s="13"/>
      <c r="AK469" s="13"/>
      <c r="AL469" s="13"/>
      <c r="AM469" s="14"/>
      <c r="AN469" s="14"/>
      <c r="AO469" s="14"/>
      <c r="AP469" s="14"/>
      <c r="AQ469" s="14"/>
      <c r="AR469" s="14"/>
      <c r="AS469" s="14"/>
      <c r="AT469" s="14"/>
      <c r="AU469" s="14"/>
      <c r="AV469" s="14"/>
      <c r="AW469" s="14"/>
      <c r="AX469" s="14"/>
      <c r="AY469" s="14"/>
      <c r="AZ469" s="14"/>
      <c r="BA469" s="14"/>
      <c r="BB469" s="14"/>
      <c r="BC469" s="14"/>
      <c r="BD469" s="14"/>
      <c r="BE469" s="14"/>
      <c r="BF469" s="14"/>
      <c r="BG469" s="14"/>
      <c r="BH469" s="14"/>
      <c r="BI469" s="14"/>
      <c r="BJ469" s="14"/>
      <c r="BK469" s="14"/>
      <c r="BL469" s="14"/>
      <c r="BM469" s="14"/>
      <c r="BN469" s="14"/>
    </row>
    <row r="470" ht="22.5" hidden="1" customHeight="1">
      <c r="A470" s="349" t="s">
        <v>1054</v>
      </c>
      <c r="B470" s="350"/>
      <c r="C470" s="443" t="s">
        <v>862</v>
      </c>
      <c r="D470" s="379">
        <v>3298.0</v>
      </c>
      <c r="E470" s="353" t="s">
        <v>164</v>
      </c>
      <c r="F470" s="354" t="s">
        <v>72</v>
      </c>
      <c r="G470" s="355" t="s">
        <v>863</v>
      </c>
      <c r="H470" s="356" t="s">
        <v>31</v>
      </c>
      <c r="I470" s="356" t="s">
        <v>261</v>
      </c>
      <c r="J470" s="357" t="s">
        <v>197</v>
      </c>
      <c r="K470" s="407"/>
      <c r="L470" s="359">
        <v>46196.0</v>
      </c>
      <c r="M470" s="359">
        <v>46199.0</v>
      </c>
      <c r="N470" s="360"/>
      <c r="O470" s="361" t="s">
        <v>212</v>
      </c>
      <c r="P470" s="362"/>
      <c r="Q470" s="388" t="s">
        <v>35</v>
      </c>
      <c r="R470" s="388" t="s">
        <v>133</v>
      </c>
      <c r="S470" s="381" t="s">
        <v>36</v>
      </c>
      <c r="T470" s="381" t="s">
        <v>36</v>
      </c>
      <c r="U470" s="374" t="s">
        <v>37</v>
      </c>
      <c r="V470" s="430"/>
      <c r="W470" s="382"/>
      <c r="X470" s="338" t="s">
        <v>399</v>
      </c>
      <c r="Y470" s="365" t="s">
        <v>516</v>
      </c>
      <c r="Z470" s="380" t="s">
        <v>814</v>
      </c>
      <c r="AA470" s="367"/>
      <c r="AB470" s="13"/>
      <c r="AC470" s="13"/>
      <c r="AD470" s="13"/>
      <c r="AE470" s="13"/>
      <c r="AF470" s="13"/>
      <c r="AG470" s="13"/>
      <c r="AH470" s="13"/>
      <c r="AI470" s="13"/>
      <c r="AJ470" s="13"/>
      <c r="AK470" s="13"/>
      <c r="AL470" s="13"/>
      <c r="AM470" s="14"/>
      <c r="AN470" s="14"/>
      <c r="AO470" s="14"/>
      <c r="AP470" s="14"/>
      <c r="AQ470" s="14"/>
      <c r="AR470" s="14"/>
      <c r="AS470" s="14"/>
      <c r="AT470" s="14"/>
      <c r="AU470" s="14"/>
      <c r="AV470" s="14"/>
      <c r="AW470" s="14"/>
      <c r="AX470" s="14"/>
      <c r="AY470" s="14"/>
      <c r="AZ470" s="14"/>
      <c r="BA470" s="14"/>
      <c r="BB470" s="14"/>
      <c r="BC470" s="14"/>
      <c r="BD470" s="14"/>
      <c r="BE470" s="14"/>
      <c r="BF470" s="14"/>
      <c r="BG470" s="14"/>
      <c r="BH470" s="14"/>
      <c r="BI470" s="14"/>
      <c r="BJ470" s="14"/>
      <c r="BK470" s="14"/>
      <c r="BL470" s="14"/>
      <c r="BM470" s="14"/>
      <c r="BN470" s="14"/>
    </row>
    <row r="471" ht="22.5" hidden="1" customHeight="1">
      <c r="A471" s="349" t="s">
        <v>1055</v>
      </c>
      <c r="B471" s="350"/>
      <c r="C471" s="443" t="s">
        <v>862</v>
      </c>
      <c r="D471" s="379">
        <v>3298.0</v>
      </c>
      <c r="E471" s="353" t="s">
        <v>164</v>
      </c>
      <c r="F471" s="354" t="s">
        <v>72</v>
      </c>
      <c r="G471" s="355" t="s">
        <v>863</v>
      </c>
      <c r="H471" s="356" t="s">
        <v>31</v>
      </c>
      <c r="I471" s="356" t="s">
        <v>261</v>
      </c>
      <c r="J471" s="357" t="s">
        <v>197</v>
      </c>
      <c r="K471" s="407"/>
      <c r="L471" s="359">
        <v>46196.0</v>
      </c>
      <c r="M471" s="359">
        <v>46199.0</v>
      </c>
      <c r="N471" s="360"/>
      <c r="O471" s="361" t="s">
        <v>212</v>
      </c>
      <c r="P471" s="362"/>
      <c r="Q471" s="388" t="s">
        <v>35</v>
      </c>
      <c r="R471" s="388" t="s">
        <v>133</v>
      </c>
      <c r="S471" s="381" t="s">
        <v>36</v>
      </c>
      <c r="T471" s="381" t="s">
        <v>36</v>
      </c>
      <c r="U471" s="374" t="s">
        <v>37</v>
      </c>
      <c r="V471" s="430"/>
      <c r="W471" s="382"/>
      <c r="X471" s="338" t="s">
        <v>399</v>
      </c>
      <c r="Y471" s="365" t="s">
        <v>516</v>
      </c>
      <c r="Z471" s="380" t="s">
        <v>814</v>
      </c>
      <c r="AA471" s="367"/>
      <c r="AB471" s="13"/>
      <c r="AC471" s="13"/>
      <c r="AD471" s="13"/>
      <c r="AE471" s="13"/>
      <c r="AF471" s="13"/>
      <c r="AG471" s="13"/>
      <c r="AH471" s="13"/>
      <c r="AI471" s="13"/>
      <c r="AJ471" s="13"/>
      <c r="AK471" s="13"/>
      <c r="AL471" s="13"/>
      <c r="AM471" s="14"/>
      <c r="AN471" s="14"/>
      <c r="AO471" s="14"/>
      <c r="AP471" s="14"/>
      <c r="AQ471" s="14"/>
      <c r="AR471" s="14"/>
      <c r="AS471" s="14"/>
      <c r="AT471" s="14"/>
      <c r="AU471" s="14"/>
      <c r="AV471" s="14"/>
      <c r="AW471" s="14"/>
      <c r="AX471" s="14"/>
      <c r="AY471" s="14"/>
      <c r="AZ471" s="14"/>
      <c r="BA471" s="14"/>
      <c r="BB471" s="14"/>
      <c r="BC471" s="14"/>
      <c r="BD471" s="14"/>
      <c r="BE471" s="14"/>
      <c r="BF471" s="14"/>
      <c r="BG471" s="14"/>
      <c r="BH471" s="14"/>
      <c r="BI471" s="14"/>
      <c r="BJ471" s="14"/>
      <c r="BK471" s="14"/>
      <c r="BL471" s="14"/>
      <c r="BM471" s="14"/>
      <c r="BN471" s="14"/>
    </row>
    <row r="472" ht="22.5" hidden="1" customHeight="1">
      <c r="A472" s="349" t="s">
        <v>906</v>
      </c>
      <c r="B472" s="350"/>
      <c r="C472" s="351" t="s">
        <v>1056</v>
      </c>
      <c r="D472" s="352">
        <v>3300.0</v>
      </c>
      <c r="E472" s="353" t="s">
        <v>157</v>
      </c>
      <c r="F472" s="354" t="s">
        <v>30</v>
      </c>
      <c r="G472" s="355" t="s">
        <v>974</v>
      </c>
      <c r="H472" s="356" t="s">
        <v>31</v>
      </c>
      <c r="I472" s="356" t="s">
        <v>98</v>
      </c>
      <c r="J472" s="357">
        <v>15000.0</v>
      </c>
      <c r="K472" s="358">
        <v>1792.0</v>
      </c>
      <c r="L472" s="359">
        <v>46196.0</v>
      </c>
      <c r="M472" s="359">
        <v>46202.0</v>
      </c>
      <c r="N472" s="360"/>
      <c r="O472" s="361" t="s">
        <v>338</v>
      </c>
      <c r="P472" s="362"/>
      <c r="Q472" s="353" t="s">
        <v>35</v>
      </c>
      <c r="R472" s="353" t="s">
        <v>133</v>
      </c>
      <c r="S472" s="361" t="s">
        <v>35</v>
      </c>
      <c r="T472" s="361" t="s">
        <v>36</v>
      </c>
      <c r="U472" s="363" t="s">
        <v>37</v>
      </c>
      <c r="V472" s="430"/>
      <c r="W472" s="382"/>
      <c r="X472" s="365" t="s">
        <v>976</v>
      </c>
      <c r="Y472" s="366"/>
      <c r="Z472" s="367"/>
      <c r="AA472" s="367"/>
      <c r="AB472" s="13"/>
      <c r="AC472" s="13"/>
      <c r="AD472" s="13"/>
      <c r="AE472" s="13"/>
      <c r="AF472" s="13"/>
      <c r="AG472" s="13"/>
      <c r="AH472" s="13"/>
      <c r="AI472" s="13"/>
      <c r="AJ472" s="13"/>
      <c r="AK472" s="13"/>
      <c r="AL472" s="13"/>
      <c r="AM472" s="14"/>
      <c r="AN472" s="14"/>
      <c r="AO472" s="14"/>
      <c r="AP472" s="14"/>
      <c r="AQ472" s="14"/>
      <c r="AR472" s="14"/>
      <c r="AS472" s="14"/>
      <c r="AT472" s="14"/>
      <c r="AU472" s="14"/>
      <c r="AV472" s="14"/>
      <c r="AW472" s="14"/>
      <c r="AX472" s="14"/>
      <c r="AY472" s="14"/>
      <c r="AZ472" s="14"/>
      <c r="BA472" s="14"/>
      <c r="BB472" s="14"/>
      <c r="BC472" s="14"/>
      <c r="BD472" s="14"/>
      <c r="BE472" s="14"/>
      <c r="BF472" s="14"/>
      <c r="BG472" s="14"/>
      <c r="BH472" s="14"/>
      <c r="BI472" s="14"/>
      <c r="BJ472" s="14"/>
      <c r="BK472" s="14"/>
      <c r="BL472" s="14"/>
      <c r="BM472" s="14"/>
      <c r="BN472" s="14"/>
    </row>
    <row r="473" ht="22.5" hidden="1" customHeight="1">
      <c r="A473" s="349" t="s">
        <v>664</v>
      </c>
      <c r="B473" s="350"/>
      <c r="C473" s="351" t="s">
        <v>1057</v>
      </c>
      <c r="D473" s="379">
        <v>3311.0</v>
      </c>
      <c r="E473" s="353" t="s">
        <v>95</v>
      </c>
      <c r="F473" s="354" t="s">
        <v>30</v>
      </c>
      <c r="G473" s="355" t="s">
        <v>529</v>
      </c>
      <c r="H473" s="356" t="s">
        <v>31</v>
      </c>
      <c r="I473" s="356" t="s">
        <v>98</v>
      </c>
      <c r="J473" s="357">
        <v>10000.0</v>
      </c>
      <c r="K473" s="358">
        <v>960.0</v>
      </c>
      <c r="L473" s="359">
        <v>46196.0</v>
      </c>
      <c r="M473" s="359">
        <v>46198.0</v>
      </c>
      <c r="N473" s="360"/>
      <c r="O473" s="361" t="s">
        <v>70</v>
      </c>
      <c r="P473" s="362"/>
      <c r="Q473" s="353" t="s">
        <v>35</v>
      </c>
      <c r="R473" s="353" t="s">
        <v>133</v>
      </c>
      <c r="S473" s="361" t="s">
        <v>36</v>
      </c>
      <c r="T473" s="361" t="s">
        <v>36</v>
      </c>
      <c r="U473" s="363" t="s">
        <v>37</v>
      </c>
      <c r="V473" s="375">
        <v>46199.0</v>
      </c>
      <c r="W473" s="382"/>
      <c r="X473" s="365" t="s">
        <v>1058</v>
      </c>
      <c r="Y473" s="366"/>
      <c r="Z473" s="367"/>
      <c r="AA473" s="367"/>
      <c r="AB473" s="13"/>
      <c r="AC473" s="13"/>
      <c r="AD473" s="13"/>
      <c r="AE473" s="13"/>
      <c r="AF473" s="13"/>
      <c r="AG473" s="13"/>
      <c r="AH473" s="13"/>
      <c r="AI473" s="13"/>
      <c r="AJ473" s="13"/>
      <c r="AK473" s="13"/>
      <c r="AL473" s="13"/>
      <c r="AM473" s="14"/>
      <c r="AN473" s="14"/>
      <c r="AO473" s="14"/>
      <c r="AP473" s="14"/>
      <c r="AQ473" s="14"/>
      <c r="AR473" s="14"/>
      <c r="AS473" s="14"/>
      <c r="AT473" s="14"/>
      <c r="AU473" s="14"/>
      <c r="AV473" s="14"/>
      <c r="AW473" s="14"/>
      <c r="AX473" s="14"/>
      <c r="AY473" s="14"/>
      <c r="AZ473" s="14"/>
      <c r="BA473" s="14"/>
      <c r="BB473" s="14"/>
      <c r="BC473" s="14"/>
      <c r="BD473" s="14"/>
      <c r="BE473" s="14"/>
      <c r="BF473" s="14"/>
      <c r="BG473" s="14"/>
      <c r="BH473" s="14"/>
      <c r="BI473" s="14"/>
      <c r="BJ473" s="14"/>
      <c r="BK473" s="14"/>
      <c r="BL473" s="14"/>
      <c r="BM473" s="14"/>
      <c r="BN473" s="14"/>
    </row>
    <row r="474" ht="22.5" hidden="1" customHeight="1">
      <c r="A474" s="349" t="s">
        <v>1059</v>
      </c>
      <c r="B474" s="350"/>
      <c r="C474" s="444" t="s">
        <v>1060</v>
      </c>
      <c r="D474" s="379">
        <v>3314.0</v>
      </c>
      <c r="E474" s="353" t="s">
        <v>164</v>
      </c>
      <c r="F474" s="354" t="s">
        <v>30</v>
      </c>
      <c r="G474" s="355" t="s">
        <v>1061</v>
      </c>
      <c r="H474" s="356" t="s">
        <v>31</v>
      </c>
      <c r="I474" s="356" t="s">
        <v>98</v>
      </c>
      <c r="J474" s="357" t="s">
        <v>172</v>
      </c>
      <c r="K474" s="358">
        <v>1434.0</v>
      </c>
      <c r="L474" s="359">
        <v>46195.0</v>
      </c>
      <c r="M474" s="359">
        <v>46202.0</v>
      </c>
      <c r="N474" s="360"/>
      <c r="O474" s="361" t="s">
        <v>54</v>
      </c>
      <c r="P474" s="362"/>
      <c r="Q474" s="388" t="s">
        <v>35</v>
      </c>
      <c r="R474" s="388" t="s">
        <v>133</v>
      </c>
      <c r="S474" s="381" t="s">
        <v>36</v>
      </c>
      <c r="T474" s="381" t="s">
        <v>36</v>
      </c>
      <c r="U474" s="374" t="s">
        <v>37</v>
      </c>
      <c r="V474" s="375">
        <v>46201.0</v>
      </c>
      <c r="W474" s="382"/>
      <c r="X474" s="445" t="s">
        <v>1062</v>
      </c>
      <c r="Y474" s="365" t="s">
        <v>516</v>
      </c>
      <c r="Z474" s="380" t="s">
        <v>516</v>
      </c>
      <c r="AA474" s="367"/>
      <c r="AB474" s="13"/>
      <c r="AC474" s="13"/>
      <c r="AD474" s="13"/>
      <c r="AE474" s="13"/>
      <c r="AF474" s="13"/>
      <c r="AG474" s="13"/>
      <c r="AH474" s="13"/>
      <c r="AI474" s="13"/>
      <c r="AJ474" s="13"/>
      <c r="AK474" s="13"/>
      <c r="AL474" s="13"/>
      <c r="AM474" s="14"/>
      <c r="AN474" s="14"/>
      <c r="AO474" s="14"/>
      <c r="AP474" s="14"/>
      <c r="AQ474" s="14"/>
      <c r="AR474" s="14"/>
      <c r="AS474" s="14"/>
      <c r="AT474" s="14"/>
      <c r="AU474" s="14"/>
      <c r="AV474" s="14"/>
      <c r="AW474" s="14"/>
      <c r="AX474" s="14"/>
      <c r="AY474" s="14"/>
      <c r="AZ474" s="14"/>
      <c r="BA474" s="14"/>
      <c r="BB474" s="14"/>
      <c r="BC474" s="14"/>
      <c r="BD474" s="14"/>
      <c r="BE474" s="14"/>
      <c r="BF474" s="14"/>
      <c r="BG474" s="14"/>
      <c r="BH474" s="14"/>
      <c r="BI474" s="14"/>
      <c r="BJ474" s="14"/>
      <c r="BK474" s="14"/>
      <c r="BL474" s="14"/>
      <c r="BM474" s="14"/>
      <c r="BN474" s="14"/>
    </row>
    <row r="475" ht="22.5" hidden="1" customHeight="1">
      <c r="A475" s="349" t="s">
        <v>1059</v>
      </c>
      <c r="B475" s="350"/>
      <c r="C475" s="444" t="s">
        <v>1063</v>
      </c>
      <c r="D475" s="379">
        <v>3315.0</v>
      </c>
      <c r="E475" s="353" t="s">
        <v>164</v>
      </c>
      <c r="F475" s="354" t="s">
        <v>30</v>
      </c>
      <c r="G475" s="355" t="s">
        <v>1061</v>
      </c>
      <c r="H475" s="356" t="s">
        <v>31</v>
      </c>
      <c r="I475" s="356" t="s">
        <v>98</v>
      </c>
      <c r="J475" s="357" t="s">
        <v>172</v>
      </c>
      <c r="K475" s="358">
        <v>1434.0</v>
      </c>
      <c r="L475" s="359">
        <v>46195.0</v>
      </c>
      <c r="M475" s="359">
        <v>46202.0</v>
      </c>
      <c r="N475" s="360"/>
      <c r="O475" s="361" t="s">
        <v>54</v>
      </c>
      <c r="P475" s="362"/>
      <c r="Q475" s="388" t="s">
        <v>35</v>
      </c>
      <c r="R475" s="388" t="s">
        <v>133</v>
      </c>
      <c r="S475" s="381" t="s">
        <v>36</v>
      </c>
      <c r="T475" s="381" t="s">
        <v>36</v>
      </c>
      <c r="U475" s="374" t="s">
        <v>37</v>
      </c>
      <c r="V475" s="375">
        <v>46201.0</v>
      </c>
      <c r="W475" s="382"/>
      <c r="X475" s="445" t="s">
        <v>1064</v>
      </c>
      <c r="Y475" s="365" t="s">
        <v>516</v>
      </c>
      <c r="Z475" s="380" t="s">
        <v>516</v>
      </c>
      <c r="AA475" s="367"/>
      <c r="AB475" s="13"/>
      <c r="AC475" s="13"/>
      <c r="AD475" s="13"/>
      <c r="AE475" s="13"/>
      <c r="AF475" s="13"/>
      <c r="AG475" s="13"/>
      <c r="AH475" s="13"/>
      <c r="AI475" s="13"/>
      <c r="AJ475" s="13"/>
      <c r="AK475" s="13"/>
      <c r="AL475" s="13"/>
      <c r="AM475" s="14"/>
      <c r="AN475" s="14"/>
      <c r="AO475" s="14"/>
      <c r="AP475" s="14"/>
      <c r="AQ475" s="14"/>
      <c r="AR475" s="14"/>
      <c r="AS475" s="14"/>
      <c r="AT475" s="14"/>
      <c r="AU475" s="14"/>
      <c r="AV475" s="14"/>
      <c r="AW475" s="14"/>
      <c r="AX475" s="14"/>
      <c r="AY475" s="14"/>
      <c r="AZ475" s="14"/>
      <c r="BA475" s="14"/>
      <c r="BB475" s="14"/>
      <c r="BC475" s="14"/>
      <c r="BD475" s="14"/>
      <c r="BE475" s="14"/>
      <c r="BF475" s="14"/>
      <c r="BG475" s="14"/>
      <c r="BH475" s="14"/>
      <c r="BI475" s="14"/>
      <c r="BJ475" s="14"/>
      <c r="BK475" s="14"/>
      <c r="BL475" s="14"/>
      <c r="BM475" s="14"/>
      <c r="BN475" s="14"/>
    </row>
    <row r="476" ht="22.5" hidden="1" customHeight="1">
      <c r="A476" s="349" t="s">
        <v>1065</v>
      </c>
      <c r="B476" s="350"/>
      <c r="C476" s="351" t="s">
        <v>1066</v>
      </c>
      <c r="D476" s="352" t="s">
        <v>1067</v>
      </c>
      <c r="E476" s="353" t="s">
        <v>95</v>
      </c>
      <c r="F476" s="354" t="s">
        <v>30</v>
      </c>
      <c r="G476" s="355" t="s">
        <v>1068</v>
      </c>
      <c r="H476" s="356" t="s">
        <v>52</v>
      </c>
      <c r="I476" s="356" t="s">
        <v>274</v>
      </c>
      <c r="J476" s="357" t="s">
        <v>1069</v>
      </c>
      <c r="K476" s="358">
        <v>100.0</v>
      </c>
      <c r="L476" s="359">
        <v>46190.0</v>
      </c>
      <c r="M476" s="359">
        <v>46195.0</v>
      </c>
      <c r="N476" s="360"/>
      <c r="O476" s="361" t="s">
        <v>70</v>
      </c>
      <c r="P476" s="362"/>
      <c r="Q476" s="353" t="s">
        <v>144</v>
      </c>
      <c r="R476" s="353" t="s">
        <v>215</v>
      </c>
      <c r="S476" s="361" t="s">
        <v>55</v>
      </c>
      <c r="T476" s="361" t="s">
        <v>36</v>
      </c>
      <c r="U476" s="374" t="s">
        <v>37</v>
      </c>
      <c r="V476" s="430"/>
      <c r="W476" s="357" t="s">
        <v>1070</v>
      </c>
      <c r="X476" s="365" t="s">
        <v>1071</v>
      </c>
      <c r="Y476" s="366"/>
      <c r="Z476" s="367"/>
      <c r="AA476" s="367"/>
      <c r="AB476" s="13"/>
      <c r="AC476" s="13"/>
      <c r="AD476" s="13"/>
      <c r="AE476" s="13"/>
      <c r="AF476" s="13"/>
      <c r="AG476" s="13"/>
      <c r="AH476" s="13"/>
      <c r="AI476" s="13"/>
      <c r="AJ476" s="13"/>
      <c r="AK476" s="13"/>
      <c r="AL476" s="13"/>
      <c r="AM476" s="14"/>
      <c r="AN476" s="14"/>
      <c r="AO476" s="14"/>
      <c r="AP476" s="14"/>
      <c r="AQ476" s="14"/>
      <c r="AR476" s="14"/>
      <c r="AS476" s="14"/>
      <c r="AT476" s="14"/>
      <c r="AU476" s="14"/>
      <c r="AV476" s="14"/>
      <c r="AW476" s="14"/>
      <c r="AX476" s="14"/>
      <c r="AY476" s="14"/>
      <c r="AZ476" s="14"/>
      <c r="BA476" s="14"/>
      <c r="BB476" s="14"/>
      <c r="BC476" s="14"/>
      <c r="BD476" s="14"/>
      <c r="BE476" s="14"/>
      <c r="BF476" s="14"/>
      <c r="BG476" s="14"/>
      <c r="BH476" s="14"/>
      <c r="BI476" s="14"/>
      <c r="BJ476" s="14"/>
      <c r="BK476" s="14"/>
      <c r="BL476" s="14"/>
      <c r="BM476" s="14"/>
      <c r="BN476" s="14"/>
    </row>
    <row r="477" ht="22.5" hidden="1" customHeight="1">
      <c r="A477" s="349" t="s">
        <v>1072</v>
      </c>
      <c r="B477" s="350"/>
      <c r="C477" s="351" t="s">
        <v>1073</v>
      </c>
      <c r="D477" s="379">
        <v>3320.0</v>
      </c>
      <c r="E477" s="353" t="s">
        <v>29</v>
      </c>
      <c r="F477" s="354" t="s">
        <v>72</v>
      </c>
      <c r="G477" s="355" t="s">
        <v>267</v>
      </c>
      <c r="H477" s="356" t="s">
        <v>31</v>
      </c>
      <c r="I477" s="356" t="s">
        <v>98</v>
      </c>
      <c r="J477" s="357">
        <v>50000.0</v>
      </c>
      <c r="K477" s="358">
        <v>2695.0</v>
      </c>
      <c r="L477" s="359">
        <v>46197.0</v>
      </c>
      <c r="M477" s="359">
        <v>46202.0</v>
      </c>
      <c r="N477" s="360"/>
      <c r="O477" s="361" t="s">
        <v>70</v>
      </c>
      <c r="P477" s="362"/>
      <c r="Q477" s="387"/>
      <c r="R477" s="388" t="s">
        <v>215</v>
      </c>
      <c r="S477" s="381" t="s">
        <v>36</v>
      </c>
      <c r="T477" s="381" t="s">
        <v>36</v>
      </c>
      <c r="U477" s="374" t="s">
        <v>37</v>
      </c>
      <c r="V477" s="430"/>
      <c r="W477" s="395" t="s">
        <v>1074</v>
      </c>
      <c r="X477" s="366"/>
      <c r="Y477" s="365" t="s">
        <v>215</v>
      </c>
      <c r="Z477" s="367"/>
      <c r="AA477" s="380" t="s">
        <v>1075</v>
      </c>
      <c r="AB477" s="13"/>
      <c r="AC477" s="13"/>
      <c r="AD477" s="13"/>
      <c r="AE477" s="13"/>
      <c r="AF477" s="13"/>
      <c r="AG477" s="13"/>
      <c r="AH477" s="13"/>
      <c r="AI477" s="13"/>
      <c r="AJ477" s="13"/>
      <c r="AK477" s="13"/>
      <c r="AL477" s="13"/>
      <c r="AM477" s="14"/>
      <c r="AN477" s="14"/>
      <c r="AO477" s="14"/>
      <c r="AP477" s="14"/>
      <c r="AQ477" s="14"/>
      <c r="AR477" s="14"/>
      <c r="AS477" s="14"/>
      <c r="AT477" s="14"/>
      <c r="AU477" s="14"/>
      <c r="AV477" s="14"/>
      <c r="AW477" s="14"/>
      <c r="AX477" s="14"/>
      <c r="AY477" s="14"/>
      <c r="AZ477" s="14"/>
      <c r="BA477" s="14"/>
      <c r="BB477" s="14"/>
      <c r="BC477" s="14"/>
      <c r="BD477" s="14"/>
      <c r="BE477" s="14"/>
      <c r="BF477" s="14"/>
      <c r="BG477" s="14"/>
      <c r="BH477" s="14"/>
      <c r="BI477" s="14"/>
      <c r="BJ477" s="14"/>
      <c r="BK477" s="14"/>
      <c r="BL477" s="14"/>
      <c r="BM477" s="14"/>
      <c r="BN477" s="14"/>
    </row>
    <row r="478" ht="22.5" hidden="1" customHeight="1">
      <c r="A478" s="349" t="s">
        <v>1076</v>
      </c>
      <c r="B478" s="350"/>
      <c r="C478" s="351" t="s">
        <v>1077</v>
      </c>
      <c r="D478" s="379" t="s">
        <v>1078</v>
      </c>
      <c r="E478" s="353" t="s">
        <v>29</v>
      </c>
      <c r="F478" s="354" t="s">
        <v>96</v>
      </c>
      <c r="G478" s="355" t="s">
        <v>548</v>
      </c>
      <c r="H478" s="356" t="s">
        <v>31</v>
      </c>
      <c r="I478" s="356" t="s">
        <v>132</v>
      </c>
      <c r="J478" s="446">
        <v>767042.0</v>
      </c>
      <c r="K478" s="358">
        <v>700.0</v>
      </c>
      <c r="L478" s="359">
        <v>46192.0</v>
      </c>
      <c r="M478" s="359">
        <v>46195.0</v>
      </c>
      <c r="N478" s="360"/>
      <c r="O478" s="361" t="s">
        <v>54</v>
      </c>
      <c r="P478" s="362"/>
      <c r="Q478" s="388" t="s">
        <v>35</v>
      </c>
      <c r="R478" s="388" t="s">
        <v>133</v>
      </c>
      <c r="S478" s="381" t="s">
        <v>36</v>
      </c>
      <c r="T478" s="381" t="s">
        <v>36</v>
      </c>
      <c r="U478" s="374" t="s">
        <v>37</v>
      </c>
      <c r="V478" s="430"/>
      <c r="W478" s="395" t="s">
        <v>1079</v>
      </c>
      <c r="X478" s="366"/>
      <c r="Y478" s="366"/>
      <c r="Z478" s="367"/>
      <c r="AA478" s="367"/>
      <c r="AB478" s="13"/>
      <c r="AC478" s="13"/>
      <c r="AD478" s="13"/>
      <c r="AE478" s="13"/>
      <c r="AF478" s="13"/>
      <c r="AG478" s="13"/>
      <c r="AH478" s="13"/>
      <c r="AI478" s="13"/>
      <c r="AJ478" s="13"/>
      <c r="AK478" s="13"/>
      <c r="AL478" s="13"/>
      <c r="AM478" s="14"/>
      <c r="AN478" s="14"/>
      <c r="AO478" s="14"/>
      <c r="AP478" s="14"/>
      <c r="AQ478" s="14"/>
      <c r="AR478" s="14"/>
      <c r="AS478" s="14"/>
      <c r="AT478" s="14"/>
      <c r="AU478" s="14"/>
      <c r="AV478" s="14"/>
      <c r="AW478" s="14"/>
      <c r="AX478" s="14"/>
      <c r="AY478" s="14"/>
      <c r="AZ478" s="14"/>
      <c r="BA478" s="14"/>
      <c r="BB478" s="14"/>
      <c r="BC478" s="14"/>
      <c r="BD478" s="14"/>
      <c r="BE478" s="14"/>
      <c r="BF478" s="14"/>
      <c r="BG478" s="14"/>
      <c r="BH478" s="14"/>
      <c r="BI478" s="14"/>
      <c r="BJ478" s="14"/>
      <c r="BK478" s="14"/>
      <c r="BL478" s="14"/>
      <c r="BM478" s="14"/>
      <c r="BN478" s="14"/>
    </row>
    <row r="479" ht="22.5" hidden="1" customHeight="1">
      <c r="A479" s="349" t="s">
        <v>1072</v>
      </c>
      <c r="B479" s="350"/>
      <c r="C479" s="351" t="s">
        <v>911</v>
      </c>
      <c r="D479" s="379">
        <v>3321.0</v>
      </c>
      <c r="E479" s="353" t="s">
        <v>29</v>
      </c>
      <c r="F479" s="354" t="s">
        <v>72</v>
      </c>
      <c r="G479" s="355" t="s">
        <v>1080</v>
      </c>
      <c r="H479" s="356" t="s">
        <v>31</v>
      </c>
      <c r="I479" s="356" t="s">
        <v>98</v>
      </c>
      <c r="J479" s="357">
        <v>50000.0</v>
      </c>
      <c r="K479" s="358">
        <v>3033.0</v>
      </c>
      <c r="L479" s="359">
        <v>46197.0</v>
      </c>
      <c r="M479" s="359">
        <v>46202.0</v>
      </c>
      <c r="N479" s="360"/>
      <c r="O479" s="361" t="s">
        <v>54</v>
      </c>
      <c r="P479" s="362"/>
      <c r="Q479" s="387"/>
      <c r="R479" s="388" t="s">
        <v>215</v>
      </c>
      <c r="S479" s="381" t="s">
        <v>36</v>
      </c>
      <c r="T479" s="381" t="s">
        <v>36</v>
      </c>
      <c r="U479" s="374" t="s">
        <v>37</v>
      </c>
      <c r="V479" s="430"/>
      <c r="W479" s="382"/>
      <c r="X479" s="366"/>
      <c r="Y479" s="365" t="s">
        <v>215</v>
      </c>
      <c r="Z479" s="367"/>
      <c r="AA479" s="380" t="s">
        <v>1075</v>
      </c>
      <c r="AB479" s="13"/>
      <c r="AC479" s="13"/>
      <c r="AD479" s="13"/>
      <c r="AE479" s="13"/>
      <c r="AF479" s="13"/>
      <c r="AG479" s="13"/>
      <c r="AH479" s="13"/>
      <c r="AI479" s="13"/>
      <c r="AJ479" s="13"/>
      <c r="AK479" s="13"/>
      <c r="AL479" s="13"/>
      <c r="AM479" s="14"/>
      <c r="AN479" s="14"/>
      <c r="AO479" s="14"/>
      <c r="AP479" s="14"/>
      <c r="AQ479" s="14"/>
      <c r="AR479" s="14"/>
      <c r="AS479" s="14"/>
      <c r="AT479" s="14"/>
      <c r="AU479" s="14"/>
      <c r="AV479" s="14"/>
      <c r="AW479" s="14"/>
      <c r="AX479" s="14"/>
      <c r="AY479" s="14"/>
      <c r="AZ479" s="14"/>
      <c r="BA479" s="14"/>
      <c r="BB479" s="14"/>
      <c r="BC479" s="14"/>
      <c r="BD479" s="14"/>
      <c r="BE479" s="14"/>
      <c r="BF479" s="14"/>
      <c r="BG479" s="14"/>
      <c r="BH479" s="14"/>
      <c r="BI479" s="14"/>
      <c r="BJ479" s="14"/>
      <c r="BK479" s="14"/>
      <c r="BL479" s="14"/>
      <c r="BM479" s="14"/>
      <c r="BN479" s="14"/>
    </row>
    <row r="480" ht="22.5" hidden="1" customHeight="1">
      <c r="A480" s="349" t="s">
        <v>906</v>
      </c>
      <c r="B480" s="350"/>
      <c r="C480" s="351" t="s">
        <v>1081</v>
      </c>
      <c r="D480" s="352">
        <v>3344.0</v>
      </c>
      <c r="E480" s="353" t="s">
        <v>157</v>
      </c>
      <c r="F480" s="354" t="s">
        <v>30</v>
      </c>
      <c r="G480" s="355" t="s">
        <v>1011</v>
      </c>
      <c r="H480" s="356" t="s">
        <v>31</v>
      </c>
      <c r="I480" s="356" t="s">
        <v>98</v>
      </c>
      <c r="J480" s="357">
        <v>10000.0</v>
      </c>
      <c r="K480" s="358">
        <v>628.0</v>
      </c>
      <c r="L480" s="359">
        <v>46198.0</v>
      </c>
      <c r="M480" s="359">
        <v>46200.0</v>
      </c>
      <c r="N480" s="360"/>
      <c r="O480" s="361" t="s">
        <v>338</v>
      </c>
      <c r="P480" s="362"/>
      <c r="Q480" s="353" t="s">
        <v>35</v>
      </c>
      <c r="R480" s="353" t="s">
        <v>133</v>
      </c>
      <c r="S480" s="361" t="s">
        <v>35</v>
      </c>
      <c r="T480" s="361" t="s">
        <v>36</v>
      </c>
      <c r="U480" s="363" t="s">
        <v>37</v>
      </c>
      <c r="V480" s="437" t="s">
        <v>1082</v>
      </c>
      <c r="W480" s="437" t="s">
        <v>1083</v>
      </c>
      <c r="X480" s="365" t="s">
        <v>976</v>
      </c>
      <c r="Y480" s="366"/>
      <c r="Z480" s="367"/>
      <c r="AA480" s="367"/>
      <c r="AB480" s="13"/>
      <c r="AC480" s="13"/>
      <c r="AD480" s="13"/>
      <c r="AE480" s="13"/>
      <c r="AF480" s="13"/>
      <c r="AG480" s="13"/>
      <c r="AH480" s="13"/>
      <c r="AI480" s="13"/>
      <c r="AJ480" s="13"/>
      <c r="AK480" s="13"/>
      <c r="AL480" s="13"/>
      <c r="AM480" s="14"/>
      <c r="AN480" s="14"/>
      <c r="AO480" s="14"/>
      <c r="AP480" s="14"/>
      <c r="AQ480" s="14"/>
      <c r="AR480" s="14"/>
      <c r="AS480" s="14"/>
      <c r="AT480" s="14"/>
      <c r="AU480" s="14"/>
      <c r="AV480" s="14"/>
      <c r="AW480" s="14"/>
      <c r="AX480" s="14"/>
      <c r="AY480" s="14"/>
      <c r="AZ480" s="14"/>
      <c r="BA480" s="14"/>
      <c r="BB480" s="14"/>
      <c r="BC480" s="14"/>
      <c r="BD480" s="14"/>
      <c r="BE480" s="14"/>
      <c r="BF480" s="14"/>
      <c r="BG480" s="14"/>
      <c r="BH480" s="14"/>
      <c r="BI480" s="14"/>
      <c r="BJ480" s="14"/>
      <c r="BK480" s="14"/>
      <c r="BL480" s="14"/>
      <c r="BM480" s="14"/>
      <c r="BN480" s="14"/>
    </row>
    <row r="481" ht="22.5" hidden="1" customHeight="1">
      <c r="A481" s="349" t="s">
        <v>906</v>
      </c>
      <c r="B481" s="350"/>
      <c r="C481" s="351" t="s">
        <v>1084</v>
      </c>
      <c r="D481" s="447"/>
      <c r="E481" s="353" t="s">
        <v>157</v>
      </c>
      <c r="F481" s="354" t="s">
        <v>30</v>
      </c>
      <c r="G481" s="355" t="s">
        <v>908</v>
      </c>
      <c r="H481" s="356" t="s">
        <v>52</v>
      </c>
      <c r="I481" s="356" t="s">
        <v>274</v>
      </c>
      <c r="J481" s="357">
        <v>4000.0</v>
      </c>
      <c r="K481" s="407"/>
      <c r="L481" s="359">
        <v>46192.0</v>
      </c>
      <c r="M481" s="359">
        <v>46193.0</v>
      </c>
      <c r="N481" s="360"/>
      <c r="O481" s="361" t="s">
        <v>338</v>
      </c>
      <c r="P481" s="362"/>
      <c r="Q481" s="353" t="s">
        <v>35</v>
      </c>
      <c r="R481" s="353" t="s">
        <v>133</v>
      </c>
      <c r="S481" s="361" t="s">
        <v>55</v>
      </c>
      <c r="T481" s="361" t="s">
        <v>36</v>
      </c>
      <c r="U481" s="363" t="s">
        <v>37</v>
      </c>
      <c r="V481" s="430"/>
      <c r="W481" s="382"/>
      <c r="X481" s="365" t="s">
        <v>976</v>
      </c>
      <c r="Y481" s="366"/>
      <c r="Z481" s="367"/>
      <c r="AA481" s="367"/>
      <c r="AB481" s="13"/>
      <c r="AC481" s="13"/>
      <c r="AD481" s="13"/>
      <c r="AE481" s="13"/>
      <c r="AF481" s="13"/>
      <c r="AG481" s="13"/>
      <c r="AH481" s="13"/>
      <c r="AI481" s="13"/>
      <c r="AJ481" s="13"/>
      <c r="AK481" s="13"/>
      <c r="AL481" s="13"/>
      <c r="AM481" s="14"/>
      <c r="AN481" s="14"/>
      <c r="AO481" s="14"/>
      <c r="AP481" s="14"/>
      <c r="AQ481" s="14"/>
      <c r="AR481" s="14"/>
      <c r="AS481" s="14"/>
      <c r="AT481" s="14"/>
      <c r="AU481" s="14"/>
      <c r="AV481" s="14"/>
      <c r="AW481" s="14"/>
      <c r="AX481" s="14"/>
      <c r="AY481" s="14"/>
      <c r="AZ481" s="14"/>
      <c r="BA481" s="14"/>
      <c r="BB481" s="14"/>
      <c r="BC481" s="14"/>
      <c r="BD481" s="14"/>
      <c r="BE481" s="14"/>
      <c r="BF481" s="14"/>
      <c r="BG481" s="14"/>
      <c r="BH481" s="14"/>
      <c r="BI481" s="14"/>
      <c r="BJ481" s="14"/>
      <c r="BK481" s="14"/>
      <c r="BL481" s="14"/>
      <c r="BM481" s="14"/>
      <c r="BN481" s="14"/>
    </row>
    <row r="482" ht="22.5" hidden="1" customHeight="1">
      <c r="A482" s="349" t="s">
        <v>803</v>
      </c>
      <c r="B482" s="350"/>
      <c r="C482" s="351" t="s">
        <v>1085</v>
      </c>
      <c r="D482" s="352">
        <v>3352.0</v>
      </c>
      <c r="E482" s="353" t="s">
        <v>29</v>
      </c>
      <c r="F482" s="354" t="s">
        <v>30</v>
      </c>
      <c r="G482" s="355" t="s">
        <v>1086</v>
      </c>
      <c r="H482" s="356" t="s">
        <v>31</v>
      </c>
      <c r="I482" s="356" t="s">
        <v>132</v>
      </c>
      <c r="J482" s="357">
        <v>20000.0</v>
      </c>
      <c r="K482" s="358">
        <v>1236.0</v>
      </c>
      <c r="L482" s="359">
        <v>46185.0</v>
      </c>
      <c r="M482" s="359">
        <v>46188.0</v>
      </c>
      <c r="N482" s="360"/>
      <c r="O482" s="361" t="s">
        <v>70</v>
      </c>
      <c r="P482" s="362"/>
      <c r="Q482" s="387"/>
      <c r="R482" s="387"/>
      <c r="S482" s="381" t="s">
        <v>36</v>
      </c>
      <c r="T482" s="381" t="s">
        <v>36</v>
      </c>
      <c r="U482" s="374" t="s">
        <v>37</v>
      </c>
      <c r="V482" s="430"/>
      <c r="W482" s="395">
        <v>4.0</v>
      </c>
      <c r="X482" s="366"/>
      <c r="Y482" s="366"/>
      <c r="Z482" s="367"/>
      <c r="AA482" s="380"/>
      <c r="AB482" s="13"/>
      <c r="AC482" s="13"/>
      <c r="AD482" s="13"/>
      <c r="AE482" s="13"/>
      <c r="AF482" s="13"/>
      <c r="AG482" s="13"/>
      <c r="AH482" s="13"/>
      <c r="AI482" s="13"/>
      <c r="AJ482" s="13"/>
      <c r="AK482" s="13"/>
      <c r="AL482" s="13"/>
      <c r="AM482" s="14"/>
      <c r="AN482" s="14"/>
      <c r="AO482" s="14"/>
      <c r="AP482" s="14"/>
      <c r="AQ482" s="14"/>
      <c r="AR482" s="14"/>
      <c r="AS482" s="14"/>
      <c r="AT482" s="14"/>
      <c r="AU482" s="14"/>
      <c r="AV482" s="14"/>
      <c r="AW482" s="14"/>
      <c r="AX482" s="14"/>
      <c r="AY482" s="14"/>
      <c r="AZ482" s="14"/>
      <c r="BA482" s="14"/>
      <c r="BB482" s="14"/>
      <c r="BC482" s="14"/>
      <c r="BD482" s="14"/>
      <c r="BE482" s="14"/>
      <c r="BF482" s="14"/>
      <c r="BG482" s="14"/>
      <c r="BH482" s="14"/>
      <c r="BI482" s="14"/>
      <c r="BJ482" s="14"/>
      <c r="BK482" s="14"/>
      <c r="BL482" s="14"/>
      <c r="BM482" s="14"/>
      <c r="BN482" s="14"/>
    </row>
    <row r="483" ht="22.5" hidden="1" customHeight="1">
      <c r="A483" s="349" t="s">
        <v>1087</v>
      </c>
      <c r="B483" s="350"/>
      <c r="C483" s="351" t="s">
        <v>1088</v>
      </c>
      <c r="D483" s="352">
        <v>3353.0</v>
      </c>
      <c r="E483" s="353" t="s">
        <v>157</v>
      </c>
      <c r="F483" s="354" t="s">
        <v>30</v>
      </c>
      <c r="G483" s="355" t="s">
        <v>448</v>
      </c>
      <c r="H483" s="356" t="s">
        <v>31</v>
      </c>
      <c r="I483" s="356" t="s">
        <v>98</v>
      </c>
      <c r="J483" s="357">
        <v>100000.0</v>
      </c>
      <c r="K483" s="358">
        <v>1768.0</v>
      </c>
      <c r="L483" s="359">
        <v>46197.0</v>
      </c>
      <c r="M483" s="359">
        <v>46202.0</v>
      </c>
      <c r="N483" s="360"/>
      <c r="O483" s="361" t="s">
        <v>70</v>
      </c>
      <c r="P483" s="362"/>
      <c r="Q483" s="353" t="s">
        <v>35</v>
      </c>
      <c r="R483" s="353" t="s">
        <v>133</v>
      </c>
      <c r="S483" s="361" t="s">
        <v>36</v>
      </c>
      <c r="T483" s="361" t="s">
        <v>36</v>
      </c>
      <c r="U483" s="363" t="s">
        <v>37</v>
      </c>
      <c r="V483" s="430"/>
      <c r="W483" s="257"/>
      <c r="X483" s="357" t="s">
        <v>1089</v>
      </c>
      <c r="Y483" s="366"/>
      <c r="Z483" s="367"/>
      <c r="AA483" s="367"/>
      <c r="AB483" s="13"/>
      <c r="AC483" s="13"/>
      <c r="AD483" s="13"/>
      <c r="AE483" s="13"/>
      <c r="AF483" s="13"/>
      <c r="AG483" s="13"/>
      <c r="AH483" s="13"/>
      <c r="AI483" s="13"/>
      <c r="AJ483" s="13"/>
      <c r="AK483" s="13"/>
      <c r="AL483" s="13"/>
      <c r="AM483" s="14"/>
      <c r="AN483" s="14"/>
      <c r="AO483" s="14"/>
      <c r="AP483" s="14"/>
      <c r="AQ483" s="14"/>
      <c r="AR483" s="14"/>
      <c r="AS483" s="14"/>
      <c r="AT483" s="14"/>
      <c r="AU483" s="14"/>
      <c r="AV483" s="14"/>
      <c r="AW483" s="14"/>
      <c r="AX483" s="14"/>
      <c r="AY483" s="14"/>
      <c r="AZ483" s="14"/>
      <c r="BA483" s="14"/>
      <c r="BB483" s="14"/>
      <c r="BC483" s="14"/>
      <c r="BD483" s="14"/>
      <c r="BE483" s="14"/>
      <c r="BF483" s="14"/>
      <c r="BG483" s="14"/>
      <c r="BH483" s="14"/>
      <c r="BI483" s="14"/>
      <c r="BJ483" s="14"/>
      <c r="BK483" s="14"/>
      <c r="BL483" s="14"/>
      <c r="BM483" s="14"/>
      <c r="BN483" s="14"/>
    </row>
    <row r="484" ht="22.5" hidden="1" customHeight="1">
      <c r="A484" s="349" t="s">
        <v>1087</v>
      </c>
      <c r="B484" s="350"/>
      <c r="C484" s="351" t="s">
        <v>1090</v>
      </c>
      <c r="D484" s="352">
        <v>3378.0</v>
      </c>
      <c r="E484" s="353" t="s">
        <v>157</v>
      </c>
      <c r="F484" s="354" t="s">
        <v>30</v>
      </c>
      <c r="G484" s="355" t="s">
        <v>1091</v>
      </c>
      <c r="H484" s="356" t="s">
        <v>31</v>
      </c>
      <c r="I484" s="356" t="s">
        <v>98</v>
      </c>
      <c r="J484" s="357" t="s">
        <v>1092</v>
      </c>
      <c r="K484" s="358">
        <v>6202.0</v>
      </c>
      <c r="L484" s="359">
        <v>46198.0</v>
      </c>
      <c r="M484" s="359">
        <v>46204.0</v>
      </c>
      <c r="N484" s="360"/>
      <c r="O484" s="361" t="s">
        <v>338</v>
      </c>
      <c r="P484" s="362"/>
      <c r="Q484" s="353" t="s">
        <v>35</v>
      </c>
      <c r="R484" s="353" t="s">
        <v>133</v>
      </c>
      <c r="S484" s="361" t="s">
        <v>35</v>
      </c>
      <c r="T484" s="361" t="s">
        <v>35</v>
      </c>
      <c r="U484" s="363" t="s">
        <v>37</v>
      </c>
      <c r="V484" s="430"/>
      <c r="W484" s="257"/>
      <c r="X484" s="357" t="s">
        <v>1089</v>
      </c>
      <c r="Y484" s="366"/>
      <c r="Z484" s="367"/>
      <c r="AA484" s="367"/>
      <c r="AB484" s="13"/>
      <c r="AC484" s="13"/>
      <c r="AD484" s="13"/>
      <c r="AE484" s="13"/>
      <c r="AF484" s="13"/>
      <c r="AG484" s="13"/>
      <c r="AH484" s="13"/>
      <c r="AI484" s="13"/>
      <c r="AJ484" s="13"/>
      <c r="AK484" s="13"/>
      <c r="AL484" s="13"/>
      <c r="AM484" s="14"/>
      <c r="AN484" s="14"/>
      <c r="AO484" s="14"/>
      <c r="AP484" s="14"/>
      <c r="AQ484" s="14"/>
      <c r="AR484" s="14"/>
      <c r="AS484" s="14"/>
      <c r="AT484" s="14"/>
      <c r="AU484" s="14"/>
      <c r="AV484" s="14"/>
      <c r="AW484" s="14"/>
      <c r="AX484" s="14"/>
      <c r="AY484" s="14"/>
      <c r="AZ484" s="14"/>
      <c r="BA484" s="14"/>
      <c r="BB484" s="14"/>
      <c r="BC484" s="14"/>
      <c r="BD484" s="14"/>
      <c r="BE484" s="14"/>
      <c r="BF484" s="14"/>
      <c r="BG484" s="14"/>
      <c r="BH484" s="14"/>
      <c r="BI484" s="14"/>
      <c r="BJ484" s="14"/>
      <c r="BK484" s="14"/>
      <c r="BL484" s="14"/>
      <c r="BM484" s="14"/>
      <c r="BN484" s="14"/>
    </row>
    <row r="485" ht="22.5" hidden="1" customHeight="1">
      <c r="A485" s="349" t="s">
        <v>155</v>
      </c>
      <c r="B485" s="350"/>
      <c r="C485" s="351" t="s">
        <v>1093</v>
      </c>
      <c r="D485" s="352">
        <v>3379.0</v>
      </c>
      <c r="E485" s="353" t="s">
        <v>157</v>
      </c>
      <c r="F485" s="354" t="s">
        <v>96</v>
      </c>
      <c r="G485" s="355" t="s">
        <v>856</v>
      </c>
      <c r="H485" s="356" t="s">
        <v>52</v>
      </c>
      <c r="I485" s="356" t="s">
        <v>274</v>
      </c>
      <c r="J485" s="357" t="s">
        <v>1094</v>
      </c>
      <c r="K485" s="358">
        <v>150.0</v>
      </c>
      <c r="L485" s="359">
        <v>46197.0</v>
      </c>
      <c r="M485" s="359">
        <v>46199.0</v>
      </c>
      <c r="N485" s="360"/>
      <c r="O485" s="361" t="s">
        <v>70</v>
      </c>
      <c r="P485" s="362"/>
      <c r="Q485" s="353" t="s">
        <v>35</v>
      </c>
      <c r="R485" s="353" t="s">
        <v>133</v>
      </c>
      <c r="S485" s="361" t="s">
        <v>55</v>
      </c>
      <c r="T485" s="361" t="s">
        <v>36</v>
      </c>
      <c r="U485" s="363" t="s">
        <v>37</v>
      </c>
      <c r="V485" s="430"/>
      <c r="W485" s="382"/>
      <c r="X485" s="365" t="s">
        <v>160</v>
      </c>
      <c r="Y485" s="366"/>
      <c r="Z485" s="367"/>
      <c r="AA485" s="367"/>
      <c r="AB485" s="13"/>
      <c r="AC485" s="13"/>
      <c r="AD485" s="13"/>
      <c r="AE485" s="13"/>
      <c r="AF485" s="13"/>
      <c r="AG485" s="13"/>
      <c r="AH485" s="13"/>
      <c r="AI485" s="13"/>
      <c r="AJ485" s="13"/>
      <c r="AK485" s="13"/>
      <c r="AL485" s="13"/>
      <c r="AM485" s="14"/>
      <c r="AN485" s="14"/>
      <c r="AO485" s="14"/>
      <c r="AP485" s="14"/>
      <c r="AQ485" s="14"/>
      <c r="AR485" s="14"/>
      <c r="AS485" s="14"/>
      <c r="AT485" s="14"/>
      <c r="AU485" s="14"/>
      <c r="AV485" s="14"/>
      <c r="AW485" s="14"/>
      <c r="AX485" s="14"/>
      <c r="AY485" s="14"/>
      <c r="AZ485" s="14"/>
      <c r="BA485" s="14"/>
      <c r="BB485" s="14"/>
      <c r="BC485" s="14"/>
      <c r="BD485" s="14"/>
      <c r="BE485" s="14"/>
      <c r="BF485" s="14"/>
      <c r="BG485" s="14"/>
      <c r="BH485" s="14"/>
      <c r="BI485" s="14"/>
      <c r="BJ485" s="14"/>
      <c r="BK485" s="14"/>
      <c r="BL485" s="14"/>
      <c r="BM485" s="14"/>
      <c r="BN485" s="14"/>
    </row>
    <row r="486" ht="22.5" hidden="1" customHeight="1">
      <c r="A486" s="349" t="s">
        <v>1072</v>
      </c>
      <c r="B486" s="350"/>
      <c r="C486" s="351" t="s">
        <v>1095</v>
      </c>
      <c r="D486" s="379">
        <v>3388.0</v>
      </c>
      <c r="E486" s="353" t="s">
        <v>29</v>
      </c>
      <c r="F486" s="354" t="s">
        <v>30</v>
      </c>
      <c r="G486" s="355" t="s">
        <v>1096</v>
      </c>
      <c r="H486" s="356" t="s">
        <v>31</v>
      </c>
      <c r="I486" s="356" t="s">
        <v>98</v>
      </c>
      <c r="J486" s="357">
        <v>6150.0</v>
      </c>
      <c r="K486" s="358">
        <v>1400.0</v>
      </c>
      <c r="L486" s="359">
        <v>46197.0</v>
      </c>
      <c r="M486" s="359">
        <v>46202.0</v>
      </c>
      <c r="N486" s="360"/>
      <c r="O486" s="361" t="s">
        <v>54</v>
      </c>
      <c r="P486" s="362"/>
      <c r="Q486" s="387"/>
      <c r="R486" s="388" t="s">
        <v>133</v>
      </c>
      <c r="S486" s="381" t="s">
        <v>36</v>
      </c>
      <c r="T486" s="381" t="s">
        <v>36</v>
      </c>
      <c r="U486" s="374" t="s">
        <v>37</v>
      </c>
      <c r="V486" s="430"/>
      <c r="W486" s="395" t="s">
        <v>1097</v>
      </c>
      <c r="X486" s="366"/>
      <c r="Y486" s="366"/>
      <c r="Z486" s="367"/>
      <c r="AA486" s="380" t="s">
        <v>1098</v>
      </c>
      <c r="AB486" s="13"/>
      <c r="AC486" s="13"/>
      <c r="AD486" s="13"/>
      <c r="AE486" s="13"/>
      <c r="AF486" s="13"/>
      <c r="AG486" s="13"/>
      <c r="AH486" s="13"/>
      <c r="AI486" s="13"/>
      <c r="AJ486" s="13"/>
      <c r="AK486" s="13"/>
      <c r="AL486" s="13"/>
      <c r="AM486" s="14"/>
      <c r="AN486" s="14"/>
      <c r="AO486" s="14"/>
      <c r="AP486" s="14"/>
      <c r="AQ486" s="14"/>
      <c r="AR486" s="14"/>
      <c r="AS486" s="14"/>
      <c r="AT486" s="14"/>
      <c r="AU486" s="14"/>
      <c r="AV486" s="14"/>
      <c r="AW486" s="14"/>
      <c r="AX486" s="14"/>
      <c r="AY486" s="14"/>
      <c r="AZ486" s="14"/>
      <c r="BA486" s="14"/>
      <c r="BB486" s="14"/>
      <c r="BC486" s="14"/>
      <c r="BD486" s="14"/>
      <c r="BE486" s="14"/>
      <c r="BF486" s="14"/>
      <c r="BG486" s="14"/>
      <c r="BH486" s="14"/>
      <c r="BI486" s="14"/>
      <c r="BJ486" s="14"/>
      <c r="BK486" s="14"/>
      <c r="BL486" s="14"/>
      <c r="BM486" s="14"/>
      <c r="BN486" s="14"/>
    </row>
    <row r="487" ht="22.5" hidden="1" customHeight="1">
      <c r="A487" s="349" t="s">
        <v>744</v>
      </c>
      <c r="B487" s="350"/>
      <c r="C487" s="351" t="s">
        <v>1099</v>
      </c>
      <c r="D487" s="379">
        <v>3392.0</v>
      </c>
      <c r="E487" s="353" t="s">
        <v>95</v>
      </c>
      <c r="F487" s="354" t="s">
        <v>30</v>
      </c>
      <c r="G487" s="355" t="s">
        <v>490</v>
      </c>
      <c r="H487" s="356" t="s">
        <v>31</v>
      </c>
      <c r="I487" s="356" t="s">
        <v>98</v>
      </c>
      <c r="J487" s="357">
        <v>4000.0</v>
      </c>
      <c r="K487" s="358">
        <v>645.0</v>
      </c>
      <c r="L487" s="359">
        <v>46198.0</v>
      </c>
      <c r="M487" s="359">
        <v>46202.0</v>
      </c>
      <c r="N487" s="360"/>
      <c r="O487" s="361" t="s">
        <v>661</v>
      </c>
      <c r="P487" s="362"/>
      <c r="Q487" s="353" t="s">
        <v>35</v>
      </c>
      <c r="R487" s="353" t="s">
        <v>133</v>
      </c>
      <c r="S487" s="361" t="s">
        <v>35</v>
      </c>
      <c r="T487" s="361" t="s">
        <v>35</v>
      </c>
      <c r="U487" s="363" t="s">
        <v>37</v>
      </c>
      <c r="V487" s="430"/>
      <c r="W487" s="357" t="s">
        <v>1100</v>
      </c>
      <c r="X487" s="365" t="s">
        <v>1101</v>
      </c>
      <c r="Y487" s="365" t="s">
        <v>516</v>
      </c>
      <c r="Z487" s="365" t="s">
        <v>516</v>
      </c>
      <c r="AA487" s="365" t="s">
        <v>516</v>
      </c>
      <c r="AB487" s="13"/>
      <c r="AC487" s="13"/>
      <c r="AD487" s="13"/>
      <c r="AE487" s="13"/>
      <c r="AF487" s="13"/>
      <c r="AG487" s="13"/>
      <c r="AH487" s="13"/>
      <c r="AI487" s="13"/>
      <c r="AJ487" s="13"/>
      <c r="AK487" s="13"/>
      <c r="AL487" s="13"/>
      <c r="AM487" s="14"/>
      <c r="AN487" s="14"/>
      <c r="AO487" s="14"/>
      <c r="AP487" s="14"/>
      <c r="AQ487" s="14"/>
      <c r="AR487" s="14"/>
      <c r="AS487" s="14"/>
      <c r="AT487" s="14"/>
      <c r="AU487" s="14"/>
      <c r="AV487" s="14"/>
      <c r="AW487" s="14"/>
      <c r="AX487" s="14"/>
      <c r="AY487" s="14"/>
      <c r="AZ487" s="14"/>
      <c r="BA487" s="14"/>
      <c r="BB487" s="14"/>
      <c r="BC487" s="14"/>
      <c r="BD487" s="14"/>
      <c r="BE487" s="14"/>
      <c r="BF487" s="14"/>
      <c r="BG487" s="14"/>
      <c r="BH487" s="14"/>
      <c r="BI487" s="14"/>
      <c r="BJ487" s="14"/>
      <c r="BK487" s="14"/>
      <c r="BL487" s="14"/>
      <c r="BM487" s="14"/>
      <c r="BN487" s="14"/>
    </row>
    <row r="488" ht="22.5" hidden="1" customHeight="1">
      <c r="A488" s="349" t="s">
        <v>803</v>
      </c>
      <c r="B488" s="350"/>
      <c r="C488" s="351" t="s">
        <v>1102</v>
      </c>
      <c r="D488" s="352">
        <v>3396.0</v>
      </c>
      <c r="E488" s="353" t="s">
        <v>29</v>
      </c>
      <c r="F488" s="354" t="s">
        <v>30</v>
      </c>
      <c r="G488" s="355" t="s">
        <v>138</v>
      </c>
      <c r="H488" s="356" t="s">
        <v>31</v>
      </c>
      <c r="I488" s="356" t="s">
        <v>132</v>
      </c>
      <c r="J488" s="357">
        <v>20000.0</v>
      </c>
      <c r="K488" s="358">
        <v>1113.0</v>
      </c>
      <c r="L488" s="359">
        <v>46185.0</v>
      </c>
      <c r="M488" s="359">
        <v>46188.0</v>
      </c>
      <c r="N488" s="360"/>
      <c r="O488" s="361" t="s">
        <v>70</v>
      </c>
      <c r="P488" s="362"/>
      <c r="Q488" s="387"/>
      <c r="R488" s="387"/>
      <c r="S488" s="381" t="s">
        <v>36</v>
      </c>
      <c r="T488" s="381" t="s">
        <v>36</v>
      </c>
      <c r="U488" s="374" t="s">
        <v>37</v>
      </c>
      <c r="V488" s="430"/>
      <c r="W488" s="395">
        <v>3.0</v>
      </c>
      <c r="X488" s="366"/>
      <c r="Y488" s="366"/>
      <c r="Z488" s="367"/>
      <c r="AA488" s="367"/>
      <c r="AB488" s="13"/>
      <c r="AC488" s="13"/>
      <c r="AD488" s="13"/>
      <c r="AE488" s="13"/>
      <c r="AF488" s="13"/>
      <c r="AG488" s="13"/>
      <c r="AH488" s="13"/>
      <c r="AI488" s="13"/>
      <c r="AJ488" s="13"/>
      <c r="AK488" s="13"/>
      <c r="AL488" s="13"/>
      <c r="AM488" s="14"/>
      <c r="AN488" s="14"/>
      <c r="AO488" s="14"/>
      <c r="AP488" s="14"/>
      <c r="AQ488" s="14"/>
      <c r="AR488" s="14"/>
      <c r="AS488" s="14"/>
      <c r="AT488" s="14"/>
      <c r="AU488" s="14"/>
      <c r="AV488" s="14"/>
      <c r="AW488" s="14"/>
      <c r="AX488" s="14"/>
      <c r="AY488" s="14"/>
      <c r="AZ488" s="14"/>
      <c r="BA488" s="14"/>
      <c r="BB488" s="14"/>
      <c r="BC488" s="14"/>
      <c r="BD488" s="14"/>
      <c r="BE488" s="14"/>
      <c r="BF488" s="14"/>
      <c r="BG488" s="14"/>
      <c r="BH488" s="14"/>
      <c r="BI488" s="14"/>
      <c r="BJ488" s="14"/>
      <c r="BK488" s="14"/>
      <c r="BL488" s="14"/>
      <c r="BM488" s="14"/>
      <c r="BN488" s="14"/>
    </row>
    <row r="489" ht="22.5" hidden="1" customHeight="1">
      <c r="A489" s="349" t="s">
        <v>803</v>
      </c>
      <c r="B489" s="350"/>
      <c r="C489" s="351" t="s">
        <v>1103</v>
      </c>
      <c r="D489" s="352">
        <v>3397.0</v>
      </c>
      <c r="E489" s="353" t="s">
        <v>29</v>
      </c>
      <c r="F489" s="354" t="s">
        <v>30</v>
      </c>
      <c r="G489" s="355" t="s">
        <v>234</v>
      </c>
      <c r="H489" s="356" t="s">
        <v>31</v>
      </c>
      <c r="I489" s="356" t="s">
        <v>132</v>
      </c>
      <c r="J489" s="357">
        <v>10000.0</v>
      </c>
      <c r="K489" s="358">
        <v>1156.0</v>
      </c>
      <c r="L489" s="359">
        <v>46182.0</v>
      </c>
      <c r="M489" s="359">
        <v>46188.0</v>
      </c>
      <c r="N489" s="360"/>
      <c r="O489" s="361" t="s">
        <v>34</v>
      </c>
      <c r="P489" s="362"/>
      <c r="Q489" s="387"/>
      <c r="R489" s="388" t="s">
        <v>133</v>
      </c>
      <c r="S489" s="381" t="s">
        <v>35</v>
      </c>
      <c r="T489" s="381" t="s">
        <v>36</v>
      </c>
      <c r="U489" s="374" t="s">
        <v>37</v>
      </c>
      <c r="V489" s="375"/>
      <c r="W489" s="395">
        <v>2.0</v>
      </c>
      <c r="X489" s="366"/>
      <c r="Y489" s="366"/>
      <c r="Z489" s="367"/>
      <c r="AA489" s="367"/>
      <c r="AB489" s="13"/>
      <c r="AC489" s="13"/>
      <c r="AD489" s="13"/>
      <c r="AE489" s="13"/>
      <c r="AF489" s="13"/>
      <c r="AG489" s="13"/>
      <c r="AH489" s="13"/>
      <c r="AI489" s="13"/>
      <c r="AJ489" s="13"/>
      <c r="AK489" s="13"/>
      <c r="AL489" s="13"/>
      <c r="AM489" s="14"/>
      <c r="AN489" s="14"/>
      <c r="AO489" s="14"/>
      <c r="AP489" s="14"/>
      <c r="AQ489" s="14"/>
      <c r="AR489" s="14"/>
      <c r="AS489" s="14"/>
      <c r="AT489" s="14"/>
      <c r="AU489" s="14"/>
      <c r="AV489" s="14"/>
      <c r="AW489" s="14"/>
      <c r="AX489" s="14"/>
      <c r="AY489" s="14"/>
      <c r="AZ489" s="14"/>
      <c r="BA489" s="14"/>
      <c r="BB489" s="14"/>
      <c r="BC489" s="14"/>
      <c r="BD489" s="14"/>
      <c r="BE489" s="14"/>
      <c r="BF489" s="14"/>
      <c r="BG489" s="14"/>
      <c r="BH489" s="14"/>
      <c r="BI489" s="14"/>
      <c r="BJ489" s="14"/>
      <c r="BK489" s="14"/>
      <c r="BL489" s="14"/>
      <c r="BM489" s="14"/>
      <c r="BN489" s="14"/>
    </row>
    <row r="490" ht="22.5" hidden="1" customHeight="1">
      <c r="A490" s="349" t="s">
        <v>803</v>
      </c>
      <c r="B490" s="350"/>
      <c r="C490" s="351" t="s">
        <v>1104</v>
      </c>
      <c r="D490" s="379">
        <v>3398.0</v>
      </c>
      <c r="E490" s="353" t="s">
        <v>29</v>
      </c>
      <c r="F490" s="354" t="s">
        <v>30</v>
      </c>
      <c r="G490" s="355" t="s">
        <v>240</v>
      </c>
      <c r="H490" s="356" t="s">
        <v>31</v>
      </c>
      <c r="I490" s="356" t="s">
        <v>98</v>
      </c>
      <c r="J490" s="357">
        <v>20000.0</v>
      </c>
      <c r="K490" s="358">
        <v>934.0</v>
      </c>
      <c r="L490" s="359">
        <v>46185.0</v>
      </c>
      <c r="M490" s="359">
        <v>46188.0</v>
      </c>
      <c r="N490" s="360"/>
      <c r="O490" s="361" t="s">
        <v>70</v>
      </c>
      <c r="P490" s="362"/>
      <c r="Q490" s="387"/>
      <c r="R490" s="387"/>
      <c r="S490" s="381" t="s">
        <v>36</v>
      </c>
      <c r="T490" s="381" t="s">
        <v>36</v>
      </c>
      <c r="U490" s="374" t="s">
        <v>37</v>
      </c>
      <c r="V490" s="430"/>
      <c r="W490" s="448">
        <v>1.0</v>
      </c>
      <c r="X490" s="366"/>
      <c r="Y490" s="366"/>
      <c r="Z490" s="367"/>
      <c r="AA490" s="367"/>
      <c r="AB490" s="13"/>
      <c r="AC490" s="13"/>
      <c r="AD490" s="13"/>
      <c r="AE490" s="13"/>
      <c r="AF490" s="13"/>
      <c r="AG490" s="13"/>
      <c r="AH490" s="13"/>
      <c r="AI490" s="13"/>
      <c r="AJ490" s="13"/>
      <c r="AK490" s="13"/>
      <c r="AL490" s="13"/>
      <c r="AM490" s="14"/>
      <c r="AN490" s="14"/>
      <c r="AO490" s="14"/>
      <c r="AP490" s="14"/>
      <c r="AQ490" s="14"/>
      <c r="AR490" s="14"/>
      <c r="AS490" s="14"/>
      <c r="AT490" s="14"/>
      <c r="AU490" s="14"/>
      <c r="AV490" s="14"/>
      <c r="AW490" s="14"/>
      <c r="AX490" s="14"/>
      <c r="AY490" s="14"/>
      <c r="AZ490" s="14"/>
      <c r="BA490" s="14"/>
      <c r="BB490" s="14"/>
      <c r="BC490" s="14"/>
      <c r="BD490" s="14"/>
      <c r="BE490" s="14"/>
      <c r="BF490" s="14"/>
      <c r="BG490" s="14"/>
      <c r="BH490" s="14"/>
      <c r="BI490" s="14"/>
      <c r="BJ490" s="14"/>
      <c r="BK490" s="14"/>
      <c r="BL490" s="14"/>
      <c r="BM490" s="14"/>
      <c r="BN490" s="14"/>
    </row>
    <row r="491" ht="22.5" hidden="1" customHeight="1">
      <c r="A491" s="349" t="s">
        <v>155</v>
      </c>
      <c r="B491" s="350"/>
      <c r="C491" s="351" t="s">
        <v>1105</v>
      </c>
      <c r="D491" s="352" t="s">
        <v>1106</v>
      </c>
      <c r="E491" s="353" t="s">
        <v>157</v>
      </c>
      <c r="F491" s="354" t="s">
        <v>30</v>
      </c>
      <c r="G491" s="355" t="s">
        <v>1107</v>
      </c>
      <c r="H491" s="356" t="s">
        <v>31</v>
      </c>
      <c r="I491" s="356" t="s">
        <v>98</v>
      </c>
      <c r="J491" s="357" t="s">
        <v>459</v>
      </c>
      <c r="K491" s="358">
        <v>5664.0</v>
      </c>
      <c r="L491" s="359">
        <v>46191.0</v>
      </c>
      <c r="M491" s="359">
        <v>46197.0</v>
      </c>
      <c r="N491" s="360"/>
      <c r="O491" s="361" t="s">
        <v>212</v>
      </c>
      <c r="P491" s="362"/>
      <c r="Q491" s="353" t="s">
        <v>35</v>
      </c>
      <c r="R491" s="353" t="s">
        <v>133</v>
      </c>
      <c r="S491" s="361" t="s">
        <v>35</v>
      </c>
      <c r="T491" s="361" t="s">
        <v>36</v>
      </c>
      <c r="U491" s="374" t="s">
        <v>37</v>
      </c>
      <c r="V491" s="430"/>
      <c r="W491" s="357" t="s">
        <v>1019</v>
      </c>
      <c r="X491" s="365" t="s">
        <v>160</v>
      </c>
      <c r="Y491" s="366"/>
      <c r="Z491" s="367"/>
      <c r="AA491" s="380" t="s">
        <v>1020</v>
      </c>
      <c r="AB491" s="13"/>
      <c r="AC491" s="13"/>
      <c r="AD491" s="13"/>
      <c r="AE491" s="13"/>
      <c r="AF491" s="13"/>
      <c r="AG491" s="13"/>
      <c r="AH491" s="13"/>
      <c r="AI491" s="13"/>
      <c r="AJ491" s="13"/>
      <c r="AK491" s="13"/>
      <c r="AL491" s="13"/>
      <c r="AM491" s="14"/>
      <c r="AN491" s="14"/>
      <c r="AO491" s="14"/>
      <c r="AP491" s="14"/>
      <c r="AQ491" s="14"/>
      <c r="AR491" s="14"/>
      <c r="AS491" s="14"/>
      <c r="AT491" s="14"/>
      <c r="AU491" s="14"/>
      <c r="AV491" s="14"/>
      <c r="AW491" s="14"/>
      <c r="AX491" s="14"/>
      <c r="AY491" s="14"/>
      <c r="AZ491" s="14"/>
      <c r="BA491" s="14"/>
      <c r="BB491" s="14"/>
      <c r="BC491" s="14"/>
      <c r="BD491" s="14"/>
      <c r="BE491" s="14"/>
      <c r="BF491" s="14"/>
      <c r="BG491" s="14"/>
      <c r="BH491" s="14"/>
      <c r="BI491" s="14"/>
      <c r="BJ491" s="14"/>
      <c r="BK491" s="14"/>
      <c r="BL491" s="14"/>
      <c r="BM491" s="14"/>
      <c r="BN491" s="14"/>
    </row>
    <row r="492" ht="22.5" hidden="1" customHeight="1">
      <c r="A492" s="349" t="s">
        <v>155</v>
      </c>
      <c r="B492" s="350"/>
      <c r="C492" s="351" t="s">
        <v>1108</v>
      </c>
      <c r="D492" s="352" t="s">
        <v>1109</v>
      </c>
      <c r="E492" s="353" t="s">
        <v>157</v>
      </c>
      <c r="F492" s="354" t="s">
        <v>30</v>
      </c>
      <c r="G492" s="355" t="s">
        <v>856</v>
      </c>
      <c r="H492" s="356" t="s">
        <v>31</v>
      </c>
      <c r="I492" s="356" t="s">
        <v>98</v>
      </c>
      <c r="J492" s="357" t="s">
        <v>917</v>
      </c>
      <c r="K492" s="358">
        <v>1064.0</v>
      </c>
      <c r="L492" s="359">
        <v>46196.0</v>
      </c>
      <c r="M492" s="359">
        <v>46198.0</v>
      </c>
      <c r="N492" s="360"/>
      <c r="O492" s="361" t="s">
        <v>731</v>
      </c>
      <c r="P492" s="362"/>
      <c r="Q492" s="353" t="s">
        <v>35</v>
      </c>
      <c r="R492" s="353" t="s">
        <v>133</v>
      </c>
      <c r="S492" s="361" t="s">
        <v>35</v>
      </c>
      <c r="T492" s="361" t="s">
        <v>36</v>
      </c>
      <c r="U492" s="363" t="s">
        <v>37</v>
      </c>
      <c r="V492" s="430"/>
      <c r="W492" s="357" t="s">
        <v>1019</v>
      </c>
      <c r="X492" s="365" t="s">
        <v>160</v>
      </c>
      <c r="Y492" s="366"/>
      <c r="Z492" s="367"/>
      <c r="AA492" s="367"/>
      <c r="AB492" s="13"/>
      <c r="AC492" s="13"/>
      <c r="AD492" s="13"/>
      <c r="AE492" s="13"/>
      <c r="AF492" s="13"/>
      <c r="AG492" s="13"/>
      <c r="AH492" s="13"/>
      <c r="AI492" s="13"/>
      <c r="AJ492" s="13"/>
      <c r="AK492" s="13"/>
      <c r="AL492" s="13"/>
      <c r="AM492" s="14"/>
      <c r="AN492" s="14"/>
      <c r="AO492" s="14"/>
      <c r="AP492" s="14"/>
      <c r="AQ492" s="14"/>
      <c r="AR492" s="14"/>
      <c r="AS492" s="14"/>
      <c r="AT492" s="14"/>
      <c r="AU492" s="14"/>
      <c r="AV492" s="14"/>
      <c r="AW492" s="14"/>
      <c r="AX492" s="14"/>
      <c r="AY492" s="14"/>
      <c r="AZ492" s="14"/>
      <c r="BA492" s="14"/>
      <c r="BB492" s="14"/>
      <c r="BC492" s="14"/>
      <c r="BD492" s="14"/>
      <c r="BE492" s="14"/>
      <c r="BF492" s="14"/>
      <c r="BG492" s="14"/>
      <c r="BH492" s="14"/>
      <c r="BI492" s="14"/>
      <c r="BJ492" s="14"/>
      <c r="BK492" s="14"/>
      <c r="BL492" s="14"/>
      <c r="BM492" s="14"/>
      <c r="BN492" s="14"/>
    </row>
    <row r="493" ht="22.5" hidden="1" customHeight="1">
      <c r="A493" s="349" t="s">
        <v>744</v>
      </c>
      <c r="B493" s="350"/>
      <c r="C493" s="351" t="s">
        <v>1110</v>
      </c>
      <c r="D493" s="379">
        <v>3401.0</v>
      </c>
      <c r="E493" s="353" t="s">
        <v>95</v>
      </c>
      <c r="F493" s="354" t="s">
        <v>30</v>
      </c>
      <c r="G493" s="355" t="s">
        <v>492</v>
      </c>
      <c r="H493" s="356" t="s">
        <v>31</v>
      </c>
      <c r="I493" s="356" t="s">
        <v>98</v>
      </c>
      <c r="J493" s="357">
        <v>5000.0</v>
      </c>
      <c r="K493" s="358">
        <v>443.0</v>
      </c>
      <c r="L493" s="359">
        <v>46198.0</v>
      </c>
      <c r="M493" s="359">
        <v>46202.0</v>
      </c>
      <c r="N493" s="360"/>
      <c r="O493" s="361" t="s">
        <v>661</v>
      </c>
      <c r="P493" s="362"/>
      <c r="Q493" s="353" t="s">
        <v>35</v>
      </c>
      <c r="R493" s="353" t="s">
        <v>133</v>
      </c>
      <c r="S493" s="361" t="s">
        <v>35</v>
      </c>
      <c r="T493" s="361" t="s">
        <v>35</v>
      </c>
      <c r="U493" s="363" t="s">
        <v>37</v>
      </c>
      <c r="V493" s="430"/>
      <c r="W493" s="403" t="s">
        <v>1100</v>
      </c>
      <c r="X493" s="365" t="s">
        <v>1111</v>
      </c>
      <c r="Y493" s="365" t="s">
        <v>516</v>
      </c>
      <c r="Z493" s="365" t="s">
        <v>516</v>
      </c>
      <c r="AA493" s="365" t="s">
        <v>516</v>
      </c>
      <c r="AB493" s="13"/>
      <c r="AC493" s="13"/>
      <c r="AD493" s="13"/>
      <c r="AE493" s="13"/>
      <c r="AF493" s="13"/>
      <c r="AG493" s="13"/>
      <c r="AH493" s="13"/>
      <c r="AI493" s="13"/>
      <c r="AJ493" s="13"/>
      <c r="AK493" s="13"/>
      <c r="AL493" s="13"/>
      <c r="AM493" s="14"/>
      <c r="AN493" s="14"/>
      <c r="AO493" s="14"/>
      <c r="AP493" s="14"/>
      <c r="AQ493" s="14"/>
      <c r="AR493" s="14"/>
      <c r="AS493" s="14"/>
      <c r="AT493" s="14"/>
      <c r="AU493" s="14"/>
      <c r="AV493" s="14"/>
      <c r="AW493" s="14"/>
      <c r="AX493" s="14"/>
      <c r="AY493" s="14"/>
      <c r="AZ493" s="14"/>
      <c r="BA493" s="14"/>
      <c r="BB493" s="14"/>
      <c r="BC493" s="14"/>
      <c r="BD493" s="14"/>
      <c r="BE493" s="14"/>
      <c r="BF493" s="14"/>
      <c r="BG493" s="14"/>
      <c r="BH493" s="14"/>
      <c r="BI493" s="14"/>
      <c r="BJ493" s="14"/>
      <c r="BK493" s="14"/>
      <c r="BL493" s="14"/>
      <c r="BM493" s="14"/>
      <c r="BN493" s="14"/>
    </row>
    <row r="494" ht="22.5" hidden="1" customHeight="1">
      <c r="A494" s="349" t="s">
        <v>744</v>
      </c>
      <c r="B494" s="350"/>
      <c r="C494" s="351" t="s">
        <v>1112</v>
      </c>
      <c r="D494" s="379">
        <v>3402.0</v>
      </c>
      <c r="E494" s="353" t="s">
        <v>95</v>
      </c>
      <c r="F494" s="354" t="s">
        <v>30</v>
      </c>
      <c r="G494" s="355" t="s">
        <v>490</v>
      </c>
      <c r="H494" s="356" t="s">
        <v>31</v>
      </c>
      <c r="I494" s="356" t="s">
        <v>98</v>
      </c>
      <c r="J494" s="357">
        <v>7000.0</v>
      </c>
      <c r="K494" s="358">
        <v>743.0</v>
      </c>
      <c r="L494" s="359">
        <v>46198.0</v>
      </c>
      <c r="M494" s="359">
        <v>46202.0</v>
      </c>
      <c r="N494" s="360"/>
      <c r="O494" s="361" t="s">
        <v>661</v>
      </c>
      <c r="P494" s="362"/>
      <c r="Q494" s="353" t="s">
        <v>35</v>
      </c>
      <c r="R494" s="353" t="s">
        <v>133</v>
      </c>
      <c r="S494" s="361" t="s">
        <v>35</v>
      </c>
      <c r="T494" s="361" t="s">
        <v>35</v>
      </c>
      <c r="U494" s="363" t="s">
        <v>37</v>
      </c>
      <c r="V494" s="430"/>
      <c r="W494" s="357" t="s">
        <v>1100</v>
      </c>
      <c r="X494" s="365" t="s">
        <v>1113</v>
      </c>
      <c r="Y494" s="365" t="s">
        <v>516</v>
      </c>
      <c r="Z494" s="365" t="s">
        <v>516</v>
      </c>
      <c r="AA494" s="365" t="s">
        <v>516</v>
      </c>
      <c r="AB494" s="13"/>
      <c r="AC494" s="13"/>
      <c r="AD494" s="13"/>
      <c r="AE494" s="13"/>
      <c r="AF494" s="13"/>
      <c r="AG494" s="13"/>
      <c r="AH494" s="13"/>
      <c r="AI494" s="13"/>
      <c r="AJ494" s="13"/>
      <c r="AK494" s="13"/>
      <c r="AL494" s="13"/>
      <c r="AM494" s="14"/>
      <c r="AN494" s="14"/>
      <c r="AO494" s="14"/>
      <c r="AP494" s="14"/>
      <c r="AQ494" s="14"/>
      <c r="AR494" s="14"/>
      <c r="AS494" s="14"/>
      <c r="AT494" s="14"/>
      <c r="AU494" s="14"/>
      <c r="AV494" s="14"/>
      <c r="AW494" s="14"/>
      <c r="AX494" s="14"/>
      <c r="AY494" s="14"/>
      <c r="AZ494" s="14"/>
      <c r="BA494" s="14"/>
      <c r="BB494" s="14"/>
      <c r="BC494" s="14"/>
      <c r="BD494" s="14"/>
      <c r="BE494" s="14"/>
      <c r="BF494" s="14"/>
      <c r="BG494" s="14"/>
      <c r="BH494" s="14"/>
      <c r="BI494" s="14"/>
      <c r="BJ494" s="14"/>
      <c r="BK494" s="14"/>
      <c r="BL494" s="14"/>
      <c r="BM494" s="14"/>
      <c r="BN494" s="14"/>
    </row>
    <row r="495" ht="84.0" hidden="1" customHeight="1">
      <c r="A495" s="349" t="s">
        <v>803</v>
      </c>
      <c r="B495" s="350"/>
      <c r="C495" s="351" t="s">
        <v>71</v>
      </c>
      <c r="D495" s="352">
        <v>3435.0</v>
      </c>
      <c r="E495" s="353" t="s">
        <v>29</v>
      </c>
      <c r="F495" s="354" t="s">
        <v>72</v>
      </c>
      <c r="G495" s="355" t="s">
        <v>138</v>
      </c>
      <c r="H495" s="356" t="s">
        <v>31</v>
      </c>
      <c r="I495" s="356" t="s">
        <v>132</v>
      </c>
      <c r="J495" s="357">
        <v>150000.0</v>
      </c>
      <c r="K495" s="358">
        <v>6169.0</v>
      </c>
      <c r="L495" s="359">
        <v>46199.0</v>
      </c>
      <c r="M495" s="359">
        <v>46205.0</v>
      </c>
      <c r="N495" s="360"/>
      <c r="O495" s="361" t="s">
        <v>34</v>
      </c>
      <c r="P495" s="362"/>
      <c r="Q495" s="387"/>
      <c r="R495" s="388" t="s">
        <v>133</v>
      </c>
      <c r="S495" s="381" t="s">
        <v>36</v>
      </c>
      <c r="T495" s="381" t="s">
        <v>36</v>
      </c>
      <c r="U495" s="374" t="s">
        <v>37</v>
      </c>
      <c r="V495" s="430"/>
      <c r="W495" s="395">
        <v>5.0</v>
      </c>
      <c r="X495" s="366"/>
      <c r="Y495" s="366"/>
      <c r="Z495" s="367"/>
      <c r="AA495" s="367"/>
      <c r="AB495" s="13"/>
      <c r="AC495" s="13"/>
      <c r="AD495" s="13"/>
      <c r="AE495" s="13"/>
      <c r="AF495" s="13"/>
      <c r="AG495" s="13"/>
      <c r="AH495" s="13"/>
      <c r="AI495" s="13"/>
      <c r="AJ495" s="13"/>
      <c r="AK495" s="13"/>
      <c r="AL495" s="13"/>
      <c r="AM495" s="14"/>
      <c r="AN495" s="14"/>
      <c r="AO495" s="14"/>
      <c r="AP495" s="14"/>
      <c r="AQ495" s="14"/>
      <c r="AR495" s="14"/>
      <c r="AS495" s="14"/>
      <c r="AT495" s="14"/>
      <c r="AU495" s="14"/>
      <c r="AV495" s="14"/>
      <c r="AW495" s="14"/>
      <c r="AX495" s="14"/>
      <c r="AY495" s="14"/>
      <c r="AZ495" s="14"/>
      <c r="BA495" s="14"/>
      <c r="BB495" s="14"/>
      <c r="BC495" s="14"/>
      <c r="BD495" s="14"/>
      <c r="BE495" s="14"/>
      <c r="BF495" s="14"/>
      <c r="BG495" s="14"/>
      <c r="BH495" s="14"/>
      <c r="BI495" s="14"/>
      <c r="BJ495" s="14"/>
      <c r="BK495" s="14"/>
      <c r="BL495" s="14"/>
      <c r="BM495" s="14"/>
      <c r="BN495" s="14"/>
    </row>
    <row r="496" ht="72.75" hidden="1" customHeight="1">
      <c r="A496" s="349" t="s">
        <v>803</v>
      </c>
      <c r="B496" s="350"/>
      <c r="C496" s="351" t="s">
        <v>40</v>
      </c>
      <c r="D496" s="352">
        <v>3444.0</v>
      </c>
      <c r="E496" s="353" t="s">
        <v>29</v>
      </c>
      <c r="F496" s="354" t="s">
        <v>72</v>
      </c>
      <c r="G496" s="355" t="s">
        <v>138</v>
      </c>
      <c r="H496" s="356" t="s">
        <v>31</v>
      </c>
      <c r="I496" s="356" t="s">
        <v>132</v>
      </c>
      <c r="J496" s="357">
        <v>30000.0</v>
      </c>
      <c r="K496" s="358">
        <v>1437.0</v>
      </c>
      <c r="L496" s="359">
        <v>46199.0</v>
      </c>
      <c r="M496" s="359">
        <v>46205.0</v>
      </c>
      <c r="N496" s="360"/>
      <c r="O496" s="361" t="s">
        <v>34</v>
      </c>
      <c r="P496" s="362"/>
      <c r="Q496" s="387"/>
      <c r="R496" s="388" t="s">
        <v>133</v>
      </c>
      <c r="S496" s="381" t="s">
        <v>36</v>
      </c>
      <c r="T496" s="381" t="s">
        <v>36</v>
      </c>
      <c r="U496" s="374" t="s">
        <v>37</v>
      </c>
      <c r="V496" s="430"/>
      <c r="W496" s="395">
        <v>10.0</v>
      </c>
      <c r="X496" s="366"/>
      <c r="Y496" s="366"/>
      <c r="Z496" s="367"/>
      <c r="AA496" s="367"/>
      <c r="AB496" s="13"/>
      <c r="AC496" s="13"/>
      <c r="AD496" s="13"/>
      <c r="AE496" s="13"/>
      <c r="AF496" s="13"/>
      <c r="AG496" s="13"/>
      <c r="AH496" s="13"/>
      <c r="AI496" s="13"/>
      <c r="AJ496" s="13"/>
      <c r="AK496" s="13"/>
      <c r="AL496" s="13"/>
      <c r="AM496" s="14"/>
      <c r="AN496" s="14"/>
      <c r="AO496" s="14"/>
      <c r="AP496" s="14"/>
      <c r="AQ496" s="14"/>
      <c r="AR496" s="14"/>
      <c r="AS496" s="14"/>
      <c r="AT496" s="14"/>
      <c r="AU496" s="14"/>
      <c r="AV496" s="14"/>
      <c r="AW496" s="14"/>
      <c r="AX496" s="14"/>
      <c r="AY496" s="14"/>
      <c r="AZ496" s="14"/>
      <c r="BA496" s="14"/>
      <c r="BB496" s="14"/>
      <c r="BC496" s="14"/>
      <c r="BD496" s="14"/>
      <c r="BE496" s="14"/>
      <c r="BF496" s="14"/>
      <c r="BG496" s="14"/>
      <c r="BH496" s="14"/>
      <c r="BI496" s="14"/>
      <c r="BJ496" s="14"/>
      <c r="BK496" s="14"/>
      <c r="BL496" s="14"/>
      <c r="BM496" s="14"/>
      <c r="BN496" s="14"/>
    </row>
    <row r="497" ht="71.25" hidden="1" customHeight="1">
      <c r="A497" s="349" t="s">
        <v>803</v>
      </c>
      <c r="B497" s="350"/>
      <c r="C497" s="351" t="s">
        <v>304</v>
      </c>
      <c r="D497" s="352">
        <v>3445.0</v>
      </c>
      <c r="E497" s="353" t="s">
        <v>29</v>
      </c>
      <c r="F497" s="354" t="s">
        <v>72</v>
      </c>
      <c r="G497" s="355" t="s">
        <v>138</v>
      </c>
      <c r="H497" s="356" t="s">
        <v>31</v>
      </c>
      <c r="I497" s="356" t="s">
        <v>132</v>
      </c>
      <c r="J497" s="357">
        <v>60000.0</v>
      </c>
      <c r="K497" s="358">
        <v>2674.0</v>
      </c>
      <c r="L497" s="359">
        <v>46199.0</v>
      </c>
      <c r="M497" s="359">
        <v>46205.0</v>
      </c>
      <c r="N497" s="360"/>
      <c r="O497" s="361" t="s">
        <v>34</v>
      </c>
      <c r="P497" s="362"/>
      <c r="Q497" s="387"/>
      <c r="R497" s="388" t="s">
        <v>133</v>
      </c>
      <c r="S497" s="381" t="s">
        <v>36</v>
      </c>
      <c r="T497" s="381" t="s">
        <v>36</v>
      </c>
      <c r="U497" s="374" t="s">
        <v>37</v>
      </c>
      <c r="V497" s="430"/>
      <c r="W497" s="395">
        <v>6.0</v>
      </c>
      <c r="X497" s="366"/>
      <c r="Y497" s="366"/>
      <c r="Z497" s="367"/>
      <c r="AA497" s="367"/>
      <c r="AB497" s="13"/>
      <c r="AC497" s="13"/>
      <c r="AD497" s="13"/>
      <c r="AE497" s="13"/>
      <c r="AF497" s="13"/>
      <c r="AG497" s="13"/>
      <c r="AH497" s="13"/>
      <c r="AI497" s="13"/>
      <c r="AJ497" s="13"/>
      <c r="AK497" s="13"/>
      <c r="AL497" s="13"/>
      <c r="AM497" s="14"/>
      <c r="AN497" s="14"/>
      <c r="AO497" s="14"/>
      <c r="AP497" s="14"/>
      <c r="AQ497" s="14"/>
      <c r="AR497" s="14"/>
      <c r="AS497" s="14"/>
      <c r="AT497" s="14"/>
      <c r="AU497" s="14"/>
      <c r="AV497" s="14"/>
      <c r="AW497" s="14"/>
      <c r="AX497" s="14"/>
      <c r="AY497" s="14"/>
      <c r="AZ497" s="14"/>
      <c r="BA497" s="14"/>
      <c r="BB497" s="14"/>
      <c r="BC497" s="14"/>
      <c r="BD497" s="14"/>
      <c r="BE497" s="14"/>
      <c r="BF497" s="14"/>
      <c r="BG497" s="14"/>
      <c r="BH497" s="14"/>
      <c r="BI497" s="14"/>
      <c r="BJ497" s="14"/>
      <c r="BK497" s="14"/>
      <c r="BL497" s="14"/>
      <c r="BM497" s="14"/>
      <c r="BN497" s="14"/>
    </row>
    <row r="498" ht="22.5" hidden="1" customHeight="1">
      <c r="A498" s="349" t="s">
        <v>803</v>
      </c>
      <c r="B498" s="350"/>
      <c r="C498" s="351" t="s">
        <v>578</v>
      </c>
      <c r="D498" s="379">
        <v>3446.0</v>
      </c>
      <c r="E498" s="353" t="s">
        <v>29</v>
      </c>
      <c r="F498" s="354" t="s">
        <v>72</v>
      </c>
      <c r="G498" s="355" t="s">
        <v>240</v>
      </c>
      <c r="H498" s="356" t="s">
        <v>31</v>
      </c>
      <c r="I498" s="356" t="s">
        <v>132</v>
      </c>
      <c r="J498" s="357">
        <v>10000.0</v>
      </c>
      <c r="K498" s="358">
        <v>625.0</v>
      </c>
      <c r="L498" s="359">
        <v>46199.0</v>
      </c>
      <c r="M498" s="359">
        <v>46205.0</v>
      </c>
      <c r="N498" s="360"/>
      <c r="O498" s="361" t="s">
        <v>34</v>
      </c>
      <c r="P498" s="362"/>
      <c r="Q498" s="387"/>
      <c r="R498" s="388" t="s">
        <v>133</v>
      </c>
      <c r="S498" s="381" t="s">
        <v>36</v>
      </c>
      <c r="T498" s="381" t="s">
        <v>36</v>
      </c>
      <c r="U498" s="374" t="s">
        <v>37</v>
      </c>
      <c r="V498" s="430"/>
      <c r="W498" s="395">
        <v>9.0</v>
      </c>
      <c r="X498" s="366"/>
      <c r="Y498" s="366"/>
      <c r="Z498" s="367"/>
      <c r="AA498" s="367"/>
      <c r="AB498" s="13"/>
      <c r="AC498" s="13"/>
      <c r="AD498" s="13"/>
      <c r="AE498" s="13"/>
      <c r="AF498" s="13"/>
      <c r="AG498" s="13"/>
      <c r="AH498" s="13"/>
      <c r="AI498" s="13"/>
      <c r="AJ498" s="13"/>
      <c r="AK498" s="13"/>
      <c r="AL498" s="13"/>
      <c r="AM498" s="14"/>
      <c r="AN498" s="14"/>
      <c r="AO498" s="14"/>
      <c r="AP498" s="14"/>
      <c r="AQ498" s="14"/>
      <c r="AR498" s="14"/>
      <c r="AS498" s="14"/>
      <c r="AT498" s="14"/>
      <c r="AU498" s="14"/>
      <c r="AV498" s="14"/>
      <c r="AW498" s="14"/>
      <c r="AX498" s="14"/>
      <c r="AY498" s="14"/>
      <c r="AZ498" s="14"/>
      <c r="BA498" s="14"/>
      <c r="BB498" s="14"/>
      <c r="BC498" s="14"/>
      <c r="BD498" s="14"/>
      <c r="BE498" s="14"/>
      <c r="BF498" s="14"/>
      <c r="BG498" s="14"/>
      <c r="BH498" s="14"/>
      <c r="BI498" s="14"/>
      <c r="BJ498" s="14"/>
      <c r="BK498" s="14"/>
      <c r="BL498" s="14"/>
      <c r="BM498" s="14"/>
      <c r="BN498" s="14"/>
    </row>
    <row r="499" ht="22.5" hidden="1" customHeight="1">
      <c r="A499" s="349" t="s">
        <v>744</v>
      </c>
      <c r="B499" s="350"/>
      <c r="C499" s="351" t="s">
        <v>1114</v>
      </c>
      <c r="D499" s="379">
        <v>3399.0</v>
      </c>
      <c r="E499" s="353" t="s">
        <v>95</v>
      </c>
      <c r="F499" s="354" t="s">
        <v>30</v>
      </c>
      <c r="G499" s="355" t="s">
        <v>128</v>
      </c>
      <c r="H499" s="356" t="s">
        <v>31</v>
      </c>
      <c r="I499" s="356" t="s">
        <v>98</v>
      </c>
      <c r="J499" s="357">
        <v>5000.0</v>
      </c>
      <c r="K499" s="358">
        <v>371.0</v>
      </c>
      <c r="L499" s="359">
        <v>46198.0</v>
      </c>
      <c r="M499" s="359">
        <v>46202.0</v>
      </c>
      <c r="N499" s="360"/>
      <c r="O499" s="361" t="s">
        <v>661</v>
      </c>
      <c r="P499" s="362"/>
      <c r="Q499" s="353" t="s">
        <v>35</v>
      </c>
      <c r="R499" s="353" t="s">
        <v>133</v>
      </c>
      <c r="S499" s="361" t="s">
        <v>35</v>
      </c>
      <c r="T499" s="361" t="s">
        <v>36</v>
      </c>
      <c r="U499" s="363" t="s">
        <v>37</v>
      </c>
      <c r="V499" s="375">
        <v>46201.0</v>
      </c>
      <c r="W499" s="357" t="s">
        <v>1100</v>
      </c>
      <c r="X499" s="365" t="s">
        <v>1115</v>
      </c>
      <c r="Y499" s="365" t="s">
        <v>516</v>
      </c>
      <c r="Z499" s="365" t="s">
        <v>516</v>
      </c>
      <c r="AA499" s="365" t="s">
        <v>516</v>
      </c>
      <c r="AB499" s="13"/>
      <c r="AC499" s="13"/>
      <c r="AD499" s="13"/>
      <c r="AE499" s="13"/>
      <c r="AF499" s="13"/>
      <c r="AG499" s="13"/>
      <c r="AH499" s="13"/>
      <c r="AI499" s="13"/>
      <c r="AJ499" s="13"/>
      <c r="AK499" s="13"/>
      <c r="AL499" s="13"/>
      <c r="AM499" s="14"/>
      <c r="AN499" s="14"/>
      <c r="AO499" s="14"/>
      <c r="AP499" s="14"/>
      <c r="AQ499" s="14"/>
      <c r="AR499" s="14"/>
      <c r="AS499" s="14"/>
      <c r="AT499" s="14"/>
      <c r="AU499" s="14"/>
      <c r="AV499" s="14"/>
      <c r="AW499" s="14"/>
      <c r="AX499" s="14"/>
      <c r="AY499" s="14"/>
      <c r="AZ499" s="14"/>
      <c r="BA499" s="14"/>
      <c r="BB499" s="14"/>
      <c r="BC499" s="14"/>
      <c r="BD499" s="14"/>
      <c r="BE499" s="14"/>
      <c r="BF499" s="14"/>
      <c r="BG499" s="14"/>
      <c r="BH499" s="14"/>
      <c r="BI499" s="14"/>
      <c r="BJ499" s="14"/>
      <c r="BK499" s="14"/>
      <c r="BL499" s="14"/>
      <c r="BM499" s="14"/>
      <c r="BN499" s="14"/>
    </row>
    <row r="500" ht="22.5" hidden="1" customHeight="1">
      <c r="A500" s="349" t="s">
        <v>803</v>
      </c>
      <c r="B500" s="350"/>
      <c r="C500" s="351" t="s">
        <v>1116</v>
      </c>
      <c r="D500" s="352">
        <v>3447.0</v>
      </c>
      <c r="E500" s="353" t="s">
        <v>29</v>
      </c>
      <c r="F500" s="354" t="s">
        <v>72</v>
      </c>
      <c r="G500" s="355" t="s">
        <v>138</v>
      </c>
      <c r="H500" s="356" t="s">
        <v>31</v>
      </c>
      <c r="I500" s="356" t="s">
        <v>132</v>
      </c>
      <c r="J500" s="357">
        <v>20000.0</v>
      </c>
      <c r="K500" s="358">
        <v>1113.0</v>
      </c>
      <c r="L500" s="359">
        <v>46199.0</v>
      </c>
      <c r="M500" s="359">
        <v>46205.0</v>
      </c>
      <c r="N500" s="360"/>
      <c r="O500" s="361" t="s">
        <v>34</v>
      </c>
      <c r="P500" s="362"/>
      <c r="Q500" s="387"/>
      <c r="R500" s="388" t="s">
        <v>133</v>
      </c>
      <c r="S500" s="381" t="s">
        <v>36</v>
      </c>
      <c r="T500" s="381" t="s">
        <v>36</v>
      </c>
      <c r="U500" s="374" t="s">
        <v>37</v>
      </c>
      <c r="V500" s="430"/>
      <c r="W500" s="395">
        <v>7.0</v>
      </c>
      <c r="X500" s="366"/>
      <c r="Y500" s="366"/>
      <c r="Z500" s="367"/>
      <c r="AA500" s="367"/>
      <c r="AB500" s="13"/>
      <c r="AC500" s="13"/>
      <c r="AD500" s="13"/>
      <c r="AE500" s="13"/>
      <c r="AF500" s="13"/>
      <c r="AG500" s="13"/>
      <c r="AH500" s="13"/>
      <c r="AI500" s="13"/>
      <c r="AJ500" s="13"/>
      <c r="AK500" s="13"/>
      <c r="AL500" s="13"/>
      <c r="AM500" s="14"/>
      <c r="AN500" s="14"/>
      <c r="AO500" s="14"/>
      <c r="AP500" s="14"/>
      <c r="AQ500" s="14"/>
      <c r="AR500" s="14"/>
      <c r="AS500" s="14"/>
      <c r="AT500" s="14"/>
      <c r="AU500" s="14"/>
      <c r="AV500" s="14"/>
      <c r="AW500" s="14"/>
      <c r="AX500" s="14"/>
      <c r="AY500" s="14"/>
      <c r="AZ500" s="14"/>
      <c r="BA500" s="14"/>
      <c r="BB500" s="14"/>
      <c r="BC500" s="14"/>
      <c r="BD500" s="14"/>
      <c r="BE500" s="14"/>
      <c r="BF500" s="14"/>
      <c r="BG500" s="14"/>
      <c r="BH500" s="14"/>
      <c r="BI500" s="14"/>
      <c r="BJ500" s="14"/>
      <c r="BK500" s="14"/>
      <c r="BL500" s="14"/>
      <c r="BM500" s="14"/>
      <c r="BN500" s="14"/>
    </row>
    <row r="501" ht="22.5" hidden="1" customHeight="1">
      <c r="A501" s="349" t="s">
        <v>744</v>
      </c>
      <c r="B501" s="350"/>
      <c r="C501" s="351" t="s">
        <v>1117</v>
      </c>
      <c r="D501" s="379">
        <v>3436.0</v>
      </c>
      <c r="E501" s="353" t="s">
        <v>95</v>
      </c>
      <c r="F501" s="354" t="s">
        <v>72</v>
      </c>
      <c r="G501" s="355" t="s">
        <v>97</v>
      </c>
      <c r="H501" s="356" t="s">
        <v>31</v>
      </c>
      <c r="I501" s="356" t="s">
        <v>98</v>
      </c>
      <c r="J501" s="357">
        <v>100000.0</v>
      </c>
      <c r="K501" s="407"/>
      <c r="L501" s="359">
        <v>46198.0</v>
      </c>
      <c r="M501" s="359">
        <v>46202.0</v>
      </c>
      <c r="N501" s="360"/>
      <c r="O501" s="361" t="s">
        <v>99</v>
      </c>
      <c r="P501" s="362"/>
      <c r="Q501" s="353" t="s">
        <v>35</v>
      </c>
      <c r="R501" s="353" t="s">
        <v>133</v>
      </c>
      <c r="S501" s="361" t="s">
        <v>36</v>
      </c>
      <c r="T501" s="361" t="s">
        <v>36</v>
      </c>
      <c r="U501" s="363" t="s">
        <v>37</v>
      </c>
      <c r="V501" s="375">
        <v>46201.0</v>
      </c>
      <c r="W501" s="357" t="s">
        <v>1100</v>
      </c>
      <c r="X501" s="365" t="s">
        <v>1118</v>
      </c>
      <c r="Y501" s="365" t="s">
        <v>516</v>
      </c>
      <c r="Z501" s="365" t="s">
        <v>516</v>
      </c>
      <c r="AA501" s="365" t="s">
        <v>516</v>
      </c>
      <c r="AB501" s="13"/>
      <c r="AC501" s="13"/>
      <c r="AD501" s="13"/>
      <c r="AE501" s="13"/>
      <c r="AF501" s="13"/>
      <c r="AG501" s="13"/>
      <c r="AH501" s="13"/>
      <c r="AI501" s="13"/>
      <c r="AJ501" s="13"/>
      <c r="AK501" s="13"/>
      <c r="AL501" s="13"/>
      <c r="AM501" s="14"/>
      <c r="AN501" s="14"/>
      <c r="AO501" s="14"/>
      <c r="AP501" s="14"/>
      <c r="AQ501" s="14"/>
      <c r="AR501" s="14"/>
      <c r="AS501" s="14"/>
      <c r="AT501" s="14"/>
      <c r="AU501" s="14"/>
      <c r="AV501" s="14"/>
      <c r="AW501" s="14"/>
      <c r="AX501" s="14"/>
      <c r="AY501" s="14"/>
      <c r="AZ501" s="14"/>
      <c r="BA501" s="14"/>
      <c r="BB501" s="14"/>
      <c r="BC501" s="14"/>
      <c r="BD501" s="14"/>
      <c r="BE501" s="14"/>
      <c r="BF501" s="14"/>
      <c r="BG501" s="14"/>
      <c r="BH501" s="14"/>
      <c r="BI501" s="14"/>
      <c r="BJ501" s="14"/>
      <c r="BK501" s="14"/>
      <c r="BL501" s="14"/>
      <c r="BM501" s="14"/>
      <c r="BN501" s="14"/>
    </row>
    <row r="502" ht="35.25" hidden="1" customHeight="1">
      <c r="A502" s="349" t="s">
        <v>803</v>
      </c>
      <c r="B502" s="350"/>
      <c r="C502" s="351" t="s">
        <v>301</v>
      </c>
      <c r="D502" s="352">
        <v>3459.0</v>
      </c>
      <c r="E502" s="353" t="s">
        <v>29</v>
      </c>
      <c r="F502" s="354" t="s">
        <v>72</v>
      </c>
      <c r="G502" s="355" t="s">
        <v>347</v>
      </c>
      <c r="H502" s="356" t="s">
        <v>31</v>
      </c>
      <c r="I502" s="356" t="s">
        <v>132</v>
      </c>
      <c r="J502" s="357">
        <v>100000.0</v>
      </c>
      <c r="K502" s="358">
        <v>2920.0</v>
      </c>
      <c r="L502" s="359">
        <v>46199.0</v>
      </c>
      <c r="M502" s="359">
        <v>46205.0</v>
      </c>
      <c r="N502" s="360"/>
      <c r="O502" s="361" t="s">
        <v>34</v>
      </c>
      <c r="P502" s="362"/>
      <c r="Q502" s="387"/>
      <c r="R502" s="388" t="s">
        <v>133</v>
      </c>
      <c r="S502" s="381" t="s">
        <v>36</v>
      </c>
      <c r="T502" s="381" t="s">
        <v>36</v>
      </c>
      <c r="U502" s="374" t="s">
        <v>37</v>
      </c>
      <c r="V502" s="430"/>
      <c r="W502" s="395">
        <v>8.0</v>
      </c>
      <c r="X502" s="366"/>
      <c r="Y502" s="366"/>
      <c r="Z502" s="380"/>
      <c r="AA502" s="367"/>
      <c r="AB502" s="13"/>
      <c r="AC502" s="13"/>
      <c r="AD502" s="13"/>
      <c r="AE502" s="13"/>
      <c r="AF502" s="13"/>
      <c r="AG502" s="13"/>
      <c r="AH502" s="13"/>
      <c r="AI502" s="13"/>
      <c r="AJ502" s="13"/>
      <c r="AK502" s="13"/>
      <c r="AL502" s="13"/>
      <c r="AM502" s="14"/>
      <c r="AN502" s="14"/>
      <c r="AO502" s="14"/>
      <c r="AP502" s="14"/>
      <c r="AQ502" s="14"/>
      <c r="AR502" s="14"/>
      <c r="AS502" s="14"/>
      <c r="AT502" s="14"/>
      <c r="AU502" s="14"/>
      <c r="AV502" s="14"/>
      <c r="AW502" s="14"/>
      <c r="AX502" s="14"/>
      <c r="AY502" s="14"/>
      <c r="AZ502" s="14"/>
      <c r="BA502" s="14"/>
      <c r="BB502" s="14"/>
      <c r="BC502" s="14"/>
      <c r="BD502" s="14"/>
      <c r="BE502" s="14"/>
      <c r="BF502" s="14"/>
      <c r="BG502" s="14"/>
      <c r="BH502" s="14"/>
      <c r="BI502" s="14"/>
      <c r="BJ502" s="14"/>
      <c r="BK502" s="14"/>
      <c r="BL502" s="14"/>
      <c r="BM502" s="14"/>
      <c r="BN502" s="14"/>
    </row>
    <row r="503" ht="50.25" hidden="1" customHeight="1">
      <c r="A503" s="349" t="s">
        <v>803</v>
      </c>
      <c r="B503" s="350"/>
      <c r="C503" s="351" t="s">
        <v>1119</v>
      </c>
      <c r="D503" s="352">
        <v>3460.0</v>
      </c>
      <c r="E503" s="353" t="s">
        <v>29</v>
      </c>
      <c r="F503" s="354" t="s">
        <v>72</v>
      </c>
      <c r="G503" s="355" t="s">
        <v>347</v>
      </c>
      <c r="H503" s="356" t="s">
        <v>31</v>
      </c>
      <c r="I503" s="356" t="s">
        <v>132</v>
      </c>
      <c r="J503" s="357">
        <v>30000.0</v>
      </c>
      <c r="K503" s="358">
        <v>1077.0</v>
      </c>
      <c r="L503" s="359">
        <v>46199.0</v>
      </c>
      <c r="M503" s="359">
        <v>46205.0</v>
      </c>
      <c r="N503" s="360"/>
      <c r="O503" s="361" t="s">
        <v>34</v>
      </c>
      <c r="P503" s="362"/>
      <c r="Q503" s="387"/>
      <c r="R503" s="388" t="s">
        <v>133</v>
      </c>
      <c r="S503" s="381" t="s">
        <v>36</v>
      </c>
      <c r="T503" s="381" t="s">
        <v>36</v>
      </c>
      <c r="U503" s="374" t="s">
        <v>37</v>
      </c>
      <c r="V503" s="430"/>
      <c r="W503" s="382"/>
      <c r="X503" s="366"/>
      <c r="Y503" s="366"/>
      <c r="Z503" s="367"/>
      <c r="AA503" s="367"/>
      <c r="AB503" s="13"/>
      <c r="AC503" s="13"/>
      <c r="AD503" s="13"/>
      <c r="AE503" s="13"/>
      <c r="AF503" s="13"/>
      <c r="AG503" s="13"/>
      <c r="AH503" s="13"/>
      <c r="AI503" s="13"/>
      <c r="AJ503" s="13"/>
      <c r="AK503" s="13"/>
      <c r="AL503" s="13"/>
      <c r="AM503" s="14"/>
      <c r="AN503" s="14"/>
      <c r="AO503" s="14"/>
      <c r="AP503" s="14"/>
      <c r="AQ503" s="14"/>
      <c r="AR503" s="14"/>
      <c r="AS503" s="14"/>
      <c r="AT503" s="14"/>
      <c r="AU503" s="14"/>
      <c r="AV503" s="14"/>
      <c r="AW503" s="14"/>
      <c r="AX503" s="14"/>
      <c r="AY503" s="14"/>
      <c r="AZ503" s="14"/>
      <c r="BA503" s="14"/>
      <c r="BB503" s="14"/>
      <c r="BC503" s="14"/>
      <c r="BD503" s="14"/>
      <c r="BE503" s="14"/>
      <c r="BF503" s="14"/>
      <c r="BG503" s="14"/>
      <c r="BH503" s="14"/>
      <c r="BI503" s="14"/>
      <c r="BJ503" s="14"/>
      <c r="BK503" s="14"/>
      <c r="BL503" s="14"/>
      <c r="BM503" s="14"/>
      <c r="BN503" s="14"/>
    </row>
    <row r="504" ht="35.25" hidden="1" customHeight="1">
      <c r="A504" s="349" t="s">
        <v>782</v>
      </c>
      <c r="B504" s="350"/>
      <c r="C504" s="351" t="s">
        <v>1120</v>
      </c>
      <c r="D504" s="352">
        <v>3468.0</v>
      </c>
      <c r="E504" s="353" t="s">
        <v>95</v>
      </c>
      <c r="F504" s="354" t="s">
        <v>72</v>
      </c>
      <c r="G504" s="434"/>
      <c r="H504" s="356" t="s">
        <v>31</v>
      </c>
      <c r="I504" s="356" t="s">
        <v>98</v>
      </c>
      <c r="J504" s="357">
        <v>20000.0</v>
      </c>
      <c r="K504" s="358">
        <v>1714.0</v>
      </c>
      <c r="L504" s="359">
        <v>46198.0</v>
      </c>
      <c r="M504" s="359">
        <v>46204.0</v>
      </c>
      <c r="N504" s="360"/>
      <c r="O504" s="361" t="s">
        <v>70</v>
      </c>
      <c r="P504" s="362"/>
      <c r="Q504" s="353" t="s">
        <v>35</v>
      </c>
      <c r="R504" s="353" t="s">
        <v>133</v>
      </c>
      <c r="S504" s="361" t="s">
        <v>36</v>
      </c>
      <c r="T504" s="361" t="s">
        <v>36</v>
      </c>
      <c r="U504" s="363" t="s">
        <v>37</v>
      </c>
      <c r="V504" s="430"/>
      <c r="W504" s="357" t="s">
        <v>1121</v>
      </c>
      <c r="X504" s="365" t="s">
        <v>1058</v>
      </c>
      <c r="Y504" s="366"/>
      <c r="Z504" s="367"/>
      <c r="AA504" s="367"/>
      <c r="AB504" s="13"/>
      <c r="AC504" s="13"/>
      <c r="AD504" s="13"/>
      <c r="AE504" s="13"/>
      <c r="AF504" s="13"/>
      <c r="AG504" s="13"/>
      <c r="AH504" s="13"/>
      <c r="AI504" s="13"/>
      <c r="AJ504" s="13"/>
      <c r="AK504" s="13"/>
      <c r="AL504" s="13"/>
      <c r="AM504" s="14"/>
      <c r="AN504" s="14"/>
      <c r="AO504" s="14"/>
      <c r="AP504" s="14"/>
      <c r="AQ504" s="14"/>
      <c r="AR504" s="14"/>
      <c r="AS504" s="14"/>
      <c r="AT504" s="14"/>
      <c r="AU504" s="14"/>
      <c r="AV504" s="14"/>
      <c r="AW504" s="14"/>
      <c r="AX504" s="14"/>
      <c r="AY504" s="14"/>
      <c r="AZ504" s="14"/>
      <c r="BA504" s="14"/>
      <c r="BB504" s="14"/>
      <c r="BC504" s="14"/>
      <c r="BD504" s="14"/>
      <c r="BE504" s="14"/>
      <c r="BF504" s="14"/>
      <c r="BG504" s="14"/>
      <c r="BH504" s="14"/>
      <c r="BI504" s="14"/>
      <c r="BJ504" s="14"/>
      <c r="BK504" s="14"/>
      <c r="BL504" s="14"/>
      <c r="BM504" s="14"/>
      <c r="BN504" s="14"/>
    </row>
    <row r="505" ht="67.5" hidden="1" customHeight="1">
      <c r="A505" s="349" t="s">
        <v>782</v>
      </c>
      <c r="B505" s="350"/>
      <c r="C505" s="351" t="s">
        <v>1122</v>
      </c>
      <c r="D505" s="449">
        <v>3469.0</v>
      </c>
      <c r="E505" s="353" t="s">
        <v>95</v>
      </c>
      <c r="F505" s="354" t="s">
        <v>30</v>
      </c>
      <c r="G505" s="434"/>
      <c r="H505" s="356" t="s">
        <v>31</v>
      </c>
      <c r="I505" s="356" t="s">
        <v>98</v>
      </c>
      <c r="J505" s="357">
        <v>10000.0</v>
      </c>
      <c r="K505" s="358">
        <v>1040.0</v>
      </c>
      <c r="L505" s="359">
        <v>46198.0</v>
      </c>
      <c r="M505" s="359">
        <v>46204.0</v>
      </c>
      <c r="N505" s="360"/>
      <c r="O505" s="361" t="s">
        <v>70</v>
      </c>
      <c r="P505" s="362"/>
      <c r="Q505" s="353" t="s">
        <v>35</v>
      </c>
      <c r="R505" s="353" t="s">
        <v>133</v>
      </c>
      <c r="S505" s="361" t="s">
        <v>35</v>
      </c>
      <c r="T505" s="361" t="s">
        <v>36</v>
      </c>
      <c r="U505" s="363" t="s">
        <v>37</v>
      </c>
      <c r="V505" s="375">
        <v>46203.0</v>
      </c>
      <c r="W505" s="357" t="s">
        <v>1121</v>
      </c>
      <c r="X505" s="365" t="s">
        <v>1058</v>
      </c>
      <c r="Y505" s="366"/>
      <c r="Z505" s="367"/>
      <c r="AA505" s="367"/>
      <c r="AB505" s="13"/>
      <c r="AC505" s="13"/>
      <c r="AD505" s="13"/>
      <c r="AE505" s="13"/>
      <c r="AF505" s="13"/>
      <c r="AG505" s="13"/>
      <c r="AH505" s="13"/>
      <c r="AI505" s="13"/>
      <c r="AJ505" s="13"/>
      <c r="AK505" s="13"/>
      <c r="AL505" s="13"/>
      <c r="AM505" s="14"/>
      <c r="AN505" s="14"/>
      <c r="AO505" s="14"/>
      <c r="AP505" s="14"/>
      <c r="AQ505" s="14"/>
      <c r="AR505" s="14"/>
      <c r="AS505" s="14"/>
      <c r="AT505" s="14"/>
      <c r="AU505" s="14"/>
      <c r="AV505" s="14"/>
      <c r="AW505" s="14"/>
      <c r="AX505" s="14"/>
      <c r="AY505" s="14"/>
      <c r="AZ505" s="14"/>
      <c r="BA505" s="14"/>
      <c r="BB505" s="14"/>
      <c r="BC505" s="14"/>
      <c r="BD505" s="14"/>
      <c r="BE505" s="14"/>
      <c r="BF505" s="14"/>
      <c r="BG505" s="14"/>
      <c r="BH505" s="14"/>
      <c r="BI505" s="14"/>
      <c r="BJ505" s="14"/>
      <c r="BK505" s="14"/>
      <c r="BL505" s="14"/>
      <c r="BM505" s="14"/>
      <c r="BN505" s="14"/>
    </row>
    <row r="506" ht="66.0" hidden="1" customHeight="1">
      <c r="A506" s="349" t="s">
        <v>948</v>
      </c>
      <c r="B506" s="350"/>
      <c r="C506" s="444" t="s">
        <v>954</v>
      </c>
      <c r="D506" s="352">
        <v>3483.0</v>
      </c>
      <c r="E506" s="353" t="s">
        <v>164</v>
      </c>
      <c r="F506" s="354" t="s">
        <v>30</v>
      </c>
      <c r="G506" s="355" t="s">
        <v>186</v>
      </c>
      <c r="H506" s="356" t="s">
        <v>31</v>
      </c>
      <c r="I506" s="356" t="s">
        <v>261</v>
      </c>
      <c r="J506" s="357" t="s">
        <v>84</v>
      </c>
      <c r="K506" s="358">
        <v>2774.0</v>
      </c>
      <c r="L506" s="359">
        <v>46202.0</v>
      </c>
      <c r="M506" s="359">
        <v>46209.0</v>
      </c>
      <c r="N506" s="360"/>
      <c r="O506" s="361" t="s">
        <v>99</v>
      </c>
      <c r="P506" s="362"/>
      <c r="Q506" s="388" t="s">
        <v>35</v>
      </c>
      <c r="R506" s="388" t="s">
        <v>133</v>
      </c>
      <c r="S506" s="381" t="s">
        <v>35</v>
      </c>
      <c r="T506" s="381" t="s">
        <v>36</v>
      </c>
      <c r="U506" s="374" t="s">
        <v>37</v>
      </c>
      <c r="V506" s="430"/>
      <c r="W506" s="382"/>
      <c r="X506" s="338" t="s">
        <v>951</v>
      </c>
      <c r="Y506" s="365" t="s">
        <v>516</v>
      </c>
      <c r="Z506" s="380" t="s">
        <v>516</v>
      </c>
      <c r="AA506" s="367"/>
      <c r="AB506" s="13"/>
      <c r="AC506" s="13"/>
      <c r="AD506" s="13"/>
      <c r="AE506" s="13"/>
      <c r="AF506" s="13"/>
      <c r="AG506" s="13"/>
      <c r="AH506" s="13"/>
      <c r="AI506" s="13"/>
      <c r="AJ506" s="13"/>
      <c r="AK506" s="13"/>
      <c r="AL506" s="13"/>
      <c r="AM506" s="14"/>
      <c r="AN506" s="14"/>
      <c r="AO506" s="14"/>
      <c r="AP506" s="14"/>
      <c r="AQ506" s="14"/>
      <c r="AR506" s="14"/>
      <c r="AS506" s="14"/>
      <c r="AT506" s="14"/>
      <c r="AU506" s="14"/>
      <c r="AV506" s="14"/>
      <c r="AW506" s="14"/>
      <c r="AX506" s="14"/>
      <c r="AY506" s="14"/>
      <c r="AZ506" s="14"/>
      <c r="BA506" s="14"/>
      <c r="BB506" s="14"/>
      <c r="BC506" s="14"/>
      <c r="BD506" s="14"/>
      <c r="BE506" s="14"/>
      <c r="BF506" s="14"/>
      <c r="BG506" s="14"/>
      <c r="BH506" s="14"/>
      <c r="BI506" s="14"/>
      <c r="BJ506" s="14"/>
      <c r="BK506" s="14"/>
      <c r="BL506" s="14"/>
      <c r="BM506" s="14"/>
      <c r="BN506" s="14"/>
    </row>
    <row r="507" ht="65.25" hidden="1" customHeight="1">
      <c r="A507" s="349" t="s">
        <v>948</v>
      </c>
      <c r="B507" s="350"/>
      <c r="C507" s="444" t="s">
        <v>1123</v>
      </c>
      <c r="D507" s="352">
        <v>3484.0</v>
      </c>
      <c r="E507" s="353" t="s">
        <v>164</v>
      </c>
      <c r="F507" s="354" t="s">
        <v>30</v>
      </c>
      <c r="G507" s="355" t="s">
        <v>186</v>
      </c>
      <c r="H507" s="356" t="s">
        <v>31</v>
      </c>
      <c r="I507" s="356" t="s">
        <v>261</v>
      </c>
      <c r="J507" s="357" t="s">
        <v>84</v>
      </c>
      <c r="K507" s="358">
        <v>2774.0</v>
      </c>
      <c r="L507" s="359">
        <v>46202.0</v>
      </c>
      <c r="M507" s="359">
        <v>46209.0</v>
      </c>
      <c r="N507" s="360"/>
      <c r="O507" s="361" t="s">
        <v>99</v>
      </c>
      <c r="P507" s="362"/>
      <c r="Q507" s="388" t="s">
        <v>35</v>
      </c>
      <c r="R507" s="388" t="s">
        <v>133</v>
      </c>
      <c r="S507" s="381" t="s">
        <v>35</v>
      </c>
      <c r="T507" s="381" t="s">
        <v>36</v>
      </c>
      <c r="U507" s="374" t="s">
        <v>37</v>
      </c>
      <c r="V507" s="430"/>
      <c r="W507" s="382"/>
      <c r="X507" s="338" t="s">
        <v>951</v>
      </c>
      <c r="Y507" s="365" t="s">
        <v>516</v>
      </c>
      <c r="Z507" s="380" t="s">
        <v>516</v>
      </c>
      <c r="AA507" s="367"/>
      <c r="AB507" s="13"/>
      <c r="AC507" s="13"/>
      <c r="AD507" s="13"/>
      <c r="AE507" s="13"/>
      <c r="AF507" s="13"/>
      <c r="AG507" s="13"/>
      <c r="AH507" s="13"/>
      <c r="AI507" s="13"/>
      <c r="AJ507" s="13"/>
      <c r="AK507" s="13"/>
      <c r="AL507" s="13"/>
      <c r="AM507" s="14"/>
      <c r="AN507" s="14"/>
      <c r="AO507" s="14"/>
      <c r="AP507" s="14"/>
      <c r="AQ507" s="14"/>
      <c r="AR507" s="14"/>
      <c r="AS507" s="14"/>
      <c r="AT507" s="14"/>
      <c r="AU507" s="14"/>
      <c r="AV507" s="14"/>
      <c r="AW507" s="14"/>
      <c r="AX507" s="14"/>
      <c r="AY507" s="14"/>
      <c r="AZ507" s="14"/>
      <c r="BA507" s="14"/>
      <c r="BB507" s="14"/>
      <c r="BC507" s="14"/>
      <c r="BD507" s="14"/>
      <c r="BE507" s="14"/>
      <c r="BF507" s="14"/>
      <c r="BG507" s="14"/>
      <c r="BH507" s="14"/>
      <c r="BI507" s="14"/>
      <c r="BJ507" s="14"/>
      <c r="BK507" s="14"/>
      <c r="BL507" s="14"/>
      <c r="BM507" s="14"/>
      <c r="BN507" s="14"/>
    </row>
    <row r="508" ht="56.25" hidden="1" customHeight="1">
      <c r="A508" s="349" t="s">
        <v>948</v>
      </c>
      <c r="B508" s="350"/>
      <c r="C508" s="444" t="s">
        <v>953</v>
      </c>
      <c r="D508" s="352">
        <v>3485.0</v>
      </c>
      <c r="E508" s="353" t="s">
        <v>164</v>
      </c>
      <c r="F508" s="354" t="s">
        <v>30</v>
      </c>
      <c r="G508" s="355" t="s">
        <v>186</v>
      </c>
      <c r="H508" s="356" t="s">
        <v>31</v>
      </c>
      <c r="I508" s="356" t="s">
        <v>261</v>
      </c>
      <c r="J508" s="357" t="s">
        <v>84</v>
      </c>
      <c r="K508" s="358">
        <v>2774.0</v>
      </c>
      <c r="L508" s="359">
        <v>46202.0</v>
      </c>
      <c r="M508" s="359">
        <v>46209.0</v>
      </c>
      <c r="N508" s="360"/>
      <c r="O508" s="361" t="s">
        <v>99</v>
      </c>
      <c r="P508" s="362"/>
      <c r="Q508" s="388" t="s">
        <v>35</v>
      </c>
      <c r="R508" s="388" t="s">
        <v>133</v>
      </c>
      <c r="S508" s="381" t="s">
        <v>35</v>
      </c>
      <c r="T508" s="381" t="s">
        <v>36</v>
      </c>
      <c r="U508" s="374" t="s">
        <v>37</v>
      </c>
      <c r="V508" s="430"/>
      <c r="W508" s="382"/>
      <c r="X508" s="338" t="s">
        <v>951</v>
      </c>
      <c r="Y508" s="365" t="s">
        <v>516</v>
      </c>
      <c r="Z508" s="380" t="s">
        <v>516</v>
      </c>
      <c r="AA508" s="367"/>
      <c r="AB508" s="13"/>
      <c r="AC508" s="13"/>
      <c r="AD508" s="13"/>
      <c r="AE508" s="13"/>
      <c r="AF508" s="13"/>
      <c r="AG508" s="13"/>
      <c r="AH508" s="13"/>
      <c r="AI508" s="13"/>
      <c r="AJ508" s="13"/>
      <c r="AK508" s="13"/>
      <c r="AL508" s="13"/>
      <c r="AM508" s="14"/>
      <c r="AN508" s="14"/>
      <c r="AO508" s="14"/>
      <c r="AP508" s="14"/>
      <c r="AQ508" s="14"/>
      <c r="AR508" s="14"/>
      <c r="AS508" s="14"/>
      <c r="AT508" s="14"/>
      <c r="AU508" s="14"/>
      <c r="AV508" s="14"/>
      <c r="AW508" s="14"/>
      <c r="AX508" s="14"/>
      <c r="AY508" s="14"/>
      <c r="AZ508" s="14"/>
      <c r="BA508" s="14"/>
      <c r="BB508" s="14"/>
      <c r="BC508" s="14"/>
      <c r="BD508" s="14"/>
      <c r="BE508" s="14"/>
      <c r="BF508" s="14"/>
      <c r="BG508" s="14"/>
      <c r="BH508" s="14"/>
      <c r="BI508" s="14"/>
      <c r="BJ508" s="14"/>
      <c r="BK508" s="14"/>
      <c r="BL508" s="14"/>
      <c r="BM508" s="14"/>
      <c r="BN508" s="14"/>
    </row>
    <row r="509" ht="63.0" hidden="1" customHeight="1">
      <c r="A509" s="349" t="s">
        <v>948</v>
      </c>
      <c r="B509" s="350"/>
      <c r="C509" s="444" t="s">
        <v>949</v>
      </c>
      <c r="D509" s="352">
        <v>3486.0</v>
      </c>
      <c r="E509" s="353" t="s">
        <v>164</v>
      </c>
      <c r="F509" s="354" t="s">
        <v>30</v>
      </c>
      <c r="G509" s="355" t="s">
        <v>186</v>
      </c>
      <c r="H509" s="356" t="s">
        <v>31</v>
      </c>
      <c r="I509" s="356" t="s">
        <v>261</v>
      </c>
      <c r="J509" s="357" t="s">
        <v>84</v>
      </c>
      <c r="K509" s="358">
        <v>2774.0</v>
      </c>
      <c r="L509" s="359">
        <v>46202.0</v>
      </c>
      <c r="M509" s="359">
        <v>46209.0</v>
      </c>
      <c r="N509" s="360"/>
      <c r="O509" s="361" t="s">
        <v>99</v>
      </c>
      <c r="P509" s="362"/>
      <c r="Q509" s="388" t="s">
        <v>35</v>
      </c>
      <c r="R509" s="388" t="s">
        <v>133</v>
      </c>
      <c r="S509" s="381" t="s">
        <v>35</v>
      </c>
      <c r="T509" s="381" t="s">
        <v>36</v>
      </c>
      <c r="U509" s="374" t="s">
        <v>37</v>
      </c>
      <c r="V509" s="430"/>
      <c r="W509" s="382"/>
      <c r="X509" s="338" t="s">
        <v>951</v>
      </c>
      <c r="Y509" s="365" t="s">
        <v>516</v>
      </c>
      <c r="Z509" s="380" t="s">
        <v>516</v>
      </c>
      <c r="AA509" s="367"/>
      <c r="AB509" s="13"/>
      <c r="AC509" s="13"/>
      <c r="AD509" s="13"/>
      <c r="AE509" s="13"/>
      <c r="AF509" s="13"/>
      <c r="AG509" s="13"/>
      <c r="AH509" s="13"/>
      <c r="AI509" s="13"/>
      <c r="AJ509" s="13"/>
      <c r="AK509" s="13"/>
      <c r="AL509" s="13"/>
      <c r="AM509" s="14"/>
      <c r="AN509" s="14"/>
      <c r="AO509" s="14"/>
      <c r="AP509" s="14"/>
      <c r="AQ509" s="14"/>
      <c r="AR509" s="14"/>
      <c r="AS509" s="14"/>
      <c r="AT509" s="14"/>
      <c r="AU509" s="14"/>
      <c r="AV509" s="14"/>
      <c r="AW509" s="14"/>
      <c r="AX509" s="14"/>
      <c r="AY509" s="14"/>
      <c r="AZ509" s="14"/>
      <c r="BA509" s="14"/>
      <c r="BB509" s="14"/>
      <c r="BC509" s="14"/>
      <c r="BD509" s="14"/>
      <c r="BE509" s="14"/>
      <c r="BF509" s="14"/>
      <c r="BG509" s="14"/>
      <c r="BH509" s="14"/>
      <c r="BI509" s="14"/>
      <c r="BJ509" s="14"/>
      <c r="BK509" s="14"/>
      <c r="BL509" s="14"/>
      <c r="BM509" s="14"/>
      <c r="BN509" s="14"/>
    </row>
    <row r="510" ht="36.75" hidden="1" customHeight="1">
      <c r="A510" s="349" t="s">
        <v>948</v>
      </c>
      <c r="B510" s="350"/>
      <c r="C510" s="444" t="s">
        <v>1124</v>
      </c>
      <c r="D510" s="352">
        <v>3487.0</v>
      </c>
      <c r="E510" s="353" t="s">
        <v>164</v>
      </c>
      <c r="F510" s="354" t="s">
        <v>30</v>
      </c>
      <c r="G510" s="355" t="s">
        <v>186</v>
      </c>
      <c r="H510" s="356" t="s">
        <v>31</v>
      </c>
      <c r="I510" s="356" t="s">
        <v>261</v>
      </c>
      <c r="J510" s="357" t="s">
        <v>84</v>
      </c>
      <c r="K510" s="358">
        <v>2774.0</v>
      </c>
      <c r="L510" s="359">
        <v>46202.0</v>
      </c>
      <c r="M510" s="359">
        <v>46209.0</v>
      </c>
      <c r="N510" s="360"/>
      <c r="O510" s="361" t="s">
        <v>99</v>
      </c>
      <c r="P510" s="362"/>
      <c r="Q510" s="388" t="s">
        <v>35</v>
      </c>
      <c r="R510" s="388" t="s">
        <v>133</v>
      </c>
      <c r="S510" s="381" t="s">
        <v>35</v>
      </c>
      <c r="T510" s="381" t="s">
        <v>36</v>
      </c>
      <c r="U510" s="374" t="s">
        <v>37</v>
      </c>
      <c r="V510" s="430"/>
      <c r="W510" s="382"/>
      <c r="X510" s="338" t="s">
        <v>951</v>
      </c>
      <c r="Y510" s="365" t="s">
        <v>516</v>
      </c>
      <c r="Z510" s="380" t="s">
        <v>516</v>
      </c>
      <c r="AA510" s="367"/>
      <c r="AB510" s="13"/>
      <c r="AC510" s="13"/>
      <c r="AD510" s="13"/>
      <c r="AE510" s="13"/>
      <c r="AF510" s="13"/>
      <c r="AG510" s="13"/>
      <c r="AH510" s="13"/>
      <c r="AI510" s="13"/>
      <c r="AJ510" s="13"/>
      <c r="AK510" s="13"/>
      <c r="AL510" s="13"/>
      <c r="AM510" s="14"/>
      <c r="AN510" s="14"/>
      <c r="AO510" s="14"/>
      <c r="AP510" s="14"/>
      <c r="AQ510" s="14"/>
      <c r="AR510" s="14"/>
      <c r="AS510" s="14"/>
      <c r="AT510" s="14"/>
      <c r="AU510" s="14"/>
      <c r="AV510" s="14"/>
      <c r="AW510" s="14"/>
      <c r="AX510" s="14"/>
      <c r="AY510" s="14"/>
      <c r="AZ510" s="14"/>
      <c r="BA510" s="14"/>
      <c r="BB510" s="14"/>
      <c r="BC510" s="14"/>
      <c r="BD510" s="14"/>
      <c r="BE510" s="14"/>
      <c r="BF510" s="14"/>
      <c r="BG510" s="14"/>
      <c r="BH510" s="14"/>
      <c r="BI510" s="14"/>
      <c r="BJ510" s="14"/>
      <c r="BK510" s="14"/>
      <c r="BL510" s="14"/>
      <c r="BM510" s="14"/>
      <c r="BN510" s="14"/>
    </row>
    <row r="511" ht="57.75" hidden="1" customHeight="1">
      <c r="A511" s="349" t="s">
        <v>803</v>
      </c>
      <c r="B511" s="350"/>
      <c r="C511" s="351" t="s">
        <v>1125</v>
      </c>
      <c r="D511" s="352">
        <v>3503.0</v>
      </c>
      <c r="E511" s="353" t="s">
        <v>29</v>
      </c>
      <c r="F511" s="354" t="s">
        <v>30</v>
      </c>
      <c r="G511" s="355" t="s">
        <v>718</v>
      </c>
      <c r="H511" s="356" t="s">
        <v>31</v>
      </c>
      <c r="I511" s="356" t="s">
        <v>132</v>
      </c>
      <c r="J511" s="357">
        <v>30000.0</v>
      </c>
      <c r="K511" s="358">
        <v>1437.0</v>
      </c>
      <c r="L511" s="359">
        <v>46199.0</v>
      </c>
      <c r="M511" s="359">
        <v>46205.0</v>
      </c>
      <c r="N511" s="360"/>
      <c r="O511" s="361" t="s">
        <v>34</v>
      </c>
      <c r="P511" s="362"/>
      <c r="Q511" s="387"/>
      <c r="R511" s="388" t="s">
        <v>133</v>
      </c>
      <c r="S511" s="381" t="s">
        <v>35</v>
      </c>
      <c r="T511" s="381" t="s">
        <v>36</v>
      </c>
      <c r="U511" s="374" t="s">
        <v>37</v>
      </c>
      <c r="V511" s="430"/>
      <c r="W511" s="395"/>
      <c r="X511" s="366"/>
      <c r="Y511" s="366"/>
      <c r="Z511" s="380"/>
      <c r="AA511" s="367"/>
      <c r="AB511" s="13"/>
      <c r="AC511" s="13"/>
      <c r="AD511" s="13"/>
      <c r="AE511" s="13"/>
      <c r="AF511" s="13"/>
      <c r="AG511" s="13"/>
      <c r="AH511" s="13"/>
      <c r="AI511" s="13"/>
      <c r="AJ511" s="13"/>
      <c r="AK511" s="13"/>
      <c r="AL511" s="13"/>
      <c r="AM511" s="14"/>
      <c r="AN511" s="14"/>
      <c r="AO511" s="14"/>
      <c r="AP511" s="14"/>
      <c r="AQ511" s="14"/>
      <c r="AR511" s="14"/>
      <c r="AS511" s="14"/>
      <c r="AT511" s="14"/>
      <c r="AU511" s="14"/>
      <c r="AV511" s="14"/>
      <c r="AW511" s="14"/>
      <c r="AX511" s="14"/>
      <c r="AY511" s="14"/>
      <c r="AZ511" s="14"/>
      <c r="BA511" s="14"/>
      <c r="BB511" s="14"/>
      <c r="BC511" s="14"/>
      <c r="BD511" s="14"/>
      <c r="BE511" s="14"/>
      <c r="BF511" s="14"/>
      <c r="BG511" s="14"/>
      <c r="BH511" s="14"/>
      <c r="BI511" s="14"/>
      <c r="BJ511" s="14"/>
      <c r="BK511" s="14"/>
      <c r="BL511" s="14"/>
      <c r="BM511" s="14"/>
      <c r="BN511" s="14"/>
    </row>
    <row r="512" ht="57.75" hidden="1" customHeight="1">
      <c r="A512" s="349" t="s">
        <v>803</v>
      </c>
      <c r="B512" s="350"/>
      <c r="C512" s="351" t="s">
        <v>1126</v>
      </c>
      <c r="D512" s="352">
        <v>3504.0</v>
      </c>
      <c r="E512" s="353" t="s">
        <v>29</v>
      </c>
      <c r="F512" s="354" t="s">
        <v>30</v>
      </c>
      <c r="G512" s="355" t="s">
        <v>718</v>
      </c>
      <c r="H512" s="356" t="s">
        <v>31</v>
      </c>
      <c r="I512" s="356" t="s">
        <v>132</v>
      </c>
      <c r="J512" s="357">
        <v>20000.0</v>
      </c>
      <c r="K512" s="358">
        <v>1113.0</v>
      </c>
      <c r="L512" s="359">
        <v>46203.0</v>
      </c>
      <c r="M512" s="359">
        <v>46205.0</v>
      </c>
      <c r="N512" s="360"/>
      <c r="O512" s="361" t="s">
        <v>34</v>
      </c>
      <c r="P512" s="362"/>
      <c r="Q512" s="387"/>
      <c r="R512" s="388" t="s">
        <v>133</v>
      </c>
      <c r="S512" s="381" t="s">
        <v>35</v>
      </c>
      <c r="T512" s="381" t="s">
        <v>36</v>
      </c>
      <c r="U512" s="374" t="s">
        <v>37</v>
      </c>
      <c r="V512" s="430"/>
      <c r="W512" s="382"/>
      <c r="X512" s="366"/>
      <c r="Y512" s="366"/>
      <c r="Z512" s="367"/>
      <c r="AA512" s="367"/>
      <c r="AB512" s="13"/>
      <c r="AC512" s="13"/>
      <c r="AD512" s="13"/>
      <c r="AE512" s="13"/>
      <c r="AF512" s="13"/>
      <c r="AG512" s="13"/>
      <c r="AH512" s="13"/>
      <c r="AI512" s="13"/>
      <c r="AJ512" s="13"/>
      <c r="AK512" s="13"/>
      <c r="AL512" s="13"/>
      <c r="AM512" s="14"/>
      <c r="AN512" s="14"/>
      <c r="AO512" s="14"/>
      <c r="AP512" s="14"/>
      <c r="AQ512" s="14"/>
      <c r="AR512" s="14"/>
      <c r="AS512" s="14"/>
      <c r="AT512" s="14"/>
      <c r="AU512" s="14"/>
      <c r="AV512" s="14"/>
      <c r="AW512" s="14"/>
      <c r="AX512" s="14"/>
      <c r="AY512" s="14"/>
      <c r="AZ512" s="14"/>
      <c r="BA512" s="14"/>
      <c r="BB512" s="14"/>
      <c r="BC512" s="14"/>
      <c r="BD512" s="14"/>
      <c r="BE512" s="14"/>
      <c r="BF512" s="14"/>
      <c r="BG512" s="14"/>
      <c r="BH512" s="14"/>
      <c r="BI512" s="14"/>
      <c r="BJ512" s="14"/>
      <c r="BK512" s="14"/>
      <c r="BL512" s="14"/>
      <c r="BM512" s="14"/>
      <c r="BN512" s="14"/>
    </row>
    <row r="513" ht="53.25" hidden="1" customHeight="1">
      <c r="A513" s="349" t="s">
        <v>803</v>
      </c>
      <c r="B513" s="350"/>
      <c r="C513" s="351" t="s">
        <v>1127</v>
      </c>
      <c r="D513" s="352">
        <v>3505.0</v>
      </c>
      <c r="E513" s="353" t="s">
        <v>29</v>
      </c>
      <c r="F513" s="354" t="s">
        <v>68</v>
      </c>
      <c r="G513" s="355" t="s">
        <v>138</v>
      </c>
      <c r="H513" s="356" t="s">
        <v>31</v>
      </c>
      <c r="I513" s="356" t="s">
        <v>132</v>
      </c>
      <c r="J513" s="357">
        <v>40000.0</v>
      </c>
      <c r="K513" s="358">
        <v>1811.0</v>
      </c>
      <c r="L513" s="359">
        <v>46199.0</v>
      </c>
      <c r="M513" s="359">
        <v>46205.0</v>
      </c>
      <c r="N513" s="360"/>
      <c r="O513" s="361" t="s">
        <v>34</v>
      </c>
      <c r="P513" s="362"/>
      <c r="Q513" s="387"/>
      <c r="R513" s="388" t="s">
        <v>133</v>
      </c>
      <c r="S513" s="381" t="s">
        <v>35</v>
      </c>
      <c r="T513" s="381" t="s">
        <v>36</v>
      </c>
      <c r="U513" s="374" t="s">
        <v>37</v>
      </c>
      <c r="V513" s="430"/>
      <c r="W513" s="450"/>
      <c r="X513" s="366"/>
      <c r="Y513" s="366"/>
      <c r="Z513" s="367"/>
      <c r="AA513" s="367"/>
      <c r="AB513" s="13"/>
      <c r="AC513" s="13"/>
      <c r="AD513" s="13"/>
      <c r="AE513" s="13"/>
      <c r="AF513" s="13"/>
      <c r="AG513" s="13"/>
      <c r="AH513" s="13"/>
      <c r="AI513" s="13"/>
      <c r="AJ513" s="13"/>
      <c r="AK513" s="13"/>
      <c r="AL513" s="13"/>
      <c r="AM513" s="14"/>
      <c r="AN513" s="14"/>
      <c r="AO513" s="14"/>
      <c r="AP513" s="14"/>
      <c r="AQ513" s="14"/>
      <c r="AR513" s="14"/>
      <c r="AS513" s="14"/>
      <c r="AT513" s="14"/>
      <c r="AU513" s="14"/>
      <c r="AV513" s="14"/>
      <c r="AW513" s="14"/>
      <c r="AX513" s="14"/>
      <c r="AY513" s="14"/>
      <c r="AZ513" s="14"/>
      <c r="BA513" s="14"/>
      <c r="BB513" s="14"/>
      <c r="BC513" s="14"/>
      <c r="BD513" s="14"/>
      <c r="BE513" s="14"/>
      <c r="BF513" s="14"/>
      <c r="BG513" s="14"/>
      <c r="BH513" s="14"/>
      <c r="BI513" s="14"/>
      <c r="BJ513" s="14"/>
      <c r="BK513" s="14"/>
      <c r="BL513" s="14"/>
      <c r="BM513" s="14"/>
      <c r="BN513" s="14"/>
    </row>
    <row r="514" ht="39.75" hidden="1" customHeight="1">
      <c r="A514" s="349" t="s">
        <v>803</v>
      </c>
      <c r="B514" s="350"/>
      <c r="C514" s="351" t="s">
        <v>1128</v>
      </c>
      <c r="D514" s="352">
        <v>3506.0</v>
      </c>
      <c r="E514" s="353" t="s">
        <v>29</v>
      </c>
      <c r="F514" s="354" t="s">
        <v>30</v>
      </c>
      <c r="G514" s="355" t="s">
        <v>317</v>
      </c>
      <c r="H514" s="356" t="s">
        <v>31</v>
      </c>
      <c r="I514" s="356" t="s">
        <v>132</v>
      </c>
      <c r="J514" s="357">
        <v>10000.0</v>
      </c>
      <c r="K514" s="358">
        <v>577.0</v>
      </c>
      <c r="L514" s="359">
        <v>46199.0</v>
      </c>
      <c r="M514" s="359">
        <v>46205.0</v>
      </c>
      <c r="N514" s="360"/>
      <c r="O514" s="361" t="s">
        <v>34</v>
      </c>
      <c r="P514" s="362"/>
      <c r="Q514" s="387"/>
      <c r="R514" s="388" t="s">
        <v>133</v>
      </c>
      <c r="S514" s="381" t="s">
        <v>35</v>
      </c>
      <c r="T514" s="381" t="s">
        <v>36</v>
      </c>
      <c r="U514" s="374" t="s">
        <v>37</v>
      </c>
      <c r="V514" s="430"/>
      <c r="W514" s="382"/>
      <c r="X514" s="366"/>
      <c r="Y514" s="366"/>
      <c r="Z514" s="367"/>
      <c r="AA514" s="367"/>
      <c r="AB514" s="13"/>
      <c r="AC514" s="13"/>
      <c r="AD514" s="13"/>
      <c r="AE514" s="13"/>
      <c r="AF514" s="13"/>
      <c r="AG514" s="13"/>
      <c r="AH514" s="13"/>
      <c r="AI514" s="13"/>
      <c r="AJ514" s="13"/>
      <c r="AK514" s="13"/>
      <c r="AL514" s="13"/>
      <c r="AM514" s="14"/>
      <c r="AN514" s="14"/>
      <c r="AO514" s="14"/>
      <c r="AP514" s="14"/>
      <c r="AQ514" s="14"/>
      <c r="AR514" s="14"/>
      <c r="AS514" s="14"/>
      <c r="AT514" s="14"/>
      <c r="AU514" s="14"/>
      <c r="AV514" s="14"/>
      <c r="AW514" s="14"/>
      <c r="AX514" s="14"/>
      <c r="AY514" s="14"/>
      <c r="AZ514" s="14"/>
      <c r="BA514" s="14"/>
      <c r="BB514" s="14"/>
      <c r="BC514" s="14"/>
      <c r="BD514" s="14"/>
      <c r="BE514" s="14"/>
      <c r="BF514" s="14"/>
      <c r="BG514" s="14"/>
      <c r="BH514" s="14"/>
      <c r="BI514" s="14"/>
      <c r="BJ514" s="14"/>
      <c r="BK514" s="14"/>
      <c r="BL514" s="14"/>
      <c r="BM514" s="14"/>
      <c r="BN514" s="14"/>
    </row>
    <row r="515" ht="51.75" hidden="1" customHeight="1">
      <c r="A515" s="349" t="s">
        <v>1129</v>
      </c>
      <c r="B515" s="350"/>
      <c r="C515" s="351" t="s">
        <v>1130</v>
      </c>
      <c r="D515" s="352">
        <v>3512.0</v>
      </c>
      <c r="E515" s="353" t="s">
        <v>95</v>
      </c>
      <c r="F515" s="354" t="s">
        <v>96</v>
      </c>
      <c r="G515" s="355" t="s">
        <v>1131</v>
      </c>
      <c r="H515" s="394"/>
      <c r="I515" s="394"/>
      <c r="J515" s="357" t="s">
        <v>1132</v>
      </c>
      <c r="K515" s="358">
        <v>83.0</v>
      </c>
      <c r="L515" s="359">
        <v>46203.0</v>
      </c>
      <c r="M515" s="359">
        <v>46205.0</v>
      </c>
      <c r="N515" s="360"/>
      <c r="O515" s="361" t="s">
        <v>99</v>
      </c>
      <c r="P515" s="362"/>
      <c r="Q515" s="388" t="s">
        <v>35</v>
      </c>
      <c r="R515" s="388" t="s">
        <v>133</v>
      </c>
      <c r="S515" s="381" t="s">
        <v>36</v>
      </c>
      <c r="T515" s="381" t="s">
        <v>36</v>
      </c>
      <c r="U515" s="374" t="s">
        <v>37</v>
      </c>
      <c r="V515" s="430"/>
      <c r="W515" s="382"/>
      <c r="X515" s="451" t="s">
        <v>1133</v>
      </c>
      <c r="Y515" s="365"/>
      <c r="Z515" s="380" t="s">
        <v>516</v>
      </c>
      <c r="AA515" s="367"/>
      <c r="AB515" s="13"/>
      <c r="AC515" s="13"/>
      <c r="AD515" s="13"/>
      <c r="AE515" s="13"/>
      <c r="AF515" s="13"/>
      <c r="AG515" s="13"/>
      <c r="AH515" s="13"/>
      <c r="AI515" s="13"/>
      <c r="AJ515" s="13"/>
      <c r="AK515" s="13"/>
      <c r="AL515" s="13"/>
      <c r="AM515" s="14"/>
      <c r="AN515" s="14"/>
      <c r="AO515" s="14"/>
      <c r="AP515" s="14"/>
      <c r="AQ515" s="14"/>
      <c r="AR515" s="14"/>
      <c r="AS515" s="14"/>
      <c r="AT515" s="14"/>
      <c r="AU515" s="14"/>
      <c r="AV515" s="14"/>
      <c r="AW515" s="14"/>
      <c r="AX515" s="14"/>
      <c r="AY515" s="14"/>
      <c r="AZ515" s="14"/>
      <c r="BA515" s="14"/>
      <c r="BB515" s="14"/>
      <c r="BC515" s="14"/>
      <c r="BD515" s="14"/>
      <c r="BE515" s="14"/>
      <c r="BF515" s="14"/>
      <c r="BG515" s="14"/>
      <c r="BH515" s="14"/>
      <c r="BI515" s="14"/>
      <c r="BJ515" s="14"/>
      <c r="BK515" s="14"/>
      <c r="BL515" s="14"/>
      <c r="BM515" s="14"/>
      <c r="BN515" s="14"/>
    </row>
    <row r="516" ht="31.5" hidden="1" customHeight="1">
      <c r="A516" s="349" t="s">
        <v>1129</v>
      </c>
      <c r="B516" s="350"/>
      <c r="C516" s="351" t="s">
        <v>1134</v>
      </c>
      <c r="D516" s="352">
        <v>3513.0</v>
      </c>
      <c r="E516" s="353" t="s">
        <v>95</v>
      </c>
      <c r="F516" s="354" t="s">
        <v>96</v>
      </c>
      <c r="G516" s="355" t="s">
        <v>386</v>
      </c>
      <c r="H516" s="394"/>
      <c r="I516" s="394"/>
      <c r="J516" s="357" t="s">
        <v>1132</v>
      </c>
      <c r="K516" s="358">
        <v>58.0</v>
      </c>
      <c r="L516" s="359">
        <v>46203.0</v>
      </c>
      <c r="M516" s="359">
        <v>46205.0</v>
      </c>
      <c r="N516" s="360"/>
      <c r="O516" s="361" t="s">
        <v>661</v>
      </c>
      <c r="P516" s="362"/>
      <c r="Q516" s="388" t="s">
        <v>35</v>
      </c>
      <c r="R516" s="388" t="s">
        <v>133</v>
      </c>
      <c r="S516" s="381" t="s">
        <v>36</v>
      </c>
      <c r="T516" s="381" t="s">
        <v>36</v>
      </c>
      <c r="U516" s="374" t="s">
        <v>37</v>
      </c>
      <c r="V516" s="430"/>
      <c r="W516" s="382"/>
      <c r="X516" s="451" t="s">
        <v>1133</v>
      </c>
      <c r="Y516" s="365"/>
      <c r="Z516" s="380" t="s">
        <v>516</v>
      </c>
      <c r="AA516" s="367"/>
      <c r="AB516" s="13"/>
      <c r="AC516" s="13"/>
      <c r="AD516" s="13"/>
      <c r="AE516" s="13"/>
      <c r="AF516" s="13"/>
      <c r="AG516" s="13"/>
      <c r="AH516" s="13"/>
      <c r="AI516" s="13"/>
      <c r="AJ516" s="13"/>
      <c r="AK516" s="13"/>
      <c r="AL516" s="13"/>
      <c r="AM516" s="14"/>
      <c r="AN516" s="14"/>
      <c r="AO516" s="14"/>
      <c r="AP516" s="14"/>
      <c r="AQ516" s="14"/>
      <c r="AR516" s="14"/>
      <c r="AS516" s="14"/>
      <c r="AT516" s="14"/>
      <c r="AU516" s="14"/>
      <c r="AV516" s="14"/>
      <c r="AW516" s="14"/>
      <c r="AX516" s="14"/>
      <c r="AY516" s="14"/>
      <c r="AZ516" s="14"/>
      <c r="BA516" s="14"/>
      <c r="BB516" s="14"/>
      <c r="BC516" s="14"/>
      <c r="BD516" s="14"/>
      <c r="BE516" s="14"/>
      <c r="BF516" s="14"/>
      <c r="BG516" s="14"/>
      <c r="BH516" s="14"/>
      <c r="BI516" s="14"/>
      <c r="BJ516" s="14"/>
      <c r="BK516" s="14"/>
      <c r="BL516" s="14"/>
      <c r="BM516" s="14"/>
      <c r="BN516" s="14"/>
    </row>
    <row r="517" ht="38.25" hidden="1" customHeight="1">
      <c r="A517" s="349" t="s">
        <v>1129</v>
      </c>
      <c r="B517" s="350"/>
      <c r="C517" s="351" t="s">
        <v>1135</v>
      </c>
      <c r="D517" s="352">
        <v>3514.0</v>
      </c>
      <c r="E517" s="353" t="s">
        <v>95</v>
      </c>
      <c r="F517" s="354" t="s">
        <v>96</v>
      </c>
      <c r="G517" s="355" t="s">
        <v>1136</v>
      </c>
      <c r="H517" s="394"/>
      <c r="I517" s="394"/>
      <c r="J517" s="357" t="s">
        <v>1132</v>
      </c>
      <c r="K517" s="358">
        <v>67.0</v>
      </c>
      <c r="L517" s="359">
        <v>46203.0</v>
      </c>
      <c r="M517" s="359">
        <v>46205.0</v>
      </c>
      <c r="N517" s="360"/>
      <c r="O517" s="361" t="s">
        <v>661</v>
      </c>
      <c r="P517" s="362"/>
      <c r="Q517" s="388" t="s">
        <v>35</v>
      </c>
      <c r="R517" s="388" t="s">
        <v>133</v>
      </c>
      <c r="S517" s="381" t="s">
        <v>36</v>
      </c>
      <c r="T517" s="381" t="s">
        <v>36</v>
      </c>
      <c r="U517" s="374" t="s">
        <v>37</v>
      </c>
      <c r="V517" s="430"/>
      <c r="W517" s="382"/>
      <c r="X517" s="451" t="s">
        <v>1133</v>
      </c>
      <c r="Y517" s="365"/>
      <c r="Z517" s="380" t="s">
        <v>516</v>
      </c>
      <c r="AA517" s="367"/>
      <c r="AB517" s="13"/>
      <c r="AC517" s="13"/>
      <c r="AD517" s="13"/>
      <c r="AE517" s="13"/>
      <c r="AF517" s="13"/>
      <c r="AG517" s="13"/>
      <c r="AH517" s="13"/>
      <c r="AI517" s="13"/>
      <c r="AJ517" s="13"/>
      <c r="AK517" s="13"/>
      <c r="AL517" s="13"/>
      <c r="AM517" s="14"/>
      <c r="AN517" s="14"/>
      <c r="AO517" s="14"/>
      <c r="AP517" s="14"/>
      <c r="AQ517" s="14"/>
      <c r="AR517" s="14"/>
      <c r="AS517" s="14"/>
      <c r="AT517" s="14"/>
      <c r="AU517" s="14"/>
      <c r="AV517" s="14"/>
      <c r="AW517" s="14"/>
      <c r="AX517" s="14"/>
      <c r="AY517" s="14"/>
      <c r="AZ517" s="14"/>
      <c r="BA517" s="14"/>
      <c r="BB517" s="14"/>
      <c r="BC517" s="14"/>
      <c r="BD517" s="14"/>
      <c r="BE517" s="14"/>
      <c r="BF517" s="14"/>
      <c r="BG517" s="14"/>
      <c r="BH517" s="14"/>
      <c r="BI517" s="14"/>
      <c r="BJ517" s="14"/>
      <c r="BK517" s="14"/>
      <c r="BL517" s="14"/>
      <c r="BM517" s="14"/>
      <c r="BN517" s="14"/>
    </row>
    <row r="518" ht="64.5" hidden="1" customHeight="1">
      <c r="A518" s="349" t="s">
        <v>1129</v>
      </c>
      <c r="B518" s="350"/>
      <c r="C518" s="351" t="s">
        <v>1137</v>
      </c>
      <c r="D518" s="352">
        <v>3515.0</v>
      </c>
      <c r="E518" s="353" t="s">
        <v>95</v>
      </c>
      <c r="F518" s="354" t="s">
        <v>96</v>
      </c>
      <c r="G518" s="355" t="s">
        <v>1138</v>
      </c>
      <c r="H518" s="394"/>
      <c r="I518" s="394"/>
      <c r="J518" s="357" t="s">
        <v>1132</v>
      </c>
      <c r="K518" s="358">
        <v>57.0</v>
      </c>
      <c r="L518" s="359">
        <v>46203.0</v>
      </c>
      <c r="M518" s="359">
        <v>46205.0</v>
      </c>
      <c r="N518" s="360"/>
      <c r="O518" s="361" t="s">
        <v>661</v>
      </c>
      <c r="P518" s="362"/>
      <c r="Q518" s="388" t="s">
        <v>35</v>
      </c>
      <c r="R518" s="388" t="s">
        <v>133</v>
      </c>
      <c r="S518" s="381" t="s">
        <v>36</v>
      </c>
      <c r="T518" s="381" t="s">
        <v>36</v>
      </c>
      <c r="U518" s="374" t="s">
        <v>37</v>
      </c>
      <c r="V518" s="430"/>
      <c r="W518" s="382"/>
      <c r="X518" s="451" t="s">
        <v>1133</v>
      </c>
      <c r="Y518" s="365"/>
      <c r="Z518" s="380" t="s">
        <v>516</v>
      </c>
      <c r="AA518" s="367"/>
      <c r="AB518" s="13"/>
      <c r="AC518" s="13"/>
      <c r="AD518" s="13"/>
      <c r="AE518" s="13"/>
      <c r="AF518" s="13"/>
      <c r="AG518" s="13"/>
      <c r="AH518" s="13"/>
      <c r="AI518" s="13"/>
      <c r="AJ518" s="13"/>
      <c r="AK518" s="13"/>
      <c r="AL518" s="13"/>
      <c r="AM518" s="14"/>
      <c r="AN518" s="14"/>
      <c r="AO518" s="14"/>
      <c r="AP518" s="14"/>
      <c r="AQ518" s="14"/>
      <c r="AR518" s="14"/>
      <c r="AS518" s="14"/>
      <c r="AT518" s="14"/>
      <c r="AU518" s="14"/>
      <c r="AV518" s="14"/>
      <c r="AW518" s="14"/>
      <c r="AX518" s="14"/>
      <c r="AY518" s="14"/>
      <c r="AZ518" s="14"/>
      <c r="BA518" s="14"/>
      <c r="BB518" s="14"/>
      <c r="BC518" s="14"/>
      <c r="BD518" s="14"/>
      <c r="BE518" s="14"/>
      <c r="BF518" s="14"/>
      <c r="BG518" s="14"/>
      <c r="BH518" s="14"/>
      <c r="BI518" s="14"/>
      <c r="BJ518" s="14"/>
      <c r="BK518" s="14"/>
      <c r="BL518" s="14"/>
      <c r="BM518" s="14"/>
      <c r="BN518" s="14"/>
    </row>
    <row r="519" ht="59.25" hidden="1" customHeight="1">
      <c r="A519" s="349" t="s">
        <v>1139</v>
      </c>
      <c r="B519" s="350"/>
      <c r="C519" s="351" t="s">
        <v>1140</v>
      </c>
      <c r="D519" s="352">
        <v>3516.0</v>
      </c>
      <c r="E519" s="353" t="s">
        <v>95</v>
      </c>
      <c r="F519" s="354" t="s">
        <v>72</v>
      </c>
      <c r="G519" s="355" t="s">
        <v>291</v>
      </c>
      <c r="H519" s="356" t="s">
        <v>31</v>
      </c>
      <c r="I519" s="356" t="s">
        <v>261</v>
      </c>
      <c r="J519" s="452">
        <v>7500.0</v>
      </c>
      <c r="K519" s="358">
        <v>344.0</v>
      </c>
      <c r="L519" s="359">
        <v>46199.0</v>
      </c>
      <c r="M519" s="359">
        <v>46212.0</v>
      </c>
      <c r="N519" s="360"/>
      <c r="O519" s="361" t="s">
        <v>99</v>
      </c>
      <c r="P519" s="362"/>
      <c r="Q519" s="353" t="s">
        <v>35</v>
      </c>
      <c r="R519" s="353" t="s">
        <v>133</v>
      </c>
      <c r="S519" s="361" t="s">
        <v>36</v>
      </c>
      <c r="T519" s="361" t="s">
        <v>36</v>
      </c>
      <c r="U519" s="363" t="s">
        <v>37</v>
      </c>
      <c r="V519" s="430"/>
      <c r="W519" s="453" t="s">
        <v>1141</v>
      </c>
      <c r="X519" s="365" t="s">
        <v>1142</v>
      </c>
      <c r="Y519" s="365" t="s">
        <v>1143</v>
      </c>
      <c r="Z519" s="380" t="s">
        <v>516</v>
      </c>
      <c r="AA519" s="380" t="s">
        <v>1144</v>
      </c>
      <c r="AB519" s="13"/>
      <c r="AC519" s="13"/>
      <c r="AD519" s="13"/>
      <c r="AE519" s="13"/>
      <c r="AF519" s="13"/>
      <c r="AG519" s="13"/>
      <c r="AH519" s="13"/>
      <c r="AI519" s="13"/>
      <c r="AJ519" s="13"/>
      <c r="AK519" s="13"/>
      <c r="AL519" s="13"/>
      <c r="AM519" s="14"/>
      <c r="AN519" s="14"/>
      <c r="AO519" s="14"/>
      <c r="AP519" s="14"/>
      <c r="AQ519" s="14"/>
      <c r="AR519" s="14"/>
      <c r="AS519" s="14"/>
      <c r="AT519" s="14"/>
      <c r="AU519" s="14"/>
      <c r="AV519" s="14"/>
      <c r="AW519" s="14"/>
      <c r="AX519" s="14"/>
      <c r="AY519" s="14"/>
      <c r="AZ519" s="14"/>
      <c r="BA519" s="14"/>
      <c r="BB519" s="14"/>
      <c r="BC519" s="14"/>
      <c r="BD519" s="14"/>
      <c r="BE519" s="14"/>
      <c r="BF519" s="14"/>
      <c r="BG519" s="14"/>
      <c r="BH519" s="14"/>
      <c r="BI519" s="14"/>
      <c r="BJ519" s="14"/>
      <c r="BK519" s="14"/>
      <c r="BL519" s="14"/>
      <c r="BM519" s="14"/>
      <c r="BN519" s="14"/>
    </row>
    <row r="520" ht="45.0" hidden="1" customHeight="1">
      <c r="A520" s="349" t="s">
        <v>1139</v>
      </c>
      <c r="B520" s="350"/>
      <c r="C520" s="351" t="s">
        <v>1145</v>
      </c>
      <c r="D520" s="352">
        <v>3517.0</v>
      </c>
      <c r="E520" s="353" t="s">
        <v>95</v>
      </c>
      <c r="F520" s="354" t="s">
        <v>72</v>
      </c>
      <c r="G520" s="355" t="s">
        <v>291</v>
      </c>
      <c r="H520" s="356" t="s">
        <v>31</v>
      </c>
      <c r="I520" s="356" t="s">
        <v>261</v>
      </c>
      <c r="J520" s="452">
        <v>15000.0</v>
      </c>
      <c r="K520" s="358">
        <v>572.0</v>
      </c>
      <c r="L520" s="359">
        <v>46199.0</v>
      </c>
      <c r="M520" s="359">
        <v>46212.0</v>
      </c>
      <c r="N520" s="360"/>
      <c r="O520" s="361" t="s">
        <v>99</v>
      </c>
      <c r="P520" s="362"/>
      <c r="Q520" s="353" t="s">
        <v>35</v>
      </c>
      <c r="R520" s="353" t="s">
        <v>133</v>
      </c>
      <c r="S520" s="361" t="s">
        <v>36</v>
      </c>
      <c r="T520" s="361" t="s">
        <v>36</v>
      </c>
      <c r="U520" s="363" t="s">
        <v>37</v>
      </c>
      <c r="V520" s="430"/>
      <c r="W520" s="357" t="s">
        <v>1146</v>
      </c>
      <c r="X520" s="365" t="s">
        <v>1142</v>
      </c>
      <c r="Y520" s="365" t="s">
        <v>1143</v>
      </c>
      <c r="Z520" s="380" t="s">
        <v>516</v>
      </c>
      <c r="AA520" s="380" t="s">
        <v>1144</v>
      </c>
      <c r="AB520" s="13"/>
      <c r="AC520" s="13"/>
      <c r="AD520" s="13"/>
      <c r="AE520" s="13"/>
      <c r="AF520" s="13"/>
      <c r="AG520" s="13"/>
      <c r="AH520" s="13"/>
      <c r="AI520" s="13"/>
      <c r="AJ520" s="13"/>
      <c r="AK520" s="13"/>
      <c r="AL520" s="13"/>
      <c r="AM520" s="14"/>
      <c r="AN520" s="14"/>
      <c r="AO520" s="14"/>
      <c r="AP520" s="14"/>
      <c r="AQ520" s="14"/>
      <c r="AR520" s="14"/>
      <c r="AS520" s="14"/>
      <c r="AT520" s="14"/>
      <c r="AU520" s="14"/>
      <c r="AV520" s="14"/>
      <c r="AW520" s="14"/>
      <c r="AX520" s="14"/>
      <c r="AY520" s="14"/>
      <c r="AZ520" s="14"/>
      <c r="BA520" s="14"/>
      <c r="BB520" s="14"/>
      <c r="BC520" s="14"/>
      <c r="BD520" s="14"/>
      <c r="BE520" s="14"/>
      <c r="BF520" s="14"/>
      <c r="BG520" s="14"/>
      <c r="BH520" s="14"/>
      <c r="BI520" s="14"/>
      <c r="BJ520" s="14"/>
      <c r="BK520" s="14"/>
      <c r="BL520" s="14"/>
      <c r="BM520" s="14"/>
      <c r="BN520" s="14"/>
    </row>
    <row r="521" ht="60.75" hidden="1" customHeight="1">
      <c r="A521" s="349" t="s">
        <v>1139</v>
      </c>
      <c r="B521" s="350"/>
      <c r="C521" s="351" t="s">
        <v>565</v>
      </c>
      <c r="D521" s="352">
        <v>3518.0</v>
      </c>
      <c r="E521" s="353" t="s">
        <v>95</v>
      </c>
      <c r="F521" s="354" t="s">
        <v>72</v>
      </c>
      <c r="G521" s="355" t="s">
        <v>291</v>
      </c>
      <c r="H521" s="356" t="s">
        <v>31</v>
      </c>
      <c r="I521" s="356" t="s">
        <v>261</v>
      </c>
      <c r="J521" s="452">
        <v>7500.0</v>
      </c>
      <c r="K521" s="358">
        <v>344.0</v>
      </c>
      <c r="L521" s="359">
        <v>46199.0</v>
      </c>
      <c r="M521" s="359">
        <v>46212.0</v>
      </c>
      <c r="N521" s="360"/>
      <c r="O521" s="361" t="s">
        <v>99</v>
      </c>
      <c r="P521" s="362"/>
      <c r="Q521" s="353" t="s">
        <v>35</v>
      </c>
      <c r="R521" s="353" t="s">
        <v>133</v>
      </c>
      <c r="S521" s="361" t="s">
        <v>36</v>
      </c>
      <c r="T521" s="361" t="s">
        <v>36</v>
      </c>
      <c r="U521" s="363" t="s">
        <v>37</v>
      </c>
      <c r="V521" s="430"/>
      <c r="W521" s="357" t="s">
        <v>1147</v>
      </c>
      <c r="X521" s="365" t="s">
        <v>1142</v>
      </c>
      <c r="Y521" s="365" t="s">
        <v>1143</v>
      </c>
      <c r="Z521" s="380" t="s">
        <v>516</v>
      </c>
      <c r="AA521" s="380" t="s">
        <v>1144</v>
      </c>
      <c r="AB521" s="13"/>
      <c r="AC521" s="13"/>
      <c r="AD521" s="13"/>
      <c r="AE521" s="13"/>
      <c r="AF521" s="13"/>
      <c r="AG521" s="13"/>
      <c r="AH521" s="13"/>
      <c r="AI521" s="13"/>
      <c r="AJ521" s="13"/>
      <c r="AK521" s="13"/>
      <c r="AL521" s="13"/>
      <c r="AM521" s="14"/>
      <c r="AN521" s="14"/>
      <c r="AO521" s="14"/>
      <c r="AP521" s="14"/>
      <c r="AQ521" s="14"/>
      <c r="AR521" s="14"/>
      <c r="AS521" s="14"/>
      <c r="AT521" s="14"/>
      <c r="AU521" s="14"/>
      <c r="AV521" s="14"/>
      <c r="AW521" s="14"/>
      <c r="AX521" s="14"/>
      <c r="AY521" s="14"/>
      <c r="AZ521" s="14"/>
      <c r="BA521" s="14"/>
      <c r="BB521" s="14"/>
      <c r="BC521" s="14"/>
      <c r="BD521" s="14"/>
      <c r="BE521" s="14"/>
      <c r="BF521" s="14"/>
      <c r="BG521" s="14"/>
      <c r="BH521" s="14"/>
      <c r="BI521" s="14"/>
      <c r="BJ521" s="14"/>
      <c r="BK521" s="14"/>
      <c r="BL521" s="14"/>
      <c r="BM521" s="14"/>
      <c r="BN521" s="14"/>
    </row>
    <row r="522" ht="81.0" hidden="1" customHeight="1">
      <c r="A522" s="349" t="s">
        <v>1139</v>
      </c>
      <c r="B522" s="350"/>
      <c r="C522" s="351" t="s">
        <v>552</v>
      </c>
      <c r="D522" s="352">
        <v>3519.0</v>
      </c>
      <c r="E522" s="353" t="s">
        <v>95</v>
      </c>
      <c r="F522" s="354" t="s">
        <v>72</v>
      </c>
      <c r="G522" s="355" t="s">
        <v>291</v>
      </c>
      <c r="H522" s="356" t="s">
        <v>31</v>
      </c>
      <c r="I522" s="356" t="s">
        <v>261</v>
      </c>
      <c r="J522" s="452">
        <v>7500.0</v>
      </c>
      <c r="K522" s="358">
        <v>344.0</v>
      </c>
      <c r="L522" s="359">
        <v>46199.0</v>
      </c>
      <c r="M522" s="359">
        <v>46212.0</v>
      </c>
      <c r="N522" s="360"/>
      <c r="O522" s="361" t="s">
        <v>99</v>
      </c>
      <c r="P522" s="362"/>
      <c r="Q522" s="353" t="s">
        <v>35</v>
      </c>
      <c r="R522" s="353" t="s">
        <v>133</v>
      </c>
      <c r="S522" s="361" t="s">
        <v>36</v>
      </c>
      <c r="T522" s="361" t="s">
        <v>36</v>
      </c>
      <c r="U522" s="363" t="s">
        <v>37</v>
      </c>
      <c r="V522" s="430"/>
      <c r="W522" s="357" t="s">
        <v>1148</v>
      </c>
      <c r="X522" s="365" t="s">
        <v>1142</v>
      </c>
      <c r="Y522" s="365" t="s">
        <v>1143</v>
      </c>
      <c r="Z522" s="380" t="s">
        <v>516</v>
      </c>
      <c r="AA522" s="380" t="s">
        <v>1144</v>
      </c>
      <c r="AB522" s="13"/>
      <c r="AC522" s="13"/>
      <c r="AD522" s="13"/>
      <c r="AE522" s="13"/>
      <c r="AF522" s="13"/>
      <c r="AG522" s="13"/>
      <c r="AH522" s="13"/>
      <c r="AI522" s="13"/>
      <c r="AJ522" s="13"/>
      <c r="AK522" s="13"/>
      <c r="AL522" s="13"/>
      <c r="AM522" s="14"/>
      <c r="AN522" s="14"/>
      <c r="AO522" s="14"/>
      <c r="AP522" s="14"/>
      <c r="AQ522" s="14"/>
      <c r="AR522" s="14"/>
      <c r="AS522" s="14"/>
      <c r="AT522" s="14"/>
      <c r="AU522" s="14"/>
      <c r="AV522" s="14"/>
      <c r="AW522" s="14"/>
      <c r="AX522" s="14"/>
      <c r="AY522" s="14"/>
      <c r="AZ522" s="14"/>
      <c r="BA522" s="14"/>
      <c r="BB522" s="14"/>
      <c r="BC522" s="14"/>
      <c r="BD522" s="14"/>
      <c r="BE522" s="14"/>
      <c r="BF522" s="14"/>
      <c r="BG522" s="14"/>
      <c r="BH522" s="14"/>
      <c r="BI522" s="14"/>
      <c r="BJ522" s="14"/>
      <c r="BK522" s="14"/>
      <c r="BL522" s="14"/>
      <c r="BM522" s="14"/>
      <c r="BN522" s="14"/>
    </row>
    <row r="523" ht="74.25" hidden="1" customHeight="1">
      <c r="A523" s="349" t="s">
        <v>1139</v>
      </c>
      <c r="B523" s="350"/>
      <c r="C523" s="351" t="s">
        <v>1149</v>
      </c>
      <c r="D523" s="352">
        <v>3520.0</v>
      </c>
      <c r="E523" s="353" t="s">
        <v>95</v>
      </c>
      <c r="F523" s="354" t="s">
        <v>72</v>
      </c>
      <c r="G523" s="355" t="s">
        <v>291</v>
      </c>
      <c r="H523" s="356" t="s">
        <v>31</v>
      </c>
      <c r="I523" s="356" t="s">
        <v>261</v>
      </c>
      <c r="J523" s="452">
        <v>10000.0</v>
      </c>
      <c r="K523" s="358">
        <v>420.0</v>
      </c>
      <c r="L523" s="359">
        <v>46199.0</v>
      </c>
      <c r="M523" s="359">
        <v>46212.0</v>
      </c>
      <c r="N523" s="360"/>
      <c r="O523" s="361" t="s">
        <v>99</v>
      </c>
      <c r="P523" s="362"/>
      <c r="Q523" s="353" t="s">
        <v>35</v>
      </c>
      <c r="R523" s="353" t="s">
        <v>133</v>
      </c>
      <c r="S523" s="361" t="s">
        <v>36</v>
      </c>
      <c r="T523" s="361" t="s">
        <v>36</v>
      </c>
      <c r="U523" s="363" t="s">
        <v>37</v>
      </c>
      <c r="V523" s="430"/>
      <c r="W523" s="357" t="s">
        <v>1150</v>
      </c>
      <c r="X523" s="365" t="s">
        <v>1142</v>
      </c>
      <c r="Y523" s="365" t="s">
        <v>1143</v>
      </c>
      <c r="Z523" s="380" t="s">
        <v>516</v>
      </c>
      <c r="AA523" s="380" t="s">
        <v>1144</v>
      </c>
      <c r="AB523" s="13"/>
      <c r="AC523" s="13"/>
      <c r="AD523" s="13"/>
      <c r="AE523" s="13"/>
      <c r="AF523" s="13"/>
      <c r="AG523" s="13"/>
      <c r="AH523" s="13"/>
      <c r="AI523" s="13"/>
      <c r="AJ523" s="13"/>
      <c r="AK523" s="13"/>
      <c r="AL523" s="13"/>
      <c r="AM523" s="14"/>
      <c r="AN523" s="14"/>
      <c r="AO523" s="14"/>
      <c r="AP523" s="14"/>
      <c r="AQ523" s="14"/>
      <c r="AR523" s="14"/>
      <c r="AS523" s="14"/>
      <c r="AT523" s="14"/>
      <c r="AU523" s="14"/>
      <c r="AV523" s="14"/>
      <c r="AW523" s="14"/>
      <c r="AX523" s="14"/>
      <c r="AY523" s="14"/>
      <c r="AZ523" s="14"/>
      <c r="BA523" s="14"/>
      <c r="BB523" s="14"/>
      <c r="BC523" s="14"/>
      <c r="BD523" s="14"/>
      <c r="BE523" s="14"/>
      <c r="BF523" s="14"/>
      <c r="BG523" s="14"/>
      <c r="BH523" s="14"/>
      <c r="BI523" s="14"/>
      <c r="BJ523" s="14"/>
      <c r="BK523" s="14"/>
      <c r="BL523" s="14"/>
      <c r="BM523" s="14"/>
      <c r="BN523" s="14"/>
    </row>
    <row r="524" ht="61.5" hidden="1" customHeight="1">
      <c r="A524" s="349" t="s">
        <v>1139</v>
      </c>
      <c r="B524" s="350"/>
      <c r="C524" s="351" t="s">
        <v>753</v>
      </c>
      <c r="D524" s="352">
        <v>3521.0</v>
      </c>
      <c r="E524" s="353" t="s">
        <v>95</v>
      </c>
      <c r="F524" s="354" t="s">
        <v>72</v>
      </c>
      <c r="G524" s="355" t="s">
        <v>291</v>
      </c>
      <c r="H524" s="356" t="s">
        <v>31</v>
      </c>
      <c r="I524" s="356" t="s">
        <v>261</v>
      </c>
      <c r="J524" s="452">
        <v>10000.0</v>
      </c>
      <c r="K524" s="358">
        <v>420.0</v>
      </c>
      <c r="L524" s="359">
        <v>46199.0</v>
      </c>
      <c r="M524" s="359">
        <v>46212.0</v>
      </c>
      <c r="N524" s="360"/>
      <c r="O524" s="361" t="s">
        <v>99</v>
      </c>
      <c r="P524" s="362"/>
      <c r="Q524" s="353" t="s">
        <v>35</v>
      </c>
      <c r="R524" s="353" t="s">
        <v>133</v>
      </c>
      <c r="S524" s="361" t="s">
        <v>36</v>
      </c>
      <c r="T524" s="361" t="s">
        <v>36</v>
      </c>
      <c r="U524" s="363" t="s">
        <v>37</v>
      </c>
      <c r="V524" s="430"/>
      <c r="W524" s="357" t="s">
        <v>1151</v>
      </c>
      <c r="X524" s="365" t="s">
        <v>1142</v>
      </c>
      <c r="Y524" s="365" t="s">
        <v>1143</v>
      </c>
      <c r="Z524" s="380" t="s">
        <v>516</v>
      </c>
      <c r="AA524" s="380" t="s">
        <v>1144</v>
      </c>
      <c r="AB524" s="13"/>
      <c r="AC524" s="13"/>
      <c r="AD524" s="13"/>
      <c r="AE524" s="13"/>
      <c r="AF524" s="13"/>
      <c r="AG524" s="13"/>
      <c r="AH524" s="13"/>
      <c r="AI524" s="13"/>
      <c r="AJ524" s="13"/>
      <c r="AK524" s="13"/>
      <c r="AL524" s="13"/>
      <c r="AM524" s="14"/>
      <c r="AN524" s="14"/>
      <c r="AO524" s="14"/>
      <c r="AP524" s="14"/>
      <c r="AQ524" s="14"/>
      <c r="AR524" s="14"/>
      <c r="AS524" s="14"/>
      <c r="AT524" s="14"/>
      <c r="AU524" s="14"/>
      <c r="AV524" s="14"/>
      <c r="AW524" s="14"/>
      <c r="AX524" s="14"/>
      <c r="AY524" s="14"/>
      <c r="AZ524" s="14"/>
      <c r="BA524" s="14"/>
      <c r="BB524" s="14"/>
      <c r="BC524" s="14"/>
      <c r="BD524" s="14"/>
      <c r="BE524" s="14"/>
      <c r="BF524" s="14"/>
      <c r="BG524" s="14"/>
      <c r="BH524" s="14"/>
      <c r="BI524" s="14"/>
      <c r="BJ524" s="14"/>
      <c r="BK524" s="14"/>
      <c r="BL524" s="14"/>
      <c r="BM524" s="14"/>
      <c r="BN524" s="14"/>
    </row>
    <row r="525" ht="59.25" hidden="1" customHeight="1">
      <c r="A525" s="349" t="s">
        <v>1139</v>
      </c>
      <c r="B525" s="350"/>
      <c r="C525" s="351" t="s">
        <v>556</v>
      </c>
      <c r="D525" s="352">
        <v>3522.0</v>
      </c>
      <c r="E525" s="353" t="s">
        <v>95</v>
      </c>
      <c r="F525" s="354" t="s">
        <v>72</v>
      </c>
      <c r="G525" s="355" t="s">
        <v>291</v>
      </c>
      <c r="H525" s="356" t="s">
        <v>31</v>
      </c>
      <c r="I525" s="356" t="s">
        <v>261</v>
      </c>
      <c r="J525" s="452">
        <v>12500.0</v>
      </c>
      <c r="K525" s="358">
        <v>496.0</v>
      </c>
      <c r="L525" s="359">
        <v>46199.0</v>
      </c>
      <c r="M525" s="359">
        <v>46212.0</v>
      </c>
      <c r="N525" s="360"/>
      <c r="O525" s="361" t="s">
        <v>99</v>
      </c>
      <c r="P525" s="362"/>
      <c r="Q525" s="353" t="s">
        <v>35</v>
      </c>
      <c r="R525" s="353" t="s">
        <v>133</v>
      </c>
      <c r="S525" s="361" t="s">
        <v>36</v>
      </c>
      <c r="T525" s="361" t="s">
        <v>36</v>
      </c>
      <c r="U525" s="363" t="s">
        <v>37</v>
      </c>
      <c r="V525" s="430"/>
      <c r="W525" s="357" t="s">
        <v>1152</v>
      </c>
      <c r="X525" s="365" t="s">
        <v>1142</v>
      </c>
      <c r="Y525" s="365" t="s">
        <v>1143</v>
      </c>
      <c r="Z525" s="380" t="s">
        <v>516</v>
      </c>
      <c r="AA525" s="380" t="s">
        <v>1144</v>
      </c>
      <c r="AB525" s="13"/>
      <c r="AC525" s="13"/>
      <c r="AD525" s="13"/>
      <c r="AE525" s="13"/>
      <c r="AF525" s="13"/>
      <c r="AG525" s="13"/>
      <c r="AH525" s="13"/>
      <c r="AI525" s="13"/>
      <c r="AJ525" s="13"/>
      <c r="AK525" s="13"/>
      <c r="AL525" s="13"/>
      <c r="AM525" s="14"/>
      <c r="AN525" s="14"/>
      <c r="AO525" s="14"/>
      <c r="AP525" s="14"/>
      <c r="AQ525" s="14"/>
      <c r="AR525" s="14"/>
      <c r="AS525" s="14"/>
      <c r="AT525" s="14"/>
      <c r="AU525" s="14"/>
      <c r="AV525" s="14"/>
      <c r="AW525" s="14"/>
      <c r="AX525" s="14"/>
      <c r="AY525" s="14"/>
      <c r="AZ525" s="14"/>
      <c r="BA525" s="14"/>
      <c r="BB525" s="14"/>
      <c r="BC525" s="14"/>
      <c r="BD525" s="14"/>
      <c r="BE525" s="14"/>
      <c r="BF525" s="14"/>
      <c r="BG525" s="14"/>
      <c r="BH525" s="14"/>
      <c r="BI525" s="14"/>
      <c r="BJ525" s="14"/>
      <c r="BK525" s="14"/>
      <c r="BL525" s="14"/>
      <c r="BM525" s="14"/>
      <c r="BN525" s="14"/>
    </row>
    <row r="526" ht="77.25" hidden="1" customHeight="1">
      <c r="A526" s="349" t="s">
        <v>1139</v>
      </c>
      <c r="B526" s="350"/>
      <c r="C526" s="351" t="s">
        <v>755</v>
      </c>
      <c r="D526" s="352">
        <v>3523.0</v>
      </c>
      <c r="E526" s="353" t="s">
        <v>95</v>
      </c>
      <c r="F526" s="354" t="s">
        <v>72</v>
      </c>
      <c r="G526" s="355" t="s">
        <v>291</v>
      </c>
      <c r="H526" s="356" t="s">
        <v>31</v>
      </c>
      <c r="I526" s="356" t="s">
        <v>261</v>
      </c>
      <c r="J526" s="452">
        <v>5000.0</v>
      </c>
      <c r="K526" s="358">
        <v>267.0</v>
      </c>
      <c r="L526" s="359">
        <v>46199.0</v>
      </c>
      <c r="M526" s="359">
        <v>46212.0</v>
      </c>
      <c r="N526" s="360"/>
      <c r="O526" s="361" t="s">
        <v>99</v>
      </c>
      <c r="P526" s="362"/>
      <c r="Q526" s="353" t="s">
        <v>35</v>
      </c>
      <c r="R526" s="353" t="s">
        <v>133</v>
      </c>
      <c r="S526" s="361" t="s">
        <v>36</v>
      </c>
      <c r="T526" s="361" t="s">
        <v>36</v>
      </c>
      <c r="U526" s="363" t="s">
        <v>37</v>
      </c>
      <c r="V526" s="430"/>
      <c r="W526" s="357" t="s">
        <v>1153</v>
      </c>
      <c r="X526" s="365" t="s">
        <v>1142</v>
      </c>
      <c r="Y526" s="365" t="s">
        <v>1143</v>
      </c>
      <c r="Z526" s="380" t="s">
        <v>516</v>
      </c>
      <c r="AA526" s="380" t="s">
        <v>1144</v>
      </c>
      <c r="AB526" s="13"/>
      <c r="AC526" s="13"/>
      <c r="AD526" s="13"/>
      <c r="AE526" s="13"/>
      <c r="AF526" s="13"/>
      <c r="AG526" s="13"/>
      <c r="AH526" s="13"/>
      <c r="AI526" s="13"/>
      <c r="AJ526" s="13"/>
      <c r="AK526" s="13"/>
      <c r="AL526" s="13"/>
      <c r="AM526" s="14"/>
      <c r="AN526" s="14"/>
      <c r="AO526" s="14"/>
      <c r="AP526" s="14"/>
      <c r="AQ526" s="14"/>
      <c r="AR526" s="14"/>
      <c r="AS526" s="14"/>
      <c r="AT526" s="14"/>
      <c r="AU526" s="14"/>
      <c r="AV526" s="14"/>
      <c r="AW526" s="14"/>
      <c r="AX526" s="14"/>
      <c r="AY526" s="14"/>
      <c r="AZ526" s="14"/>
      <c r="BA526" s="14"/>
      <c r="BB526" s="14"/>
      <c r="BC526" s="14"/>
      <c r="BD526" s="14"/>
      <c r="BE526" s="14"/>
      <c r="BF526" s="14"/>
      <c r="BG526" s="14"/>
      <c r="BH526" s="14"/>
      <c r="BI526" s="14"/>
      <c r="BJ526" s="14"/>
      <c r="BK526" s="14"/>
      <c r="BL526" s="14"/>
      <c r="BM526" s="14"/>
      <c r="BN526" s="14"/>
    </row>
    <row r="527" ht="37.5" hidden="1" customHeight="1">
      <c r="A527" s="349" t="s">
        <v>634</v>
      </c>
      <c r="B527" s="350"/>
      <c r="C527" s="351" t="s">
        <v>1154</v>
      </c>
      <c r="D527" s="352">
        <v>3524.0</v>
      </c>
      <c r="E527" s="353" t="s">
        <v>95</v>
      </c>
      <c r="F527" s="354" t="s">
        <v>72</v>
      </c>
      <c r="G527" s="355" t="s">
        <v>291</v>
      </c>
      <c r="H527" s="356" t="s">
        <v>31</v>
      </c>
      <c r="I527" s="356" t="s">
        <v>261</v>
      </c>
      <c r="J527" s="452">
        <v>7500.0</v>
      </c>
      <c r="K527" s="358">
        <v>344.0</v>
      </c>
      <c r="L527" s="359">
        <v>46199.0</v>
      </c>
      <c r="M527" s="359">
        <v>46212.0</v>
      </c>
      <c r="N527" s="360"/>
      <c r="O527" s="361" t="s">
        <v>99</v>
      </c>
      <c r="P527" s="362"/>
      <c r="Q527" s="353" t="s">
        <v>35</v>
      </c>
      <c r="R527" s="353" t="s">
        <v>133</v>
      </c>
      <c r="S527" s="361" t="s">
        <v>36</v>
      </c>
      <c r="T527" s="361" t="s">
        <v>36</v>
      </c>
      <c r="U527" s="363" t="s">
        <v>37</v>
      </c>
      <c r="V527" s="430"/>
      <c r="W527" s="357" t="s">
        <v>1155</v>
      </c>
      <c r="X527" s="365" t="s">
        <v>1142</v>
      </c>
      <c r="Y527" s="365" t="s">
        <v>1143</v>
      </c>
      <c r="Z527" s="380" t="s">
        <v>516</v>
      </c>
      <c r="AA527" s="380" t="s">
        <v>1144</v>
      </c>
      <c r="AB527" s="13"/>
      <c r="AC527" s="13"/>
      <c r="AD527" s="13"/>
      <c r="AE527" s="13"/>
      <c r="AF527" s="13"/>
      <c r="AG527" s="13"/>
      <c r="AH527" s="13"/>
      <c r="AI527" s="13"/>
      <c r="AJ527" s="13"/>
      <c r="AK527" s="13"/>
      <c r="AL527" s="13"/>
      <c r="AM527" s="14"/>
      <c r="AN527" s="14"/>
      <c r="AO527" s="14"/>
      <c r="AP527" s="14"/>
      <c r="AQ527" s="14"/>
      <c r="AR527" s="14"/>
      <c r="AS527" s="14"/>
      <c r="AT527" s="14"/>
      <c r="AU527" s="14"/>
      <c r="AV527" s="14"/>
      <c r="AW527" s="14"/>
      <c r="AX527" s="14"/>
      <c r="AY527" s="14"/>
      <c r="AZ527" s="14"/>
      <c r="BA527" s="14"/>
      <c r="BB527" s="14"/>
      <c r="BC527" s="14"/>
      <c r="BD527" s="14"/>
      <c r="BE527" s="14"/>
      <c r="BF527" s="14"/>
      <c r="BG527" s="14"/>
      <c r="BH527" s="14"/>
      <c r="BI527" s="14"/>
      <c r="BJ527" s="14"/>
      <c r="BK527" s="14"/>
      <c r="BL527" s="14"/>
      <c r="BM527" s="14"/>
      <c r="BN527" s="14"/>
    </row>
    <row r="528" ht="50.25" hidden="1" customHeight="1">
      <c r="A528" s="349" t="s">
        <v>1139</v>
      </c>
      <c r="B528" s="350"/>
      <c r="C528" s="351" t="s">
        <v>1156</v>
      </c>
      <c r="D528" s="352">
        <v>3525.0</v>
      </c>
      <c r="E528" s="353" t="s">
        <v>95</v>
      </c>
      <c r="F528" s="354" t="s">
        <v>72</v>
      </c>
      <c r="G528" s="355" t="s">
        <v>291</v>
      </c>
      <c r="H528" s="356" t="s">
        <v>31</v>
      </c>
      <c r="I528" s="356" t="s">
        <v>261</v>
      </c>
      <c r="J528" s="452">
        <v>15000.0</v>
      </c>
      <c r="K528" s="358">
        <v>572.0</v>
      </c>
      <c r="L528" s="359">
        <v>46199.0</v>
      </c>
      <c r="M528" s="359">
        <v>46212.0</v>
      </c>
      <c r="N528" s="360"/>
      <c r="O528" s="361" t="s">
        <v>99</v>
      </c>
      <c r="P528" s="362"/>
      <c r="Q528" s="353" t="s">
        <v>35</v>
      </c>
      <c r="R528" s="353" t="s">
        <v>133</v>
      </c>
      <c r="S528" s="361" t="s">
        <v>36</v>
      </c>
      <c r="T528" s="361" t="s">
        <v>36</v>
      </c>
      <c r="U528" s="363" t="s">
        <v>37</v>
      </c>
      <c r="V528" s="430"/>
      <c r="W528" s="357" t="s">
        <v>1157</v>
      </c>
      <c r="X528" s="365" t="s">
        <v>1142</v>
      </c>
      <c r="Y528" s="365" t="s">
        <v>1143</v>
      </c>
      <c r="Z528" s="380" t="s">
        <v>516</v>
      </c>
      <c r="AA528" s="380" t="s">
        <v>1144</v>
      </c>
      <c r="AB528" s="13"/>
      <c r="AC528" s="13"/>
      <c r="AD528" s="13"/>
      <c r="AE528" s="13"/>
      <c r="AF528" s="13"/>
      <c r="AG528" s="13"/>
      <c r="AH528" s="13"/>
      <c r="AI528" s="13"/>
      <c r="AJ528" s="13"/>
      <c r="AK528" s="13"/>
      <c r="AL528" s="13"/>
      <c r="AM528" s="14"/>
      <c r="AN528" s="14"/>
      <c r="AO528" s="14"/>
      <c r="AP528" s="14"/>
      <c r="AQ528" s="14"/>
      <c r="AR528" s="14"/>
      <c r="AS528" s="14"/>
      <c r="AT528" s="14"/>
      <c r="AU528" s="14"/>
      <c r="AV528" s="14"/>
      <c r="AW528" s="14"/>
      <c r="AX528" s="14"/>
      <c r="AY528" s="14"/>
      <c r="AZ528" s="14"/>
      <c r="BA528" s="14"/>
      <c r="BB528" s="14"/>
      <c r="BC528" s="14"/>
      <c r="BD528" s="14"/>
      <c r="BE528" s="14"/>
      <c r="BF528" s="14"/>
      <c r="BG528" s="14"/>
      <c r="BH528" s="14"/>
      <c r="BI528" s="14"/>
      <c r="BJ528" s="14"/>
      <c r="BK528" s="14"/>
      <c r="BL528" s="14"/>
      <c r="BM528" s="14"/>
      <c r="BN528" s="14"/>
    </row>
    <row r="529" ht="50.25" hidden="1" customHeight="1">
      <c r="A529" s="349" t="s">
        <v>1139</v>
      </c>
      <c r="B529" s="350"/>
      <c r="C529" s="351" t="s">
        <v>756</v>
      </c>
      <c r="D529" s="352">
        <v>3526.0</v>
      </c>
      <c r="E529" s="353" t="s">
        <v>95</v>
      </c>
      <c r="F529" s="354" t="s">
        <v>72</v>
      </c>
      <c r="G529" s="355" t="s">
        <v>291</v>
      </c>
      <c r="H529" s="356" t="s">
        <v>31</v>
      </c>
      <c r="I529" s="356" t="s">
        <v>261</v>
      </c>
      <c r="J529" s="452">
        <v>15000.0</v>
      </c>
      <c r="K529" s="358">
        <v>572.0</v>
      </c>
      <c r="L529" s="359">
        <v>46199.0</v>
      </c>
      <c r="M529" s="359">
        <v>46212.0</v>
      </c>
      <c r="N529" s="360"/>
      <c r="O529" s="361" t="s">
        <v>99</v>
      </c>
      <c r="P529" s="362"/>
      <c r="Q529" s="353" t="s">
        <v>35</v>
      </c>
      <c r="R529" s="353" t="s">
        <v>133</v>
      </c>
      <c r="S529" s="361" t="s">
        <v>36</v>
      </c>
      <c r="T529" s="361" t="s">
        <v>36</v>
      </c>
      <c r="U529" s="363" t="s">
        <v>37</v>
      </c>
      <c r="V529" s="430"/>
      <c r="W529" s="357" t="s">
        <v>1158</v>
      </c>
      <c r="X529" s="365" t="s">
        <v>1142</v>
      </c>
      <c r="Y529" s="365" t="s">
        <v>1143</v>
      </c>
      <c r="Z529" s="380" t="s">
        <v>516</v>
      </c>
      <c r="AA529" s="380" t="s">
        <v>1144</v>
      </c>
      <c r="AB529" s="13"/>
      <c r="AC529" s="13"/>
      <c r="AD529" s="13"/>
      <c r="AE529" s="13"/>
      <c r="AF529" s="13"/>
      <c r="AG529" s="13"/>
      <c r="AH529" s="13"/>
      <c r="AI529" s="13"/>
      <c r="AJ529" s="13"/>
      <c r="AK529" s="13"/>
      <c r="AL529" s="13"/>
      <c r="AM529" s="14"/>
      <c r="AN529" s="14"/>
      <c r="AO529" s="14"/>
      <c r="AP529" s="14"/>
      <c r="AQ529" s="14"/>
      <c r="AR529" s="14"/>
      <c r="AS529" s="14"/>
      <c r="AT529" s="14"/>
      <c r="AU529" s="14"/>
      <c r="AV529" s="14"/>
      <c r="AW529" s="14"/>
      <c r="AX529" s="14"/>
      <c r="AY529" s="14"/>
      <c r="AZ529" s="14"/>
      <c r="BA529" s="14"/>
      <c r="BB529" s="14"/>
      <c r="BC529" s="14"/>
      <c r="BD529" s="14"/>
      <c r="BE529" s="14"/>
      <c r="BF529" s="14"/>
      <c r="BG529" s="14"/>
      <c r="BH529" s="14"/>
      <c r="BI529" s="14"/>
      <c r="BJ529" s="14"/>
      <c r="BK529" s="14"/>
      <c r="BL529" s="14"/>
      <c r="BM529" s="14"/>
      <c r="BN529" s="14"/>
    </row>
    <row r="530" ht="30.0" hidden="1" customHeight="1">
      <c r="A530" s="349" t="s">
        <v>1139</v>
      </c>
      <c r="B530" s="350"/>
      <c r="C530" s="351" t="s">
        <v>757</v>
      </c>
      <c r="D530" s="352">
        <v>3527.0</v>
      </c>
      <c r="E530" s="353" t="s">
        <v>95</v>
      </c>
      <c r="F530" s="354" t="s">
        <v>72</v>
      </c>
      <c r="G530" s="355" t="s">
        <v>291</v>
      </c>
      <c r="H530" s="356" t="s">
        <v>31</v>
      </c>
      <c r="I530" s="356" t="s">
        <v>261</v>
      </c>
      <c r="J530" s="452">
        <v>22500.0</v>
      </c>
      <c r="K530" s="358">
        <v>801.0</v>
      </c>
      <c r="L530" s="359">
        <v>46199.0</v>
      </c>
      <c r="M530" s="359">
        <v>46212.0</v>
      </c>
      <c r="N530" s="360"/>
      <c r="O530" s="361" t="s">
        <v>99</v>
      </c>
      <c r="P530" s="362"/>
      <c r="Q530" s="353" t="s">
        <v>35</v>
      </c>
      <c r="R530" s="353" t="s">
        <v>133</v>
      </c>
      <c r="S530" s="361" t="s">
        <v>36</v>
      </c>
      <c r="T530" s="361" t="s">
        <v>36</v>
      </c>
      <c r="U530" s="363" t="s">
        <v>37</v>
      </c>
      <c r="V530" s="430"/>
      <c r="W530" s="357" t="s">
        <v>1159</v>
      </c>
      <c r="X530" s="365" t="s">
        <v>1142</v>
      </c>
      <c r="Y530" s="365" t="s">
        <v>1143</v>
      </c>
      <c r="Z530" s="380" t="s">
        <v>516</v>
      </c>
      <c r="AA530" s="380" t="s">
        <v>1144</v>
      </c>
      <c r="AB530" s="13"/>
      <c r="AC530" s="13"/>
      <c r="AD530" s="13"/>
      <c r="AE530" s="13"/>
      <c r="AF530" s="13"/>
      <c r="AG530" s="13"/>
      <c r="AH530" s="13"/>
      <c r="AI530" s="13"/>
      <c r="AJ530" s="13"/>
      <c r="AK530" s="13"/>
      <c r="AL530" s="13"/>
      <c r="AM530" s="14"/>
      <c r="AN530" s="14"/>
      <c r="AO530" s="14"/>
      <c r="AP530" s="14"/>
      <c r="AQ530" s="14"/>
      <c r="AR530" s="14"/>
      <c r="AS530" s="14"/>
      <c r="AT530" s="14"/>
      <c r="AU530" s="14"/>
      <c r="AV530" s="14"/>
      <c r="AW530" s="14"/>
      <c r="AX530" s="14"/>
      <c r="AY530" s="14"/>
      <c r="AZ530" s="14"/>
      <c r="BA530" s="14"/>
      <c r="BB530" s="14"/>
      <c r="BC530" s="14"/>
      <c r="BD530" s="14"/>
      <c r="BE530" s="14"/>
      <c r="BF530" s="14"/>
      <c r="BG530" s="14"/>
      <c r="BH530" s="14"/>
      <c r="BI530" s="14"/>
      <c r="BJ530" s="14"/>
      <c r="BK530" s="14"/>
      <c r="BL530" s="14"/>
      <c r="BM530" s="14"/>
      <c r="BN530" s="14"/>
    </row>
    <row r="531" ht="30.0" hidden="1" customHeight="1">
      <c r="A531" s="349" t="s">
        <v>1139</v>
      </c>
      <c r="B531" s="350"/>
      <c r="C531" s="351" t="s">
        <v>1160</v>
      </c>
      <c r="D531" s="352">
        <v>3528.0</v>
      </c>
      <c r="E531" s="353" t="s">
        <v>95</v>
      </c>
      <c r="F531" s="354" t="s">
        <v>72</v>
      </c>
      <c r="G531" s="355" t="s">
        <v>291</v>
      </c>
      <c r="H531" s="356" t="s">
        <v>31</v>
      </c>
      <c r="I531" s="356" t="s">
        <v>261</v>
      </c>
      <c r="J531" s="452">
        <v>5000.0</v>
      </c>
      <c r="K531" s="358">
        <v>267.0</v>
      </c>
      <c r="L531" s="359">
        <v>46199.0</v>
      </c>
      <c r="M531" s="359">
        <v>46212.0</v>
      </c>
      <c r="N531" s="360"/>
      <c r="O531" s="361" t="s">
        <v>99</v>
      </c>
      <c r="P531" s="362"/>
      <c r="Q531" s="353" t="s">
        <v>35</v>
      </c>
      <c r="R531" s="353" t="s">
        <v>133</v>
      </c>
      <c r="S531" s="361" t="s">
        <v>36</v>
      </c>
      <c r="T531" s="361" t="s">
        <v>36</v>
      </c>
      <c r="U531" s="363" t="s">
        <v>37</v>
      </c>
      <c r="V531" s="430"/>
      <c r="W531" s="357" t="s">
        <v>1161</v>
      </c>
      <c r="X531" s="365" t="s">
        <v>1142</v>
      </c>
      <c r="Y531" s="365" t="s">
        <v>1143</v>
      </c>
      <c r="Z531" s="380" t="s">
        <v>516</v>
      </c>
      <c r="AA531" s="380" t="s">
        <v>1144</v>
      </c>
      <c r="AB531" s="13"/>
      <c r="AC531" s="13"/>
      <c r="AD531" s="13"/>
      <c r="AE531" s="13"/>
      <c r="AF531" s="13"/>
      <c r="AG531" s="13"/>
      <c r="AH531" s="13"/>
      <c r="AI531" s="13"/>
      <c r="AJ531" s="13"/>
      <c r="AK531" s="13"/>
      <c r="AL531" s="13"/>
      <c r="AM531" s="14"/>
      <c r="AN531" s="14"/>
      <c r="AO531" s="14"/>
      <c r="AP531" s="14"/>
      <c r="AQ531" s="14"/>
      <c r="AR531" s="14"/>
      <c r="AS531" s="14"/>
      <c r="AT531" s="14"/>
      <c r="AU531" s="14"/>
      <c r="AV531" s="14"/>
      <c r="AW531" s="14"/>
      <c r="AX531" s="14"/>
      <c r="AY531" s="14"/>
      <c r="AZ531" s="14"/>
      <c r="BA531" s="14"/>
      <c r="BB531" s="14"/>
      <c r="BC531" s="14"/>
      <c r="BD531" s="14"/>
      <c r="BE531" s="14"/>
      <c r="BF531" s="14"/>
      <c r="BG531" s="14"/>
      <c r="BH531" s="14"/>
      <c r="BI531" s="14"/>
      <c r="BJ531" s="14"/>
      <c r="BK531" s="14"/>
      <c r="BL531" s="14"/>
      <c r="BM531" s="14"/>
      <c r="BN531" s="14"/>
    </row>
    <row r="532" ht="30.0" hidden="1" customHeight="1">
      <c r="A532" s="349" t="s">
        <v>1139</v>
      </c>
      <c r="B532" s="350"/>
      <c r="C532" s="351" t="s">
        <v>1162</v>
      </c>
      <c r="D532" s="352">
        <v>3529.0</v>
      </c>
      <c r="E532" s="353" t="s">
        <v>95</v>
      </c>
      <c r="F532" s="354" t="s">
        <v>72</v>
      </c>
      <c r="G532" s="355" t="s">
        <v>291</v>
      </c>
      <c r="H532" s="356" t="s">
        <v>31</v>
      </c>
      <c r="I532" s="356" t="s">
        <v>261</v>
      </c>
      <c r="J532" s="452">
        <v>20000.0</v>
      </c>
      <c r="K532" s="358">
        <v>725.0</v>
      </c>
      <c r="L532" s="359">
        <v>46199.0</v>
      </c>
      <c r="M532" s="359">
        <v>46212.0</v>
      </c>
      <c r="N532" s="360"/>
      <c r="O532" s="361" t="s">
        <v>99</v>
      </c>
      <c r="P532" s="362"/>
      <c r="Q532" s="353" t="s">
        <v>35</v>
      </c>
      <c r="R532" s="353" t="s">
        <v>133</v>
      </c>
      <c r="S532" s="361" t="s">
        <v>36</v>
      </c>
      <c r="T532" s="361" t="s">
        <v>36</v>
      </c>
      <c r="U532" s="363" t="s">
        <v>37</v>
      </c>
      <c r="V532" s="430"/>
      <c r="W532" s="357" t="s">
        <v>1163</v>
      </c>
      <c r="X532" s="365" t="s">
        <v>1142</v>
      </c>
      <c r="Y532" s="365" t="s">
        <v>1143</v>
      </c>
      <c r="Z532" s="380" t="s">
        <v>516</v>
      </c>
      <c r="AA532" s="380" t="s">
        <v>1144</v>
      </c>
      <c r="AB532" s="13"/>
      <c r="AC532" s="13"/>
      <c r="AD532" s="13"/>
      <c r="AE532" s="13"/>
      <c r="AF532" s="13"/>
      <c r="AG532" s="13"/>
      <c r="AH532" s="13"/>
      <c r="AI532" s="13"/>
      <c r="AJ532" s="13"/>
      <c r="AK532" s="13"/>
      <c r="AL532" s="13"/>
      <c r="AM532" s="14"/>
      <c r="AN532" s="14"/>
      <c r="AO532" s="14"/>
      <c r="AP532" s="14"/>
      <c r="AQ532" s="14"/>
      <c r="AR532" s="14"/>
      <c r="AS532" s="14"/>
      <c r="AT532" s="14"/>
      <c r="AU532" s="14"/>
      <c r="AV532" s="14"/>
      <c r="AW532" s="14"/>
      <c r="AX532" s="14"/>
      <c r="AY532" s="14"/>
      <c r="AZ532" s="14"/>
      <c r="BA532" s="14"/>
      <c r="BB532" s="14"/>
      <c r="BC532" s="14"/>
      <c r="BD532" s="14"/>
      <c r="BE532" s="14"/>
      <c r="BF532" s="14"/>
      <c r="BG532" s="14"/>
      <c r="BH532" s="14"/>
      <c r="BI532" s="14"/>
      <c r="BJ532" s="14"/>
      <c r="BK532" s="14"/>
      <c r="BL532" s="14"/>
      <c r="BM532" s="14"/>
      <c r="BN532" s="14"/>
    </row>
    <row r="533" ht="30.0" hidden="1" customHeight="1">
      <c r="A533" s="349" t="s">
        <v>1139</v>
      </c>
      <c r="B533" s="350"/>
      <c r="C533" s="351" t="s">
        <v>1164</v>
      </c>
      <c r="D533" s="352">
        <v>3530.0</v>
      </c>
      <c r="E533" s="353" t="s">
        <v>95</v>
      </c>
      <c r="F533" s="354" t="s">
        <v>72</v>
      </c>
      <c r="G533" s="355" t="s">
        <v>291</v>
      </c>
      <c r="H533" s="356" t="s">
        <v>31</v>
      </c>
      <c r="I533" s="356" t="s">
        <v>261</v>
      </c>
      <c r="J533" s="452">
        <v>10000.0</v>
      </c>
      <c r="K533" s="358">
        <v>420.0</v>
      </c>
      <c r="L533" s="359">
        <v>46199.0</v>
      </c>
      <c r="M533" s="359">
        <v>46212.0</v>
      </c>
      <c r="N533" s="360"/>
      <c r="O533" s="361" t="s">
        <v>99</v>
      </c>
      <c r="P533" s="362"/>
      <c r="Q533" s="353" t="s">
        <v>35</v>
      </c>
      <c r="R533" s="353" t="s">
        <v>133</v>
      </c>
      <c r="S533" s="361" t="s">
        <v>36</v>
      </c>
      <c r="T533" s="361" t="s">
        <v>36</v>
      </c>
      <c r="U533" s="363" t="s">
        <v>37</v>
      </c>
      <c r="V533" s="430"/>
      <c r="W533" s="357" t="s">
        <v>1165</v>
      </c>
      <c r="X533" s="365" t="s">
        <v>1142</v>
      </c>
      <c r="Y533" s="365" t="s">
        <v>1143</v>
      </c>
      <c r="Z533" s="380" t="s">
        <v>516</v>
      </c>
      <c r="AA533" s="380" t="s">
        <v>1144</v>
      </c>
      <c r="AB533" s="13"/>
      <c r="AC533" s="13"/>
      <c r="AD533" s="13"/>
      <c r="AE533" s="13"/>
      <c r="AF533" s="13"/>
      <c r="AG533" s="13"/>
      <c r="AH533" s="13"/>
      <c r="AI533" s="13"/>
      <c r="AJ533" s="13"/>
      <c r="AK533" s="13"/>
      <c r="AL533" s="13"/>
      <c r="AM533" s="14"/>
      <c r="AN533" s="14"/>
      <c r="AO533" s="14"/>
      <c r="AP533" s="14"/>
      <c r="AQ533" s="14"/>
      <c r="AR533" s="14"/>
      <c r="AS533" s="14"/>
      <c r="AT533" s="14"/>
      <c r="AU533" s="14"/>
      <c r="AV533" s="14"/>
      <c r="AW533" s="14"/>
      <c r="AX533" s="14"/>
      <c r="AY533" s="14"/>
      <c r="AZ533" s="14"/>
      <c r="BA533" s="14"/>
      <c r="BB533" s="14"/>
      <c r="BC533" s="14"/>
      <c r="BD533" s="14"/>
      <c r="BE533" s="14"/>
      <c r="BF533" s="14"/>
      <c r="BG533" s="14"/>
      <c r="BH533" s="14"/>
      <c r="BI533" s="14"/>
      <c r="BJ533" s="14"/>
      <c r="BK533" s="14"/>
      <c r="BL533" s="14"/>
      <c r="BM533" s="14"/>
      <c r="BN533" s="14"/>
    </row>
    <row r="534" ht="30.0" hidden="1" customHeight="1">
      <c r="A534" s="349" t="s">
        <v>1139</v>
      </c>
      <c r="B534" s="350"/>
      <c r="C534" s="351" t="s">
        <v>1166</v>
      </c>
      <c r="D534" s="352">
        <v>3531.0</v>
      </c>
      <c r="E534" s="353" t="s">
        <v>95</v>
      </c>
      <c r="F534" s="354" t="s">
        <v>72</v>
      </c>
      <c r="G534" s="355" t="s">
        <v>291</v>
      </c>
      <c r="H534" s="356" t="s">
        <v>31</v>
      </c>
      <c r="I534" s="356" t="s">
        <v>261</v>
      </c>
      <c r="J534" s="452">
        <v>20000.0</v>
      </c>
      <c r="K534" s="358">
        <v>725.0</v>
      </c>
      <c r="L534" s="359">
        <v>46199.0</v>
      </c>
      <c r="M534" s="359">
        <v>46212.0</v>
      </c>
      <c r="N534" s="360"/>
      <c r="O534" s="361" t="s">
        <v>99</v>
      </c>
      <c r="P534" s="362"/>
      <c r="Q534" s="353" t="s">
        <v>35</v>
      </c>
      <c r="R534" s="353" t="s">
        <v>133</v>
      </c>
      <c r="S534" s="361" t="s">
        <v>36</v>
      </c>
      <c r="T534" s="361" t="s">
        <v>36</v>
      </c>
      <c r="U534" s="363" t="s">
        <v>37</v>
      </c>
      <c r="V534" s="430"/>
      <c r="W534" s="357" t="s">
        <v>1167</v>
      </c>
      <c r="X534" s="365" t="s">
        <v>1142</v>
      </c>
      <c r="Y534" s="365" t="s">
        <v>1143</v>
      </c>
      <c r="Z534" s="380" t="s">
        <v>516</v>
      </c>
      <c r="AA534" s="380" t="s">
        <v>1144</v>
      </c>
      <c r="AB534" s="13"/>
      <c r="AC534" s="13"/>
      <c r="AD534" s="13"/>
      <c r="AE534" s="13"/>
      <c r="AF534" s="13"/>
      <c r="AG534" s="13"/>
      <c r="AH534" s="13"/>
      <c r="AI534" s="13"/>
      <c r="AJ534" s="13"/>
      <c r="AK534" s="13"/>
      <c r="AL534" s="13"/>
      <c r="AM534" s="14"/>
      <c r="AN534" s="14"/>
      <c r="AO534" s="14"/>
      <c r="AP534" s="14"/>
      <c r="AQ534" s="14"/>
      <c r="AR534" s="14"/>
      <c r="AS534" s="14"/>
      <c r="AT534" s="14"/>
      <c r="AU534" s="14"/>
      <c r="AV534" s="14"/>
      <c r="AW534" s="14"/>
      <c r="AX534" s="14"/>
      <c r="AY534" s="14"/>
      <c r="AZ534" s="14"/>
      <c r="BA534" s="14"/>
      <c r="BB534" s="14"/>
      <c r="BC534" s="14"/>
      <c r="BD534" s="14"/>
      <c r="BE534" s="14"/>
      <c r="BF534" s="14"/>
      <c r="BG534" s="14"/>
      <c r="BH534" s="14"/>
      <c r="BI534" s="14"/>
      <c r="BJ534" s="14"/>
      <c r="BK534" s="14"/>
      <c r="BL534" s="14"/>
      <c r="BM534" s="14"/>
      <c r="BN534" s="14"/>
    </row>
    <row r="535" ht="30.0" hidden="1" customHeight="1">
      <c r="A535" s="349" t="s">
        <v>1139</v>
      </c>
      <c r="B535" s="350"/>
      <c r="C535" s="351" t="s">
        <v>1168</v>
      </c>
      <c r="D535" s="352">
        <v>3532.0</v>
      </c>
      <c r="E535" s="353" t="s">
        <v>95</v>
      </c>
      <c r="F535" s="354" t="s">
        <v>72</v>
      </c>
      <c r="G535" s="355" t="s">
        <v>291</v>
      </c>
      <c r="H535" s="356" t="s">
        <v>31</v>
      </c>
      <c r="I535" s="356" t="s">
        <v>261</v>
      </c>
      <c r="J535" s="452">
        <v>10000.0</v>
      </c>
      <c r="K535" s="358">
        <v>420.0</v>
      </c>
      <c r="L535" s="359">
        <v>46199.0</v>
      </c>
      <c r="M535" s="359">
        <v>46212.0</v>
      </c>
      <c r="N535" s="360"/>
      <c r="O535" s="361" t="s">
        <v>99</v>
      </c>
      <c r="P535" s="362"/>
      <c r="Q535" s="353" t="s">
        <v>35</v>
      </c>
      <c r="R535" s="353" t="s">
        <v>133</v>
      </c>
      <c r="S535" s="361" t="s">
        <v>36</v>
      </c>
      <c r="T535" s="361" t="s">
        <v>36</v>
      </c>
      <c r="U535" s="363" t="s">
        <v>37</v>
      </c>
      <c r="V535" s="430"/>
      <c r="W535" s="357" t="s">
        <v>1169</v>
      </c>
      <c r="X535" s="365" t="s">
        <v>1142</v>
      </c>
      <c r="Y535" s="365" t="s">
        <v>1143</v>
      </c>
      <c r="Z535" s="380" t="s">
        <v>516</v>
      </c>
      <c r="AA535" s="380" t="s">
        <v>1144</v>
      </c>
      <c r="AB535" s="13"/>
      <c r="AC535" s="13"/>
      <c r="AD535" s="13"/>
      <c r="AE535" s="13"/>
      <c r="AF535" s="13"/>
      <c r="AG535" s="13"/>
      <c r="AH535" s="13"/>
      <c r="AI535" s="13"/>
      <c r="AJ535" s="13"/>
      <c r="AK535" s="13"/>
      <c r="AL535" s="13"/>
      <c r="AM535" s="14"/>
      <c r="AN535" s="14"/>
      <c r="AO535" s="14"/>
      <c r="AP535" s="14"/>
      <c r="AQ535" s="14"/>
      <c r="AR535" s="14"/>
      <c r="AS535" s="14"/>
      <c r="AT535" s="14"/>
      <c r="AU535" s="14"/>
      <c r="AV535" s="14"/>
      <c r="AW535" s="14"/>
      <c r="AX535" s="14"/>
      <c r="AY535" s="14"/>
      <c r="AZ535" s="14"/>
      <c r="BA535" s="14"/>
      <c r="BB535" s="14"/>
      <c r="BC535" s="14"/>
      <c r="BD535" s="14"/>
      <c r="BE535" s="14"/>
      <c r="BF535" s="14"/>
      <c r="BG535" s="14"/>
      <c r="BH535" s="14"/>
      <c r="BI535" s="14"/>
      <c r="BJ535" s="14"/>
      <c r="BK535" s="14"/>
      <c r="BL535" s="14"/>
      <c r="BM535" s="14"/>
      <c r="BN535" s="14"/>
    </row>
    <row r="536" ht="30.0" hidden="1" customHeight="1">
      <c r="A536" s="349" t="s">
        <v>1139</v>
      </c>
      <c r="B536" s="350"/>
      <c r="C536" s="351" t="s">
        <v>1170</v>
      </c>
      <c r="D536" s="352">
        <v>3533.0</v>
      </c>
      <c r="E536" s="353" t="s">
        <v>95</v>
      </c>
      <c r="F536" s="354" t="s">
        <v>72</v>
      </c>
      <c r="G536" s="355" t="s">
        <v>291</v>
      </c>
      <c r="H536" s="356" t="s">
        <v>31</v>
      </c>
      <c r="I536" s="356" t="s">
        <v>261</v>
      </c>
      <c r="J536" s="452">
        <v>10000.0</v>
      </c>
      <c r="K536" s="358">
        <v>420.0</v>
      </c>
      <c r="L536" s="359">
        <v>46199.0</v>
      </c>
      <c r="M536" s="359">
        <v>46212.0</v>
      </c>
      <c r="N536" s="360"/>
      <c r="O536" s="361" t="s">
        <v>99</v>
      </c>
      <c r="P536" s="362"/>
      <c r="Q536" s="353" t="s">
        <v>35</v>
      </c>
      <c r="R536" s="353" t="s">
        <v>133</v>
      </c>
      <c r="S536" s="361" t="s">
        <v>36</v>
      </c>
      <c r="T536" s="361" t="s">
        <v>36</v>
      </c>
      <c r="U536" s="363" t="s">
        <v>37</v>
      </c>
      <c r="V536" s="430"/>
      <c r="W536" s="357" t="s">
        <v>1171</v>
      </c>
      <c r="X536" s="365" t="s">
        <v>1142</v>
      </c>
      <c r="Y536" s="365" t="s">
        <v>1143</v>
      </c>
      <c r="Z536" s="380" t="s">
        <v>516</v>
      </c>
      <c r="AA536" s="380" t="s">
        <v>1144</v>
      </c>
      <c r="AB536" s="13"/>
      <c r="AC536" s="13"/>
      <c r="AD536" s="13"/>
      <c r="AE536" s="13"/>
      <c r="AF536" s="13"/>
      <c r="AG536" s="13"/>
      <c r="AH536" s="13"/>
      <c r="AI536" s="13"/>
      <c r="AJ536" s="13"/>
      <c r="AK536" s="13"/>
      <c r="AL536" s="13"/>
      <c r="AM536" s="14"/>
      <c r="AN536" s="14"/>
      <c r="AO536" s="14"/>
      <c r="AP536" s="14"/>
      <c r="AQ536" s="14"/>
      <c r="AR536" s="14"/>
      <c r="AS536" s="14"/>
      <c r="AT536" s="14"/>
      <c r="AU536" s="14"/>
      <c r="AV536" s="14"/>
      <c r="AW536" s="14"/>
      <c r="AX536" s="14"/>
      <c r="AY536" s="14"/>
      <c r="AZ536" s="14"/>
      <c r="BA536" s="14"/>
      <c r="BB536" s="14"/>
      <c r="BC536" s="14"/>
      <c r="BD536" s="14"/>
      <c r="BE536" s="14"/>
      <c r="BF536" s="14"/>
      <c r="BG536" s="14"/>
      <c r="BH536" s="14"/>
      <c r="BI536" s="14"/>
      <c r="BJ536" s="14"/>
      <c r="BK536" s="14"/>
      <c r="BL536" s="14"/>
      <c r="BM536" s="14"/>
      <c r="BN536" s="14"/>
    </row>
    <row r="537" ht="30.0" hidden="1" customHeight="1">
      <c r="A537" s="349" t="s">
        <v>1139</v>
      </c>
      <c r="B537" s="350"/>
      <c r="C537" s="351" t="s">
        <v>1172</v>
      </c>
      <c r="D537" s="352">
        <v>3534.0</v>
      </c>
      <c r="E537" s="353" t="s">
        <v>95</v>
      </c>
      <c r="F537" s="354" t="s">
        <v>72</v>
      </c>
      <c r="G537" s="355" t="s">
        <v>291</v>
      </c>
      <c r="H537" s="356" t="s">
        <v>31</v>
      </c>
      <c r="I537" s="356" t="s">
        <v>261</v>
      </c>
      <c r="J537" s="452">
        <v>7500.0</v>
      </c>
      <c r="K537" s="358">
        <v>344.0</v>
      </c>
      <c r="L537" s="359">
        <v>46199.0</v>
      </c>
      <c r="M537" s="359">
        <v>46212.0</v>
      </c>
      <c r="N537" s="360"/>
      <c r="O537" s="361" t="s">
        <v>99</v>
      </c>
      <c r="P537" s="362"/>
      <c r="Q537" s="353" t="s">
        <v>35</v>
      </c>
      <c r="R537" s="353" t="s">
        <v>133</v>
      </c>
      <c r="S537" s="361" t="s">
        <v>36</v>
      </c>
      <c r="T537" s="361" t="s">
        <v>36</v>
      </c>
      <c r="U537" s="363" t="s">
        <v>37</v>
      </c>
      <c r="V537" s="430"/>
      <c r="W537" s="357" t="s">
        <v>1173</v>
      </c>
      <c r="X537" s="365" t="s">
        <v>1142</v>
      </c>
      <c r="Y537" s="365" t="s">
        <v>1143</v>
      </c>
      <c r="Z537" s="380" t="s">
        <v>516</v>
      </c>
      <c r="AA537" s="380" t="s">
        <v>1144</v>
      </c>
      <c r="AB537" s="13"/>
      <c r="AC537" s="13"/>
      <c r="AD537" s="13"/>
      <c r="AE537" s="13"/>
      <c r="AF537" s="13"/>
      <c r="AG537" s="13"/>
      <c r="AH537" s="13"/>
      <c r="AI537" s="13"/>
      <c r="AJ537" s="13"/>
      <c r="AK537" s="13"/>
      <c r="AL537" s="13"/>
      <c r="AM537" s="14"/>
      <c r="AN537" s="14"/>
      <c r="AO537" s="14"/>
      <c r="AP537" s="14"/>
      <c r="AQ537" s="14"/>
      <c r="AR537" s="14"/>
      <c r="AS537" s="14"/>
      <c r="AT537" s="14"/>
      <c r="AU537" s="14"/>
      <c r="AV537" s="14"/>
      <c r="AW537" s="14"/>
      <c r="AX537" s="14"/>
      <c r="AY537" s="14"/>
      <c r="AZ537" s="14"/>
      <c r="BA537" s="14"/>
      <c r="BB537" s="14"/>
      <c r="BC537" s="14"/>
      <c r="BD537" s="14"/>
      <c r="BE537" s="14"/>
      <c r="BF537" s="14"/>
      <c r="BG537" s="14"/>
      <c r="BH537" s="14"/>
      <c r="BI537" s="14"/>
      <c r="BJ537" s="14"/>
      <c r="BK537" s="14"/>
      <c r="BL537" s="14"/>
      <c r="BM537" s="14"/>
      <c r="BN537" s="14"/>
    </row>
    <row r="538" ht="30.0" hidden="1" customHeight="1">
      <c r="A538" s="349" t="s">
        <v>1139</v>
      </c>
      <c r="B538" s="350"/>
      <c r="C538" s="351" t="s">
        <v>1174</v>
      </c>
      <c r="D538" s="352">
        <v>3535.0</v>
      </c>
      <c r="E538" s="353" t="s">
        <v>95</v>
      </c>
      <c r="F538" s="354" t="s">
        <v>72</v>
      </c>
      <c r="G538" s="355" t="s">
        <v>291</v>
      </c>
      <c r="H538" s="356" t="s">
        <v>31</v>
      </c>
      <c r="I538" s="356" t="s">
        <v>261</v>
      </c>
      <c r="J538" s="452">
        <v>12500.0</v>
      </c>
      <c r="K538" s="358">
        <v>496.0</v>
      </c>
      <c r="L538" s="359">
        <v>46199.0</v>
      </c>
      <c r="M538" s="359">
        <v>46212.0</v>
      </c>
      <c r="N538" s="360"/>
      <c r="O538" s="361" t="s">
        <v>99</v>
      </c>
      <c r="P538" s="362"/>
      <c r="Q538" s="353" t="s">
        <v>35</v>
      </c>
      <c r="R538" s="353" t="s">
        <v>133</v>
      </c>
      <c r="S538" s="361" t="s">
        <v>36</v>
      </c>
      <c r="T538" s="361" t="s">
        <v>36</v>
      </c>
      <c r="U538" s="363" t="s">
        <v>37</v>
      </c>
      <c r="V538" s="430"/>
      <c r="W538" s="357" t="s">
        <v>1175</v>
      </c>
      <c r="X538" s="365" t="s">
        <v>1142</v>
      </c>
      <c r="Y538" s="365" t="s">
        <v>1143</v>
      </c>
      <c r="Z538" s="380" t="s">
        <v>516</v>
      </c>
      <c r="AA538" s="380" t="s">
        <v>1144</v>
      </c>
      <c r="AB538" s="13"/>
      <c r="AC538" s="13"/>
      <c r="AD538" s="13"/>
      <c r="AE538" s="13"/>
      <c r="AF538" s="13"/>
      <c r="AG538" s="13"/>
      <c r="AH538" s="13"/>
      <c r="AI538" s="13"/>
      <c r="AJ538" s="13"/>
      <c r="AK538" s="13"/>
      <c r="AL538" s="13"/>
      <c r="AM538" s="14"/>
      <c r="AN538" s="14"/>
      <c r="AO538" s="14"/>
      <c r="AP538" s="14"/>
      <c r="AQ538" s="14"/>
      <c r="AR538" s="14"/>
      <c r="AS538" s="14"/>
      <c r="AT538" s="14"/>
      <c r="AU538" s="14"/>
      <c r="AV538" s="14"/>
      <c r="AW538" s="14"/>
      <c r="AX538" s="14"/>
      <c r="AY538" s="14"/>
      <c r="AZ538" s="14"/>
      <c r="BA538" s="14"/>
      <c r="BB538" s="14"/>
      <c r="BC538" s="14"/>
      <c r="BD538" s="14"/>
      <c r="BE538" s="14"/>
      <c r="BF538" s="14"/>
      <c r="BG538" s="14"/>
      <c r="BH538" s="14"/>
      <c r="BI538" s="14"/>
      <c r="BJ538" s="14"/>
      <c r="BK538" s="14"/>
      <c r="BL538" s="14"/>
      <c r="BM538" s="14"/>
      <c r="BN538" s="14"/>
    </row>
    <row r="539" ht="30.0" hidden="1" customHeight="1">
      <c r="A539" s="349" t="s">
        <v>1139</v>
      </c>
      <c r="B539" s="350"/>
      <c r="C539" s="351" t="s">
        <v>1176</v>
      </c>
      <c r="D539" s="352">
        <v>3536.0</v>
      </c>
      <c r="E539" s="353" t="s">
        <v>95</v>
      </c>
      <c r="F539" s="354" t="s">
        <v>72</v>
      </c>
      <c r="G539" s="355" t="s">
        <v>291</v>
      </c>
      <c r="H539" s="356" t="s">
        <v>31</v>
      </c>
      <c r="I539" s="356" t="s">
        <v>261</v>
      </c>
      <c r="J539" s="452">
        <v>20000.0</v>
      </c>
      <c r="K539" s="358">
        <v>725.0</v>
      </c>
      <c r="L539" s="359">
        <v>46199.0</v>
      </c>
      <c r="M539" s="359">
        <v>46212.0</v>
      </c>
      <c r="N539" s="360"/>
      <c r="O539" s="361" t="s">
        <v>99</v>
      </c>
      <c r="P539" s="362"/>
      <c r="Q539" s="353" t="s">
        <v>35</v>
      </c>
      <c r="R539" s="353" t="s">
        <v>133</v>
      </c>
      <c r="S539" s="361" t="s">
        <v>36</v>
      </c>
      <c r="T539" s="361" t="s">
        <v>36</v>
      </c>
      <c r="U539" s="363" t="s">
        <v>37</v>
      </c>
      <c r="V539" s="430"/>
      <c r="W539" s="357" t="s">
        <v>1177</v>
      </c>
      <c r="X539" s="365" t="s">
        <v>1142</v>
      </c>
      <c r="Y539" s="365" t="s">
        <v>1143</v>
      </c>
      <c r="Z539" s="380" t="s">
        <v>516</v>
      </c>
      <c r="AA539" s="380" t="s">
        <v>1144</v>
      </c>
      <c r="AB539" s="13"/>
      <c r="AC539" s="13"/>
      <c r="AD539" s="13"/>
      <c r="AE539" s="13"/>
      <c r="AF539" s="13"/>
      <c r="AG539" s="13"/>
      <c r="AH539" s="13"/>
      <c r="AI539" s="13"/>
      <c r="AJ539" s="13"/>
      <c r="AK539" s="13"/>
      <c r="AL539" s="13"/>
      <c r="AM539" s="14"/>
      <c r="AN539" s="14"/>
      <c r="AO539" s="14"/>
      <c r="AP539" s="14"/>
      <c r="AQ539" s="14"/>
      <c r="AR539" s="14"/>
      <c r="AS539" s="14"/>
      <c r="AT539" s="14"/>
      <c r="AU539" s="14"/>
      <c r="AV539" s="14"/>
      <c r="AW539" s="14"/>
      <c r="AX539" s="14"/>
      <c r="AY539" s="14"/>
      <c r="AZ539" s="14"/>
      <c r="BA539" s="14"/>
      <c r="BB539" s="14"/>
      <c r="BC539" s="14"/>
      <c r="BD539" s="14"/>
      <c r="BE539" s="14"/>
      <c r="BF539" s="14"/>
      <c r="BG539" s="14"/>
      <c r="BH539" s="14"/>
      <c r="BI539" s="14"/>
      <c r="BJ539" s="14"/>
      <c r="BK539" s="14"/>
      <c r="BL539" s="14"/>
      <c r="BM539" s="14"/>
      <c r="BN539" s="14"/>
    </row>
    <row r="540" ht="30.0" hidden="1" customHeight="1">
      <c r="A540" s="349" t="s">
        <v>1139</v>
      </c>
      <c r="B540" s="350"/>
      <c r="C540" s="351" t="s">
        <v>1178</v>
      </c>
      <c r="D540" s="352">
        <v>3537.0</v>
      </c>
      <c r="E540" s="353" t="s">
        <v>95</v>
      </c>
      <c r="F540" s="354" t="s">
        <v>72</v>
      </c>
      <c r="G540" s="355" t="s">
        <v>291</v>
      </c>
      <c r="H540" s="356" t="s">
        <v>31</v>
      </c>
      <c r="I540" s="356" t="s">
        <v>261</v>
      </c>
      <c r="J540" s="452">
        <v>15000.0</v>
      </c>
      <c r="K540" s="358">
        <v>572.0</v>
      </c>
      <c r="L540" s="359">
        <v>46199.0</v>
      </c>
      <c r="M540" s="359">
        <v>46212.0</v>
      </c>
      <c r="N540" s="360"/>
      <c r="O540" s="361" t="s">
        <v>99</v>
      </c>
      <c r="P540" s="362"/>
      <c r="Q540" s="353" t="s">
        <v>35</v>
      </c>
      <c r="R540" s="353" t="s">
        <v>133</v>
      </c>
      <c r="S540" s="361" t="s">
        <v>36</v>
      </c>
      <c r="T540" s="361" t="s">
        <v>36</v>
      </c>
      <c r="U540" s="363" t="s">
        <v>37</v>
      </c>
      <c r="V540" s="430"/>
      <c r="W540" s="357" t="s">
        <v>1179</v>
      </c>
      <c r="X540" s="365" t="s">
        <v>1142</v>
      </c>
      <c r="Y540" s="365" t="s">
        <v>1143</v>
      </c>
      <c r="Z540" s="380" t="s">
        <v>516</v>
      </c>
      <c r="AA540" s="380" t="s">
        <v>1144</v>
      </c>
      <c r="AB540" s="13"/>
      <c r="AC540" s="13"/>
      <c r="AD540" s="13"/>
      <c r="AE540" s="13"/>
      <c r="AF540" s="13"/>
      <c r="AG540" s="13"/>
      <c r="AH540" s="13"/>
      <c r="AI540" s="13"/>
      <c r="AJ540" s="13"/>
      <c r="AK540" s="13"/>
      <c r="AL540" s="13"/>
      <c r="AM540" s="14"/>
      <c r="AN540" s="14"/>
      <c r="AO540" s="14"/>
      <c r="AP540" s="14"/>
      <c r="AQ540" s="14"/>
      <c r="AR540" s="14"/>
      <c r="AS540" s="14"/>
      <c r="AT540" s="14"/>
      <c r="AU540" s="14"/>
      <c r="AV540" s="14"/>
      <c r="AW540" s="14"/>
      <c r="AX540" s="14"/>
      <c r="AY540" s="14"/>
      <c r="AZ540" s="14"/>
      <c r="BA540" s="14"/>
      <c r="BB540" s="14"/>
      <c r="BC540" s="14"/>
      <c r="BD540" s="14"/>
      <c r="BE540" s="14"/>
      <c r="BF540" s="14"/>
      <c r="BG540" s="14"/>
      <c r="BH540" s="14"/>
      <c r="BI540" s="14"/>
      <c r="BJ540" s="14"/>
      <c r="BK540" s="14"/>
      <c r="BL540" s="14"/>
      <c r="BM540" s="14"/>
      <c r="BN540" s="14"/>
    </row>
    <row r="541" ht="30.0" hidden="1" customHeight="1">
      <c r="A541" s="349" t="s">
        <v>1139</v>
      </c>
      <c r="B541" s="350"/>
      <c r="C541" s="351" t="s">
        <v>1180</v>
      </c>
      <c r="D541" s="352">
        <v>3538.0</v>
      </c>
      <c r="E541" s="353" t="s">
        <v>95</v>
      </c>
      <c r="F541" s="354" t="s">
        <v>72</v>
      </c>
      <c r="G541" s="355" t="s">
        <v>291</v>
      </c>
      <c r="H541" s="356" t="s">
        <v>31</v>
      </c>
      <c r="I541" s="356" t="s">
        <v>261</v>
      </c>
      <c r="J541" s="452">
        <v>7500.0</v>
      </c>
      <c r="K541" s="358">
        <v>344.0</v>
      </c>
      <c r="L541" s="359">
        <v>46199.0</v>
      </c>
      <c r="M541" s="359">
        <v>46212.0</v>
      </c>
      <c r="N541" s="360"/>
      <c r="O541" s="361" t="s">
        <v>99</v>
      </c>
      <c r="P541" s="362"/>
      <c r="Q541" s="353" t="s">
        <v>35</v>
      </c>
      <c r="R541" s="353" t="s">
        <v>133</v>
      </c>
      <c r="S541" s="361" t="s">
        <v>36</v>
      </c>
      <c r="T541" s="361" t="s">
        <v>36</v>
      </c>
      <c r="U541" s="363" t="s">
        <v>37</v>
      </c>
      <c r="V541" s="430"/>
      <c r="W541" s="357" t="s">
        <v>1181</v>
      </c>
      <c r="X541" s="365" t="s">
        <v>1142</v>
      </c>
      <c r="Y541" s="365" t="s">
        <v>1143</v>
      </c>
      <c r="Z541" s="380" t="s">
        <v>516</v>
      </c>
      <c r="AA541" s="380" t="s">
        <v>1144</v>
      </c>
      <c r="AB541" s="13"/>
      <c r="AC541" s="13"/>
      <c r="AD541" s="13"/>
      <c r="AE541" s="13"/>
      <c r="AF541" s="13"/>
      <c r="AG541" s="13"/>
      <c r="AH541" s="13"/>
      <c r="AI541" s="13"/>
      <c r="AJ541" s="13"/>
      <c r="AK541" s="13"/>
      <c r="AL541" s="13"/>
      <c r="AM541" s="14"/>
      <c r="AN541" s="14"/>
      <c r="AO541" s="14"/>
      <c r="AP541" s="14"/>
      <c r="AQ541" s="14"/>
      <c r="AR541" s="14"/>
      <c r="AS541" s="14"/>
      <c r="AT541" s="14"/>
      <c r="AU541" s="14"/>
      <c r="AV541" s="14"/>
      <c r="AW541" s="14"/>
      <c r="AX541" s="14"/>
      <c r="AY541" s="14"/>
      <c r="AZ541" s="14"/>
      <c r="BA541" s="14"/>
      <c r="BB541" s="14"/>
      <c r="BC541" s="14"/>
      <c r="BD541" s="14"/>
      <c r="BE541" s="14"/>
      <c r="BF541" s="14"/>
      <c r="BG541" s="14"/>
      <c r="BH541" s="14"/>
      <c r="BI541" s="14"/>
      <c r="BJ541" s="14"/>
      <c r="BK541" s="14"/>
      <c r="BL541" s="14"/>
      <c r="BM541" s="14"/>
      <c r="BN541" s="14"/>
    </row>
    <row r="542" ht="51.75" hidden="1" customHeight="1">
      <c r="A542" s="349" t="s">
        <v>1139</v>
      </c>
      <c r="B542" s="350"/>
      <c r="C542" s="351" t="s">
        <v>1182</v>
      </c>
      <c r="D542" s="352">
        <v>3539.0</v>
      </c>
      <c r="E542" s="353" t="s">
        <v>95</v>
      </c>
      <c r="F542" s="354" t="s">
        <v>72</v>
      </c>
      <c r="G542" s="355" t="s">
        <v>291</v>
      </c>
      <c r="H542" s="356" t="s">
        <v>31</v>
      </c>
      <c r="I542" s="356" t="s">
        <v>261</v>
      </c>
      <c r="J542" s="452">
        <v>40000.0</v>
      </c>
      <c r="K542" s="358">
        <v>1334.0</v>
      </c>
      <c r="L542" s="359">
        <v>46199.0</v>
      </c>
      <c r="M542" s="359">
        <v>46212.0</v>
      </c>
      <c r="N542" s="360"/>
      <c r="O542" s="361" t="s">
        <v>99</v>
      </c>
      <c r="P542" s="362"/>
      <c r="Q542" s="353" t="s">
        <v>35</v>
      </c>
      <c r="R542" s="353" t="s">
        <v>133</v>
      </c>
      <c r="S542" s="361" t="s">
        <v>36</v>
      </c>
      <c r="T542" s="361" t="s">
        <v>36</v>
      </c>
      <c r="U542" s="363" t="s">
        <v>37</v>
      </c>
      <c r="V542" s="430"/>
      <c r="W542" s="357" t="s">
        <v>1183</v>
      </c>
      <c r="X542" s="365" t="s">
        <v>1142</v>
      </c>
      <c r="Y542" s="365" t="s">
        <v>1143</v>
      </c>
      <c r="Z542" s="380" t="s">
        <v>516</v>
      </c>
      <c r="AA542" s="380" t="s">
        <v>1144</v>
      </c>
      <c r="AB542" s="13"/>
      <c r="AC542" s="13"/>
      <c r="AD542" s="13"/>
      <c r="AE542" s="13"/>
      <c r="AF542" s="13"/>
      <c r="AG542" s="13"/>
      <c r="AH542" s="13"/>
      <c r="AI542" s="13"/>
      <c r="AJ542" s="13"/>
      <c r="AK542" s="13"/>
      <c r="AL542" s="13"/>
      <c r="AM542" s="14"/>
      <c r="AN542" s="14"/>
      <c r="AO542" s="14"/>
      <c r="AP542" s="14"/>
      <c r="AQ542" s="14"/>
      <c r="AR542" s="14"/>
      <c r="AS542" s="14"/>
      <c r="AT542" s="14"/>
      <c r="AU542" s="14"/>
      <c r="AV542" s="14"/>
      <c r="AW542" s="14"/>
      <c r="AX542" s="14"/>
      <c r="AY542" s="14"/>
      <c r="AZ542" s="14"/>
      <c r="BA542" s="14"/>
      <c r="BB542" s="14"/>
      <c r="BC542" s="14"/>
      <c r="BD542" s="14"/>
      <c r="BE542" s="14"/>
      <c r="BF542" s="14"/>
      <c r="BG542" s="14"/>
      <c r="BH542" s="14"/>
      <c r="BI542" s="14"/>
      <c r="BJ542" s="14"/>
      <c r="BK542" s="14"/>
      <c r="BL542" s="14"/>
      <c r="BM542" s="14"/>
      <c r="BN542" s="14"/>
    </row>
    <row r="543" ht="67.5" hidden="1" customHeight="1">
      <c r="A543" s="349" t="s">
        <v>1139</v>
      </c>
      <c r="B543" s="350"/>
      <c r="C543" s="351" t="s">
        <v>1184</v>
      </c>
      <c r="D543" s="352">
        <v>3540.0</v>
      </c>
      <c r="E543" s="353" t="s">
        <v>95</v>
      </c>
      <c r="F543" s="354" t="s">
        <v>72</v>
      </c>
      <c r="G543" s="355" t="s">
        <v>291</v>
      </c>
      <c r="H543" s="356" t="s">
        <v>31</v>
      </c>
      <c r="I543" s="356" t="s">
        <v>261</v>
      </c>
      <c r="J543" s="452">
        <v>15000.0</v>
      </c>
      <c r="K543" s="358">
        <v>572.0</v>
      </c>
      <c r="L543" s="359">
        <v>46199.0</v>
      </c>
      <c r="M543" s="359">
        <v>46212.0</v>
      </c>
      <c r="N543" s="360"/>
      <c r="O543" s="361" t="s">
        <v>99</v>
      </c>
      <c r="P543" s="362"/>
      <c r="Q543" s="353" t="s">
        <v>35</v>
      </c>
      <c r="R543" s="353" t="s">
        <v>133</v>
      </c>
      <c r="S543" s="361" t="s">
        <v>36</v>
      </c>
      <c r="T543" s="361" t="s">
        <v>36</v>
      </c>
      <c r="U543" s="363" t="s">
        <v>37</v>
      </c>
      <c r="V543" s="430"/>
      <c r="W543" s="357" t="s">
        <v>1185</v>
      </c>
      <c r="X543" s="365" t="s">
        <v>1142</v>
      </c>
      <c r="Y543" s="365" t="s">
        <v>1143</v>
      </c>
      <c r="Z543" s="380" t="s">
        <v>516</v>
      </c>
      <c r="AA543" s="380" t="s">
        <v>1144</v>
      </c>
      <c r="AB543" s="13"/>
      <c r="AC543" s="13"/>
      <c r="AD543" s="13"/>
      <c r="AE543" s="13"/>
      <c r="AF543" s="13"/>
      <c r="AG543" s="13"/>
      <c r="AH543" s="13"/>
      <c r="AI543" s="13"/>
      <c r="AJ543" s="13"/>
      <c r="AK543" s="13"/>
      <c r="AL543" s="13"/>
      <c r="AM543" s="14"/>
      <c r="AN543" s="14"/>
      <c r="AO543" s="14"/>
      <c r="AP543" s="14"/>
      <c r="AQ543" s="14"/>
      <c r="AR543" s="14"/>
      <c r="AS543" s="14"/>
      <c r="AT543" s="14"/>
      <c r="AU543" s="14"/>
      <c r="AV543" s="14"/>
      <c r="AW543" s="14"/>
      <c r="AX543" s="14"/>
      <c r="AY543" s="14"/>
      <c r="AZ543" s="14"/>
      <c r="BA543" s="14"/>
      <c r="BB543" s="14"/>
      <c r="BC543" s="14"/>
      <c r="BD543" s="14"/>
      <c r="BE543" s="14"/>
      <c r="BF543" s="14"/>
      <c r="BG543" s="14"/>
      <c r="BH543" s="14"/>
      <c r="BI543" s="14"/>
      <c r="BJ543" s="14"/>
      <c r="BK543" s="14"/>
      <c r="BL543" s="14"/>
      <c r="BM543" s="14"/>
      <c r="BN543" s="14"/>
    </row>
    <row r="544" ht="47.25" hidden="1" customHeight="1">
      <c r="A544" s="349" t="s">
        <v>1139</v>
      </c>
      <c r="B544" s="350"/>
      <c r="C544" s="351" t="s">
        <v>538</v>
      </c>
      <c r="D544" s="352">
        <v>3541.0</v>
      </c>
      <c r="E544" s="353" t="s">
        <v>95</v>
      </c>
      <c r="F544" s="354" t="s">
        <v>72</v>
      </c>
      <c r="G544" s="355" t="s">
        <v>291</v>
      </c>
      <c r="H544" s="356" t="s">
        <v>31</v>
      </c>
      <c r="I544" s="356" t="s">
        <v>261</v>
      </c>
      <c r="J544" s="452">
        <v>10000.0</v>
      </c>
      <c r="K544" s="358">
        <v>370.0</v>
      </c>
      <c r="L544" s="359">
        <v>46199.0</v>
      </c>
      <c r="M544" s="359">
        <v>46212.0</v>
      </c>
      <c r="N544" s="360"/>
      <c r="O544" s="361" t="s">
        <v>99</v>
      </c>
      <c r="P544" s="362"/>
      <c r="Q544" s="353" t="s">
        <v>35</v>
      </c>
      <c r="R544" s="353" t="s">
        <v>133</v>
      </c>
      <c r="S544" s="361" t="s">
        <v>36</v>
      </c>
      <c r="T544" s="361" t="s">
        <v>36</v>
      </c>
      <c r="U544" s="363" t="s">
        <v>37</v>
      </c>
      <c r="V544" s="430"/>
      <c r="W544" s="357" t="s">
        <v>1186</v>
      </c>
      <c r="X544" s="365" t="s">
        <v>1142</v>
      </c>
      <c r="Y544" s="365" t="s">
        <v>1143</v>
      </c>
      <c r="Z544" s="380" t="s">
        <v>516</v>
      </c>
      <c r="AA544" s="380" t="s">
        <v>1144</v>
      </c>
      <c r="AB544" s="13"/>
      <c r="AC544" s="13"/>
      <c r="AD544" s="13"/>
      <c r="AE544" s="13"/>
      <c r="AF544" s="13"/>
      <c r="AG544" s="13"/>
      <c r="AH544" s="13"/>
      <c r="AI544" s="13"/>
      <c r="AJ544" s="13"/>
      <c r="AK544" s="13"/>
      <c r="AL544" s="13"/>
      <c r="AM544" s="14"/>
      <c r="AN544" s="14"/>
      <c r="AO544" s="14"/>
      <c r="AP544" s="14"/>
      <c r="AQ544" s="14"/>
      <c r="AR544" s="14"/>
      <c r="AS544" s="14"/>
      <c r="AT544" s="14"/>
      <c r="AU544" s="14"/>
      <c r="AV544" s="14"/>
      <c r="AW544" s="14"/>
      <c r="AX544" s="14"/>
      <c r="AY544" s="14"/>
      <c r="AZ544" s="14"/>
      <c r="BA544" s="14"/>
      <c r="BB544" s="14"/>
      <c r="BC544" s="14"/>
      <c r="BD544" s="14"/>
      <c r="BE544" s="14"/>
      <c r="BF544" s="14"/>
      <c r="BG544" s="14"/>
      <c r="BH544" s="14"/>
      <c r="BI544" s="14"/>
      <c r="BJ544" s="14"/>
      <c r="BK544" s="14"/>
      <c r="BL544" s="14"/>
      <c r="BM544" s="14"/>
      <c r="BN544" s="14"/>
    </row>
    <row r="545" ht="55.5" hidden="1" customHeight="1">
      <c r="A545" s="349" t="s">
        <v>1139</v>
      </c>
      <c r="B545" s="350"/>
      <c r="C545" s="351" t="s">
        <v>285</v>
      </c>
      <c r="D545" s="352">
        <v>3542.0</v>
      </c>
      <c r="E545" s="353" t="s">
        <v>95</v>
      </c>
      <c r="F545" s="354" t="s">
        <v>72</v>
      </c>
      <c r="G545" s="355" t="s">
        <v>286</v>
      </c>
      <c r="H545" s="356" t="s">
        <v>31</v>
      </c>
      <c r="I545" s="356" t="s">
        <v>261</v>
      </c>
      <c r="J545" s="452">
        <v>45000.0</v>
      </c>
      <c r="K545" s="358">
        <v>11409.0</v>
      </c>
      <c r="L545" s="359">
        <v>46199.0</v>
      </c>
      <c r="M545" s="359">
        <v>46212.0</v>
      </c>
      <c r="N545" s="360"/>
      <c r="O545" s="361" t="s">
        <v>99</v>
      </c>
      <c r="P545" s="362"/>
      <c r="Q545" s="353" t="s">
        <v>35</v>
      </c>
      <c r="R545" s="353" t="s">
        <v>133</v>
      </c>
      <c r="S545" s="361" t="s">
        <v>36</v>
      </c>
      <c r="T545" s="361" t="s">
        <v>36</v>
      </c>
      <c r="U545" s="363" t="s">
        <v>37</v>
      </c>
      <c r="V545" s="430"/>
      <c r="W545" s="357" t="s">
        <v>1187</v>
      </c>
      <c r="X545" s="365" t="s">
        <v>1142</v>
      </c>
      <c r="Y545" s="365" t="s">
        <v>1143</v>
      </c>
      <c r="Z545" s="380" t="s">
        <v>516</v>
      </c>
      <c r="AA545" s="380" t="s">
        <v>1144</v>
      </c>
      <c r="AB545" s="13"/>
      <c r="AC545" s="13"/>
      <c r="AD545" s="13"/>
      <c r="AE545" s="13"/>
      <c r="AF545" s="13"/>
      <c r="AG545" s="13"/>
      <c r="AH545" s="13"/>
      <c r="AI545" s="13"/>
      <c r="AJ545" s="13"/>
      <c r="AK545" s="13"/>
      <c r="AL545" s="13"/>
      <c r="AM545" s="14"/>
      <c r="AN545" s="14"/>
      <c r="AO545" s="14"/>
      <c r="AP545" s="14"/>
      <c r="AQ545" s="14"/>
      <c r="AR545" s="14"/>
      <c r="AS545" s="14"/>
      <c r="AT545" s="14"/>
      <c r="AU545" s="14"/>
      <c r="AV545" s="14"/>
      <c r="AW545" s="14"/>
      <c r="AX545" s="14"/>
      <c r="AY545" s="14"/>
      <c r="AZ545" s="14"/>
      <c r="BA545" s="14"/>
      <c r="BB545" s="14"/>
      <c r="BC545" s="14"/>
      <c r="BD545" s="14"/>
      <c r="BE545" s="14"/>
      <c r="BF545" s="14"/>
      <c r="BG545" s="14"/>
      <c r="BH545" s="14"/>
      <c r="BI545" s="14"/>
      <c r="BJ545" s="14"/>
      <c r="BK545" s="14"/>
      <c r="BL545" s="14"/>
      <c r="BM545" s="14"/>
      <c r="BN545" s="14"/>
    </row>
    <row r="546" ht="46.5" hidden="1" customHeight="1">
      <c r="A546" s="349" t="s">
        <v>1139</v>
      </c>
      <c r="B546" s="350"/>
      <c r="C546" s="351" t="s">
        <v>1188</v>
      </c>
      <c r="D546" s="352">
        <v>3543.0</v>
      </c>
      <c r="E546" s="353" t="s">
        <v>95</v>
      </c>
      <c r="F546" s="354" t="s">
        <v>72</v>
      </c>
      <c r="G546" s="355" t="s">
        <v>1189</v>
      </c>
      <c r="H546" s="356" t="s">
        <v>31</v>
      </c>
      <c r="I546" s="356" t="s">
        <v>261</v>
      </c>
      <c r="J546" s="452">
        <v>10000.0</v>
      </c>
      <c r="K546" s="358">
        <v>557.0</v>
      </c>
      <c r="L546" s="359">
        <v>46199.0</v>
      </c>
      <c r="M546" s="359">
        <v>46212.0</v>
      </c>
      <c r="N546" s="360"/>
      <c r="O546" s="361" t="s">
        <v>99</v>
      </c>
      <c r="P546" s="362"/>
      <c r="Q546" s="353" t="s">
        <v>35</v>
      </c>
      <c r="R546" s="353" t="s">
        <v>133</v>
      </c>
      <c r="S546" s="361" t="s">
        <v>36</v>
      </c>
      <c r="T546" s="361" t="s">
        <v>36</v>
      </c>
      <c r="U546" s="363" t="s">
        <v>37</v>
      </c>
      <c r="V546" s="430"/>
      <c r="W546" s="357" t="s">
        <v>1190</v>
      </c>
      <c r="X546" s="365" t="s">
        <v>1142</v>
      </c>
      <c r="Y546" s="365" t="s">
        <v>1143</v>
      </c>
      <c r="Z546" s="380" t="s">
        <v>516</v>
      </c>
      <c r="AA546" s="380" t="s">
        <v>1144</v>
      </c>
      <c r="AB546" s="13"/>
      <c r="AC546" s="13"/>
      <c r="AD546" s="13"/>
      <c r="AE546" s="13"/>
      <c r="AF546" s="13"/>
      <c r="AG546" s="13"/>
      <c r="AH546" s="13"/>
      <c r="AI546" s="13"/>
      <c r="AJ546" s="13"/>
      <c r="AK546" s="13"/>
      <c r="AL546" s="13"/>
      <c r="AM546" s="14"/>
      <c r="AN546" s="14"/>
      <c r="AO546" s="14"/>
      <c r="AP546" s="14"/>
      <c r="AQ546" s="14"/>
      <c r="AR546" s="14"/>
      <c r="AS546" s="14"/>
      <c r="AT546" s="14"/>
      <c r="AU546" s="14"/>
      <c r="AV546" s="14"/>
      <c r="AW546" s="14"/>
      <c r="AX546" s="14"/>
      <c r="AY546" s="14"/>
      <c r="AZ546" s="14"/>
      <c r="BA546" s="14"/>
      <c r="BB546" s="14"/>
      <c r="BC546" s="14"/>
      <c r="BD546" s="14"/>
      <c r="BE546" s="14"/>
      <c r="BF546" s="14"/>
      <c r="BG546" s="14"/>
      <c r="BH546" s="14"/>
      <c r="BI546" s="14"/>
      <c r="BJ546" s="14"/>
      <c r="BK546" s="14"/>
      <c r="BL546" s="14"/>
      <c r="BM546" s="14"/>
      <c r="BN546" s="14"/>
    </row>
    <row r="547" ht="22.5" hidden="1" customHeight="1">
      <c r="A547" s="349" t="s">
        <v>1191</v>
      </c>
      <c r="B547" s="350"/>
      <c r="C547" s="351" t="s">
        <v>1192</v>
      </c>
      <c r="D547" s="352">
        <v>3546.0</v>
      </c>
      <c r="E547" s="353" t="s">
        <v>1193</v>
      </c>
      <c r="F547" s="354" t="s">
        <v>30</v>
      </c>
      <c r="G547" s="355" t="s">
        <v>203</v>
      </c>
      <c r="H547" s="356" t="s">
        <v>31</v>
      </c>
      <c r="I547" s="356" t="s">
        <v>98</v>
      </c>
      <c r="J547" s="357">
        <v>30000.0</v>
      </c>
      <c r="K547" s="358">
        <v>1839.0</v>
      </c>
      <c r="L547" s="357" t="s">
        <v>1194</v>
      </c>
      <c r="M547" s="359">
        <v>46209.0</v>
      </c>
      <c r="N547" s="360"/>
      <c r="O547" s="361" t="s">
        <v>99</v>
      </c>
      <c r="P547" s="362"/>
      <c r="Q547" s="388" t="s">
        <v>35</v>
      </c>
      <c r="R547" s="388" t="s">
        <v>133</v>
      </c>
      <c r="S547" s="381" t="s">
        <v>35</v>
      </c>
      <c r="T547" s="381" t="s">
        <v>36</v>
      </c>
      <c r="U547" s="374" t="s">
        <v>37</v>
      </c>
      <c r="V547" s="430"/>
      <c r="W547" s="395" t="s">
        <v>1195</v>
      </c>
      <c r="X547" s="451" t="s">
        <v>1196</v>
      </c>
      <c r="Y547" s="365" t="s">
        <v>215</v>
      </c>
      <c r="Z547" s="380" t="s">
        <v>215</v>
      </c>
      <c r="AA547" s="380" t="s">
        <v>215</v>
      </c>
      <c r="AB547" s="13"/>
      <c r="AC547" s="13"/>
      <c r="AD547" s="13"/>
      <c r="AE547" s="13"/>
      <c r="AF547" s="13"/>
      <c r="AG547" s="13"/>
      <c r="AH547" s="13"/>
      <c r="AI547" s="13"/>
      <c r="AJ547" s="13"/>
      <c r="AK547" s="13"/>
      <c r="AL547" s="13"/>
      <c r="AM547" s="14"/>
      <c r="AN547" s="14"/>
      <c r="AO547" s="14"/>
      <c r="AP547" s="14"/>
      <c r="AQ547" s="14"/>
      <c r="AR547" s="14"/>
      <c r="AS547" s="14"/>
      <c r="AT547" s="14"/>
      <c r="AU547" s="14"/>
      <c r="AV547" s="14"/>
      <c r="AW547" s="14"/>
      <c r="AX547" s="14"/>
      <c r="AY547" s="14"/>
      <c r="AZ547" s="14"/>
      <c r="BA547" s="14"/>
      <c r="BB547" s="14"/>
      <c r="BC547" s="14"/>
      <c r="BD547" s="14"/>
      <c r="BE547" s="14"/>
      <c r="BF547" s="14"/>
      <c r="BG547" s="14"/>
      <c r="BH547" s="14"/>
      <c r="BI547" s="14"/>
      <c r="BJ547" s="14"/>
      <c r="BK547" s="14"/>
      <c r="BL547" s="14"/>
      <c r="BM547" s="14"/>
      <c r="BN547" s="14"/>
    </row>
    <row r="548" ht="22.5" hidden="1" customHeight="1">
      <c r="A548" s="349" t="s">
        <v>1191</v>
      </c>
      <c r="B548" s="350"/>
      <c r="C548" s="351" t="s">
        <v>1197</v>
      </c>
      <c r="D548" s="352">
        <v>3547.0</v>
      </c>
      <c r="E548" s="353" t="s">
        <v>1193</v>
      </c>
      <c r="F548" s="354" t="s">
        <v>30</v>
      </c>
      <c r="G548" s="355" t="s">
        <v>203</v>
      </c>
      <c r="H548" s="356" t="s">
        <v>31</v>
      </c>
      <c r="I548" s="356" t="s">
        <v>98</v>
      </c>
      <c r="J548" s="357">
        <v>30000.0</v>
      </c>
      <c r="K548" s="358">
        <v>1839.0</v>
      </c>
      <c r="L548" s="357" t="s">
        <v>1194</v>
      </c>
      <c r="M548" s="359">
        <v>46209.0</v>
      </c>
      <c r="N548" s="360"/>
      <c r="O548" s="361" t="s">
        <v>99</v>
      </c>
      <c r="P548" s="362"/>
      <c r="Q548" s="388" t="s">
        <v>35</v>
      </c>
      <c r="R548" s="388" t="s">
        <v>133</v>
      </c>
      <c r="S548" s="381" t="s">
        <v>35</v>
      </c>
      <c r="T548" s="381" t="s">
        <v>36</v>
      </c>
      <c r="U548" s="374" t="s">
        <v>37</v>
      </c>
      <c r="V548" s="430"/>
      <c r="W548" s="395" t="s">
        <v>1195</v>
      </c>
      <c r="X548" s="451" t="s">
        <v>1196</v>
      </c>
      <c r="Y548" s="365" t="s">
        <v>215</v>
      </c>
      <c r="Z548" s="380" t="s">
        <v>215</v>
      </c>
      <c r="AA548" s="380" t="s">
        <v>215</v>
      </c>
      <c r="AB548" s="13"/>
      <c r="AC548" s="13"/>
      <c r="AD548" s="13"/>
      <c r="AE548" s="13"/>
      <c r="AF548" s="13"/>
      <c r="AG548" s="13"/>
      <c r="AH548" s="13"/>
      <c r="AI548" s="13"/>
      <c r="AJ548" s="13"/>
      <c r="AK548" s="13"/>
      <c r="AL548" s="13"/>
      <c r="AM548" s="14"/>
      <c r="AN548" s="14"/>
      <c r="AO548" s="14"/>
      <c r="AP548" s="14"/>
      <c r="AQ548" s="14"/>
      <c r="AR548" s="14"/>
      <c r="AS548" s="14"/>
      <c r="AT548" s="14"/>
      <c r="AU548" s="14"/>
      <c r="AV548" s="14"/>
      <c r="AW548" s="14"/>
      <c r="AX548" s="14"/>
      <c r="AY548" s="14"/>
      <c r="AZ548" s="14"/>
      <c r="BA548" s="14"/>
      <c r="BB548" s="14"/>
      <c r="BC548" s="14"/>
      <c r="BD548" s="14"/>
      <c r="BE548" s="14"/>
      <c r="BF548" s="14"/>
      <c r="BG548" s="14"/>
      <c r="BH548" s="14"/>
      <c r="BI548" s="14"/>
      <c r="BJ548" s="14"/>
      <c r="BK548" s="14"/>
      <c r="BL548" s="14"/>
      <c r="BM548" s="14"/>
      <c r="BN548" s="14"/>
    </row>
    <row r="549" ht="57.75" hidden="1" customHeight="1">
      <c r="A549" s="349" t="s">
        <v>906</v>
      </c>
      <c r="B549" s="350"/>
      <c r="C549" s="351" t="s">
        <v>1081</v>
      </c>
      <c r="D549" s="352">
        <v>3551.0</v>
      </c>
      <c r="E549" s="353" t="s">
        <v>157</v>
      </c>
      <c r="F549" s="354" t="s">
        <v>72</v>
      </c>
      <c r="G549" s="355" t="s">
        <v>1011</v>
      </c>
      <c r="H549" s="356" t="s">
        <v>31</v>
      </c>
      <c r="I549" s="356" t="s">
        <v>261</v>
      </c>
      <c r="J549" s="357">
        <v>10000.0</v>
      </c>
      <c r="K549" s="358">
        <v>628.0</v>
      </c>
      <c r="L549" s="359">
        <v>46204.0</v>
      </c>
      <c r="M549" s="359">
        <v>46209.0</v>
      </c>
      <c r="N549" s="360"/>
      <c r="O549" s="361" t="s">
        <v>338</v>
      </c>
      <c r="P549" s="362"/>
      <c r="Q549" s="353" t="s">
        <v>35</v>
      </c>
      <c r="R549" s="353" t="s">
        <v>133</v>
      </c>
      <c r="S549" s="361" t="s">
        <v>1008</v>
      </c>
      <c r="T549" s="361" t="s">
        <v>36</v>
      </c>
      <c r="U549" s="363" t="s">
        <v>37</v>
      </c>
      <c r="V549" s="430"/>
      <c r="W549" s="382"/>
      <c r="X549" s="365" t="s">
        <v>1198</v>
      </c>
      <c r="Y549" s="366"/>
      <c r="Z549" s="367"/>
      <c r="AA549" s="367"/>
      <c r="AB549" s="13"/>
      <c r="AC549" s="13"/>
      <c r="AD549" s="13"/>
      <c r="AE549" s="13"/>
      <c r="AF549" s="13"/>
      <c r="AG549" s="13"/>
      <c r="AH549" s="13"/>
      <c r="AI549" s="13"/>
      <c r="AJ549" s="13"/>
      <c r="AK549" s="13"/>
      <c r="AL549" s="13"/>
      <c r="AM549" s="14"/>
      <c r="AN549" s="14"/>
      <c r="AO549" s="14"/>
      <c r="AP549" s="14"/>
      <c r="AQ549" s="14"/>
      <c r="AR549" s="14"/>
      <c r="AS549" s="14"/>
      <c r="AT549" s="14"/>
      <c r="AU549" s="14"/>
      <c r="AV549" s="14"/>
      <c r="AW549" s="14"/>
      <c r="AX549" s="14"/>
      <c r="AY549" s="14"/>
      <c r="AZ549" s="14"/>
      <c r="BA549" s="14"/>
      <c r="BB549" s="14"/>
      <c r="BC549" s="14"/>
      <c r="BD549" s="14"/>
      <c r="BE549" s="14"/>
      <c r="BF549" s="14"/>
      <c r="BG549" s="14"/>
      <c r="BH549" s="14"/>
      <c r="BI549" s="14"/>
      <c r="BJ549" s="14"/>
      <c r="BK549" s="14"/>
      <c r="BL549" s="14"/>
      <c r="BM549" s="14"/>
      <c r="BN549" s="14"/>
    </row>
    <row r="550" ht="22.5" hidden="1" customHeight="1">
      <c r="A550" s="349" t="s">
        <v>1199</v>
      </c>
      <c r="B550" s="350"/>
      <c r="C550" s="351" t="s">
        <v>1200</v>
      </c>
      <c r="D550" s="352">
        <v>3558.0</v>
      </c>
      <c r="E550" s="353" t="s">
        <v>51</v>
      </c>
      <c r="F550" s="354" t="s">
        <v>1201</v>
      </c>
      <c r="G550" s="355" t="s">
        <v>1202</v>
      </c>
      <c r="H550" s="394"/>
      <c r="I550" s="394"/>
      <c r="J550" s="357" t="s">
        <v>1203</v>
      </c>
      <c r="K550" s="358">
        <v>200.0</v>
      </c>
      <c r="L550" s="359">
        <v>46204.0</v>
      </c>
      <c r="M550" s="359">
        <v>46209.0</v>
      </c>
      <c r="N550" s="360"/>
      <c r="O550" s="361" t="s">
        <v>99</v>
      </c>
      <c r="P550" s="362"/>
      <c r="Q550" s="388" t="s">
        <v>35</v>
      </c>
      <c r="R550" s="388" t="s">
        <v>133</v>
      </c>
      <c r="S550" s="381" t="s">
        <v>1008</v>
      </c>
      <c r="T550" s="439"/>
      <c r="U550" s="374" t="s">
        <v>37</v>
      </c>
      <c r="V550" s="430"/>
      <c r="W550" s="395" t="s">
        <v>262</v>
      </c>
      <c r="X550" s="365" t="s">
        <v>1204</v>
      </c>
      <c r="Y550" s="366"/>
      <c r="Z550" s="367"/>
      <c r="AA550" s="367"/>
      <c r="AB550" s="13"/>
      <c r="AC550" s="13"/>
      <c r="AD550" s="13"/>
      <c r="AE550" s="13"/>
      <c r="AF550" s="13"/>
      <c r="AG550" s="13"/>
      <c r="AH550" s="13"/>
      <c r="AI550" s="13"/>
      <c r="AJ550" s="13"/>
      <c r="AK550" s="13"/>
      <c r="AL550" s="13"/>
      <c r="AM550" s="14"/>
      <c r="AN550" s="14"/>
      <c r="AO550" s="14"/>
      <c r="AP550" s="14"/>
      <c r="AQ550" s="14"/>
      <c r="AR550" s="14"/>
      <c r="AS550" s="14"/>
      <c r="AT550" s="14"/>
      <c r="AU550" s="14"/>
      <c r="AV550" s="14"/>
      <c r="AW550" s="14"/>
      <c r="AX550" s="14"/>
      <c r="AY550" s="14"/>
      <c r="AZ550" s="14"/>
      <c r="BA550" s="14"/>
      <c r="BB550" s="14"/>
      <c r="BC550" s="14"/>
      <c r="BD550" s="14"/>
      <c r="BE550" s="14"/>
      <c r="BF550" s="14"/>
      <c r="BG550" s="14"/>
      <c r="BH550" s="14"/>
      <c r="BI550" s="14"/>
      <c r="BJ550" s="14"/>
      <c r="BK550" s="14"/>
      <c r="BL550" s="14"/>
      <c r="BM550" s="14"/>
      <c r="BN550" s="14"/>
    </row>
    <row r="551" ht="22.5" hidden="1" customHeight="1">
      <c r="A551" s="349" t="s">
        <v>1205</v>
      </c>
      <c r="B551" s="350"/>
      <c r="C551" s="351" t="s">
        <v>1206</v>
      </c>
      <c r="D551" s="352">
        <v>3559.0</v>
      </c>
      <c r="E551" s="353" t="s">
        <v>95</v>
      </c>
      <c r="F551" s="354" t="s">
        <v>72</v>
      </c>
      <c r="G551" s="355" t="s">
        <v>529</v>
      </c>
      <c r="H551" s="356" t="s">
        <v>31</v>
      </c>
      <c r="I551" s="356" t="s">
        <v>98</v>
      </c>
      <c r="J551" s="357">
        <v>10000.0</v>
      </c>
      <c r="K551" s="358">
        <v>960.0</v>
      </c>
      <c r="L551" s="359">
        <v>46205.0</v>
      </c>
      <c r="M551" s="359">
        <v>46206.0</v>
      </c>
      <c r="N551" s="360"/>
      <c r="O551" s="361" t="s">
        <v>70</v>
      </c>
      <c r="P551" s="362"/>
      <c r="Q551" s="388" t="s">
        <v>35</v>
      </c>
      <c r="R551" s="388" t="s">
        <v>133</v>
      </c>
      <c r="S551" s="381" t="s">
        <v>36</v>
      </c>
      <c r="T551" s="381" t="s">
        <v>36</v>
      </c>
      <c r="U551" s="374" t="s">
        <v>37</v>
      </c>
      <c r="V551" s="430"/>
      <c r="W551" s="395" t="s">
        <v>1207</v>
      </c>
      <c r="X551" s="365" t="s">
        <v>523</v>
      </c>
      <c r="Y551" s="365" t="s">
        <v>516</v>
      </c>
      <c r="Z551" s="380" t="s">
        <v>516</v>
      </c>
      <c r="AA551" s="367"/>
      <c r="AB551" s="13"/>
      <c r="AC551" s="13"/>
      <c r="AD551" s="13"/>
      <c r="AE551" s="13"/>
      <c r="AF551" s="13"/>
      <c r="AG551" s="13"/>
      <c r="AH551" s="13"/>
      <c r="AI551" s="13"/>
      <c r="AJ551" s="13"/>
      <c r="AK551" s="13"/>
      <c r="AL551" s="13"/>
      <c r="AM551" s="14"/>
      <c r="AN551" s="14"/>
      <c r="AO551" s="14"/>
      <c r="AP551" s="14"/>
      <c r="AQ551" s="14"/>
      <c r="AR551" s="14"/>
      <c r="AS551" s="14"/>
      <c r="AT551" s="14"/>
      <c r="AU551" s="14"/>
      <c r="AV551" s="14"/>
      <c r="AW551" s="14"/>
      <c r="AX551" s="14"/>
      <c r="AY551" s="14"/>
      <c r="AZ551" s="14"/>
      <c r="BA551" s="14"/>
      <c r="BB551" s="14"/>
      <c r="BC551" s="14"/>
      <c r="BD551" s="14"/>
      <c r="BE551" s="14"/>
      <c r="BF551" s="14"/>
      <c r="BG551" s="14"/>
      <c r="BH551" s="14"/>
      <c r="BI551" s="14"/>
      <c r="BJ551" s="14"/>
      <c r="BK551" s="14"/>
      <c r="BL551" s="14"/>
      <c r="BM551" s="14"/>
      <c r="BN551" s="14"/>
    </row>
    <row r="552" ht="22.5" hidden="1" customHeight="1">
      <c r="A552" s="349" t="s">
        <v>803</v>
      </c>
      <c r="B552" s="350"/>
      <c r="C552" s="351" t="s">
        <v>616</v>
      </c>
      <c r="D552" s="352">
        <v>3561.0</v>
      </c>
      <c r="E552" s="369" t="s">
        <v>29</v>
      </c>
      <c r="F552" s="354" t="s">
        <v>68</v>
      </c>
      <c r="G552" s="355" t="s">
        <v>718</v>
      </c>
      <c r="H552" s="370" t="s">
        <v>31</v>
      </c>
      <c r="I552" s="370" t="s">
        <v>132</v>
      </c>
      <c r="J552" s="357">
        <v>20000.0</v>
      </c>
      <c r="K552" s="358">
        <v>1063.0</v>
      </c>
      <c r="L552" s="359">
        <v>46199.0</v>
      </c>
      <c r="M552" s="359">
        <v>46205.0</v>
      </c>
      <c r="N552" s="360"/>
      <c r="O552" s="371" t="s">
        <v>34</v>
      </c>
      <c r="P552" s="362"/>
      <c r="Q552" s="387"/>
      <c r="R552" s="372" t="s">
        <v>133</v>
      </c>
      <c r="S552" s="373" t="s">
        <v>36</v>
      </c>
      <c r="T552" s="373" t="s">
        <v>36</v>
      </c>
      <c r="U552" s="374" t="s">
        <v>37</v>
      </c>
      <c r="V552" s="430"/>
      <c r="W552" s="382"/>
      <c r="X552" s="366"/>
      <c r="Y552" s="366"/>
      <c r="Z552" s="367"/>
      <c r="AA552" s="380" t="s">
        <v>1208</v>
      </c>
      <c r="AB552" s="13"/>
      <c r="AC552" s="13"/>
      <c r="AD552" s="13"/>
      <c r="AE552" s="13"/>
      <c r="AF552" s="13"/>
      <c r="AG552" s="13"/>
      <c r="AH552" s="13"/>
      <c r="AI552" s="13"/>
      <c r="AJ552" s="13"/>
      <c r="AK552" s="13"/>
      <c r="AL552" s="13"/>
      <c r="AM552" s="14"/>
      <c r="AN552" s="14"/>
      <c r="AO552" s="14"/>
      <c r="AP552" s="14"/>
      <c r="AQ552" s="14"/>
      <c r="AR552" s="14"/>
      <c r="AS552" s="14"/>
      <c r="AT552" s="14"/>
      <c r="AU552" s="14"/>
      <c r="AV552" s="14"/>
      <c r="AW552" s="14"/>
      <c r="AX552" s="14"/>
      <c r="AY552" s="14"/>
      <c r="AZ552" s="14"/>
      <c r="BA552" s="14"/>
      <c r="BB552" s="14"/>
      <c r="BC552" s="14"/>
      <c r="BD552" s="14"/>
      <c r="BE552" s="14"/>
      <c r="BF552" s="14"/>
      <c r="BG552" s="14"/>
      <c r="BH552" s="14"/>
      <c r="BI552" s="14"/>
      <c r="BJ552" s="14"/>
      <c r="BK552" s="14"/>
      <c r="BL552" s="14"/>
      <c r="BM552" s="14"/>
      <c r="BN552" s="14"/>
    </row>
    <row r="553" ht="22.5" hidden="1" customHeight="1">
      <c r="A553" s="349" t="s">
        <v>803</v>
      </c>
      <c r="B553" s="350"/>
      <c r="C553" s="351" t="s">
        <v>88</v>
      </c>
      <c r="D553" s="352">
        <v>3575.0</v>
      </c>
      <c r="E553" s="353" t="s">
        <v>29</v>
      </c>
      <c r="F553" s="354" t="s">
        <v>68</v>
      </c>
      <c r="G553" s="355" t="s">
        <v>328</v>
      </c>
      <c r="H553" s="356" t="s">
        <v>31</v>
      </c>
      <c r="I553" s="356" t="s">
        <v>132</v>
      </c>
      <c r="J553" s="357">
        <v>150000.0</v>
      </c>
      <c r="K553" s="358">
        <v>3352.0</v>
      </c>
      <c r="L553" s="359">
        <v>46199.0</v>
      </c>
      <c r="M553" s="359">
        <v>46205.0</v>
      </c>
      <c r="N553" s="360"/>
      <c r="O553" s="361" t="s">
        <v>34</v>
      </c>
      <c r="P553" s="362"/>
      <c r="Q553" s="387"/>
      <c r="R553" s="388" t="s">
        <v>133</v>
      </c>
      <c r="S553" s="381" t="s">
        <v>35</v>
      </c>
      <c r="T553" s="381" t="s">
        <v>36</v>
      </c>
      <c r="U553" s="374" t="s">
        <v>37</v>
      </c>
      <c r="V553" s="430"/>
      <c r="W553" s="395"/>
      <c r="X553" s="366"/>
      <c r="Y553" s="366"/>
      <c r="Z553" s="380"/>
      <c r="AA553" s="367"/>
      <c r="AB553" s="13"/>
      <c r="AC553" s="13"/>
      <c r="AD553" s="13"/>
      <c r="AE553" s="13"/>
      <c r="AF553" s="13"/>
      <c r="AG553" s="13"/>
      <c r="AH553" s="13"/>
      <c r="AI553" s="13"/>
      <c r="AJ553" s="13"/>
      <c r="AK553" s="13"/>
      <c r="AL553" s="13"/>
      <c r="AM553" s="14"/>
      <c r="AN553" s="14"/>
      <c r="AO553" s="14"/>
      <c r="AP553" s="14"/>
      <c r="AQ553" s="14"/>
      <c r="AR553" s="14"/>
      <c r="AS553" s="14"/>
      <c r="AT553" s="14"/>
      <c r="AU553" s="14"/>
      <c r="AV553" s="14"/>
      <c r="AW553" s="14"/>
      <c r="AX553" s="14"/>
      <c r="AY553" s="14"/>
      <c r="AZ553" s="14"/>
      <c r="BA553" s="14"/>
      <c r="BB553" s="14"/>
      <c r="BC553" s="14"/>
      <c r="BD553" s="14"/>
      <c r="BE553" s="14"/>
      <c r="BF553" s="14"/>
      <c r="BG553" s="14"/>
      <c r="BH553" s="14"/>
      <c r="BI553" s="14"/>
      <c r="BJ553" s="14"/>
      <c r="BK553" s="14"/>
      <c r="BL553" s="14"/>
      <c r="BM553" s="14"/>
      <c r="BN553" s="14"/>
    </row>
    <row r="554" ht="22.5" hidden="1" customHeight="1">
      <c r="A554" s="349" t="s">
        <v>803</v>
      </c>
      <c r="B554" s="350"/>
      <c r="C554" s="351" t="s">
        <v>1209</v>
      </c>
      <c r="D554" s="352">
        <v>3576.0</v>
      </c>
      <c r="E554" s="353" t="s">
        <v>29</v>
      </c>
      <c r="F554" s="354" t="s">
        <v>68</v>
      </c>
      <c r="G554" s="355" t="s">
        <v>328</v>
      </c>
      <c r="H554" s="356" t="s">
        <v>31</v>
      </c>
      <c r="I554" s="356" t="s">
        <v>132</v>
      </c>
      <c r="J554" s="357">
        <v>150000.0</v>
      </c>
      <c r="K554" s="358">
        <v>3352.0</v>
      </c>
      <c r="L554" s="359">
        <v>46199.0</v>
      </c>
      <c r="M554" s="359">
        <v>46205.0</v>
      </c>
      <c r="N554" s="360"/>
      <c r="O554" s="361" t="s">
        <v>34</v>
      </c>
      <c r="P554" s="362"/>
      <c r="Q554" s="387"/>
      <c r="R554" s="388" t="s">
        <v>133</v>
      </c>
      <c r="S554" s="381" t="s">
        <v>35</v>
      </c>
      <c r="T554" s="381" t="s">
        <v>36</v>
      </c>
      <c r="U554" s="374" t="s">
        <v>37</v>
      </c>
      <c r="V554" s="430"/>
      <c r="W554" s="395"/>
      <c r="X554" s="366"/>
      <c r="Y554" s="366"/>
      <c r="Z554" s="380"/>
      <c r="AA554" s="367"/>
      <c r="AB554" s="13"/>
      <c r="AC554" s="13"/>
      <c r="AD554" s="13"/>
      <c r="AE554" s="13"/>
      <c r="AF554" s="13"/>
      <c r="AG554" s="13"/>
      <c r="AH554" s="13"/>
      <c r="AI554" s="13"/>
      <c r="AJ554" s="13"/>
      <c r="AK554" s="13"/>
      <c r="AL554" s="13"/>
      <c r="AM554" s="14"/>
      <c r="AN554" s="14"/>
      <c r="AO554" s="14"/>
      <c r="AP554" s="14"/>
      <c r="AQ554" s="14"/>
      <c r="AR554" s="14"/>
      <c r="AS554" s="14"/>
      <c r="AT554" s="14"/>
      <c r="AU554" s="14"/>
      <c r="AV554" s="14"/>
      <c r="AW554" s="14"/>
      <c r="AX554" s="14"/>
      <c r="AY554" s="14"/>
      <c r="AZ554" s="14"/>
      <c r="BA554" s="14"/>
      <c r="BB554" s="14"/>
      <c r="BC554" s="14"/>
      <c r="BD554" s="14"/>
      <c r="BE554" s="14"/>
      <c r="BF554" s="14"/>
      <c r="BG554" s="14"/>
      <c r="BH554" s="14"/>
      <c r="BI554" s="14"/>
      <c r="BJ554" s="14"/>
      <c r="BK554" s="14"/>
      <c r="BL554" s="14"/>
      <c r="BM554" s="14"/>
      <c r="BN554" s="14"/>
    </row>
    <row r="555" ht="22.5" hidden="1" customHeight="1">
      <c r="A555" s="349" t="s">
        <v>803</v>
      </c>
      <c r="B555" s="350"/>
      <c r="C555" s="351" t="s">
        <v>1210</v>
      </c>
      <c r="D555" s="352">
        <v>3577.0</v>
      </c>
      <c r="E555" s="353" t="s">
        <v>29</v>
      </c>
      <c r="F555" s="354" t="s">
        <v>30</v>
      </c>
      <c r="G555" s="355" t="s">
        <v>328</v>
      </c>
      <c r="H555" s="356" t="s">
        <v>31</v>
      </c>
      <c r="I555" s="356" t="s">
        <v>132</v>
      </c>
      <c r="J555" s="357">
        <v>60000.0</v>
      </c>
      <c r="K555" s="358">
        <v>1494.0</v>
      </c>
      <c r="L555" s="359">
        <v>46199.0</v>
      </c>
      <c r="M555" s="359">
        <v>46205.0</v>
      </c>
      <c r="N555" s="360"/>
      <c r="O555" s="361" t="s">
        <v>34</v>
      </c>
      <c r="P555" s="362"/>
      <c r="Q555" s="388" t="s">
        <v>35</v>
      </c>
      <c r="R555" s="388" t="s">
        <v>133</v>
      </c>
      <c r="S555" s="381" t="s">
        <v>35</v>
      </c>
      <c r="T555" s="381" t="s">
        <v>36</v>
      </c>
      <c r="U555" s="374" t="s">
        <v>37</v>
      </c>
      <c r="V555" s="430"/>
      <c r="W555" s="395"/>
      <c r="X555" s="366"/>
      <c r="Y555" s="366"/>
      <c r="Z555" s="380"/>
      <c r="AA555" s="367"/>
      <c r="AB555" s="13"/>
      <c r="AC555" s="13"/>
      <c r="AD555" s="13"/>
      <c r="AE555" s="13"/>
      <c r="AF555" s="13"/>
      <c r="AG555" s="13"/>
      <c r="AH555" s="13"/>
      <c r="AI555" s="13"/>
      <c r="AJ555" s="13"/>
      <c r="AK555" s="13"/>
      <c r="AL555" s="13"/>
      <c r="AM555" s="14"/>
      <c r="AN555" s="14"/>
      <c r="AO555" s="14"/>
      <c r="AP555" s="14"/>
      <c r="AQ555" s="14"/>
      <c r="AR555" s="14"/>
      <c r="AS555" s="14"/>
      <c r="AT555" s="14"/>
      <c r="AU555" s="14"/>
      <c r="AV555" s="14"/>
      <c r="AW555" s="14"/>
      <c r="AX555" s="14"/>
      <c r="AY555" s="14"/>
      <c r="AZ555" s="14"/>
      <c r="BA555" s="14"/>
      <c r="BB555" s="14"/>
      <c r="BC555" s="14"/>
      <c r="BD555" s="14"/>
      <c r="BE555" s="14"/>
      <c r="BF555" s="14"/>
      <c r="BG555" s="14"/>
      <c r="BH555" s="14"/>
      <c r="BI555" s="14"/>
      <c r="BJ555" s="14"/>
      <c r="BK555" s="14"/>
      <c r="BL555" s="14"/>
      <c r="BM555" s="14"/>
      <c r="BN555" s="14"/>
    </row>
    <row r="556" ht="22.5" hidden="1" customHeight="1">
      <c r="A556" s="349" t="s">
        <v>744</v>
      </c>
      <c r="B556" s="350"/>
      <c r="C556" s="351" t="s">
        <v>745</v>
      </c>
      <c r="D556" s="352">
        <v>3578.0</v>
      </c>
      <c r="E556" s="353" t="s">
        <v>95</v>
      </c>
      <c r="F556" s="354" t="s">
        <v>72</v>
      </c>
      <c r="G556" s="355" t="s">
        <v>501</v>
      </c>
      <c r="H556" s="394"/>
      <c r="I556" s="394"/>
      <c r="J556" s="357">
        <v>10000.0</v>
      </c>
      <c r="K556" s="407"/>
      <c r="L556" s="359">
        <v>46205.0</v>
      </c>
      <c r="M556" s="359">
        <v>46210.0</v>
      </c>
      <c r="N556" s="360"/>
      <c r="O556" s="361" t="s">
        <v>661</v>
      </c>
      <c r="P556" s="362"/>
      <c r="Q556" s="388" t="s">
        <v>35</v>
      </c>
      <c r="R556" s="388" t="s">
        <v>133</v>
      </c>
      <c r="S556" s="381" t="s">
        <v>36</v>
      </c>
      <c r="T556" s="381" t="s">
        <v>36</v>
      </c>
      <c r="U556" s="374" t="s">
        <v>37</v>
      </c>
      <c r="V556" s="430"/>
      <c r="W556" s="357" t="s">
        <v>1211</v>
      </c>
      <c r="X556" s="365" t="s">
        <v>1212</v>
      </c>
      <c r="Y556" s="366"/>
      <c r="Z556" s="367"/>
      <c r="AA556" s="367"/>
      <c r="AB556" s="13"/>
      <c r="AC556" s="13"/>
      <c r="AD556" s="13"/>
      <c r="AE556" s="13"/>
      <c r="AF556" s="13"/>
      <c r="AG556" s="13"/>
      <c r="AH556" s="13"/>
      <c r="AI556" s="13"/>
      <c r="AJ556" s="13"/>
      <c r="AK556" s="13"/>
      <c r="AL556" s="13"/>
      <c r="AM556" s="14"/>
      <c r="AN556" s="14"/>
      <c r="AO556" s="14"/>
      <c r="AP556" s="14"/>
      <c r="AQ556" s="14"/>
      <c r="AR556" s="14"/>
      <c r="AS556" s="14"/>
      <c r="AT556" s="14"/>
      <c r="AU556" s="14"/>
      <c r="AV556" s="14"/>
      <c r="AW556" s="14"/>
      <c r="AX556" s="14"/>
      <c r="AY556" s="14"/>
      <c r="AZ556" s="14"/>
      <c r="BA556" s="14"/>
      <c r="BB556" s="14"/>
      <c r="BC556" s="14"/>
      <c r="BD556" s="14"/>
      <c r="BE556" s="14"/>
      <c r="BF556" s="14"/>
      <c r="BG556" s="14"/>
      <c r="BH556" s="14"/>
      <c r="BI556" s="14"/>
      <c r="BJ556" s="14"/>
      <c r="BK556" s="14"/>
      <c r="BL556" s="14"/>
      <c r="BM556" s="14"/>
      <c r="BN556" s="14"/>
    </row>
    <row r="557" ht="22.5" hidden="1" customHeight="1">
      <c r="A557" s="349" t="s">
        <v>744</v>
      </c>
      <c r="B557" s="350"/>
      <c r="C557" s="351" t="s">
        <v>1213</v>
      </c>
      <c r="D557" s="352">
        <v>3579.0</v>
      </c>
      <c r="E557" s="353" t="s">
        <v>95</v>
      </c>
      <c r="F557" s="354" t="s">
        <v>72</v>
      </c>
      <c r="G557" s="355" t="s">
        <v>1214</v>
      </c>
      <c r="H557" s="394"/>
      <c r="I557" s="394"/>
      <c r="J557" s="357">
        <v>100000.0</v>
      </c>
      <c r="K557" s="358">
        <v>6000.0</v>
      </c>
      <c r="L557" s="359">
        <v>46205.0</v>
      </c>
      <c r="M557" s="359">
        <v>46210.0</v>
      </c>
      <c r="N557" s="360"/>
      <c r="O557" s="361" t="s">
        <v>338</v>
      </c>
      <c r="P557" s="362"/>
      <c r="Q557" s="388" t="s">
        <v>35</v>
      </c>
      <c r="R557" s="388" t="s">
        <v>133</v>
      </c>
      <c r="S557" s="381" t="s">
        <v>36</v>
      </c>
      <c r="T557" s="381" t="s">
        <v>36</v>
      </c>
      <c r="U557" s="374" t="s">
        <v>37</v>
      </c>
      <c r="V557" s="430"/>
      <c r="W557" s="357" t="s">
        <v>1211</v>
      </c>
      <c r="X557" s="365" t="s">
        <v>1215</v>
      </c>
      <c r="Y557" s="366"/>
      <c r="Z557" s="367"/>
      <c r="AA557" s="367"/>
      <c r="AB557" s="13"/>
      <c r="AC557" s="13"/>
      <c r="AD557" s="13"/>
      <c r="AE557" s="13"/>
      <c r="AF557" s="13"/>
      <c r="AG557" s="13"/>
      <c r="AH557" s="13"/>
      <c r="AI557" s="13"/>
      <c r="AJ557" s="13"/>
      <c r="AK557" s="13"/>
      <c r="AL557" s="13"/>
      <c r="AM557" s="14"/>
      <c r="AN557" s="14"/>
      <c r="AO557" s="14"/>
      <c r="AP557" s="14"/>
      <c r="AQ557" s="14"/>
      <c r="AR557" s="14"/>
      <c r="AS557" s="14"/>
      <c r="AT557" s="14"/>
      <c r="AU557" s="14"/>
      <c r="AV557" s="14"/>
      <c r="AW557" s="14"/>
      <c r="AX557" s="14"/>
      <c r="AY557" s="14"/>
      <c r="AZ557" s="14"/>
      <c r="BA557" s="14"/>
      <c r="BB557" s="14"/>
      <c r="BC557" s="14"/>
      <c r="BD557" s="14"/>
      <c r="BE557" s="14"/>
      <c r="BF557" s="14"/>
      <c r="BG557" s="14"/>
      <c r="BH557" s="14"/>
      <c r="BI557" s="14"/>
      <c r="BJ557" s="14"/>
      <c r="BK557" s="14"/>
      <c r="BL557" s="14"/>
      <c r="BM557" s="14"/>
      <c r="BN557" s="14"/>
    </row>
    <row r="558" ht="22.5" hidden="1" customHeight="1">
      <c r="A558" s="349" t="s">
        <v>744</v>
      </c>
      <c r="B558" s="350"/>
      <c r="C558" s="351" t="s">
        <v>922</v>
      </c>
      <c r="D558" s="352">
        <v>3580.0</v>
      </c>
      <c r="E558" s="353" t="s">
        <v>95</v>
      </c>
      <c r="F558" s="354" t="s">
        <v>72</v>
      </c>
      <c r="G558" s="355" t="s">
        <v>128</v>
      </c>
      <c r="H558" s="394"/>
      <c r="I558" s="394"/>
      <c r="J558" s="357">
        <v>20000.0</v>
      </c>
      <c r="K558" s="358">
        <v>616.0</v>
      </c>
      <c r="L558" s="359">
        <v>46205.0</v>
      </c>
      <c r="M558" s="359">
        <v>46210.0</v>
      </c>
      <c r="N558" s="360"/>
      <c r="O558" s="361" t="s">
        <v>661</v>
      </c>
      <c r="P558" s="362"/>
      <c r="Q558" s="388" t="s">
        <v>35</v>
      </c>
      <c r="R558" s="388" t="s">
        <v>133</v>
      </c>
      <c r="S558" s="381" t="s">
        <v>36</v>
      </c>
      <c r="T558" s="381" t="s">
        <v>36</v>
      </c>
      <c r="U558" s="374" t="s">
        <v>37</v>
      </c>
      <c r="V558" s="430"/>
      <c r="W558" s="357" t="s">
        <v>1211</v>
      </c>
      <c r="X558" s="365" t="s">
        <v>1215</v>
      </c>
      <c r="Y558" s="366"/>
      <c r="Z558" s="367"/>
      <c r="AA558" s="367"/>
      <c r="AB558" s="13"/>
      <c r="AC558" s="13"/>
      <c r="AD558" s="13"/>
      <c r="AE558" s="13"/>
      <c r="AF558" s="13"/>
      <c r="AG558" s="13"/>
      <c r="AH558" s="13"/>
      <c r="AI558" s="13"/>
      <c r="AJ558" s="13"/>
      <c r="AK558" s="13"/>
      <c r="AL558" s="13"/>
      <c r="AM558" s="14"/>
      <c r="AN558" s="14"/>
      <c r="AO558" s="14"/>
      <c r="AP558" s="14"/>
      <c r="AQ558" s="14"/>
      <c r="AR558" s="14"/>
      <c r="AS558" s="14"/>
      <c r="AT558" s="14"/>
      <c r="AU558" s="14"/>
      <c r="AV558" s="14"/>
      <c r="AW558" s="14"/>
      <c r="AX558" s="14"/>
      <c r="AY558" s="14"/>
      <c r="AZ558" s="14"/>
      <c r="BA558" s="14"/>
      <c r="BB558" s="14"/>
      <c r="BC558" s="14"/>
      <c r="BD558" s="14"/>
      <c r="BE558" s="14"/>
      <c r="BF558" s="14"/>
      <c r="BG558" s="14"/>
      <c r="BH558" s="14"/>
      <c r="BI558" s="14"/>
      <c r="BJ558" s="14"/>
      <c r="BK558" s="14"/>
      <c r="BL558" s="14"/>
      <c r="BM558" s="14"/>
      <c r="BN558" s="14"/>
    </row>
    <row r="559" ht="22.5" hidden="1" customHeight="1">
      <c r="A559" s="349" t="s">
        <v>744</v>
      </c>
      <c r="B559" s="350"/>
      <c r="C559" s="351" t="s">
        <v>1216</v>
      </c>
      <c r="D559" s="352">
        <v>3593.0</v>
      </c>
      <c r="E559" s="353" t="s">
        <v>95</v>
      </c>
      <c r="F559" s="354" t="s">
        <v>72</v>
      </c>
      <c r="G559" s="355" t="s">
        <v>501</v>
      </c>
      <c r="H559" s="356" t="s">
        <v>31</v>
      </c>
      <c r="I559" s="356" t="s">
        <v>98</v>
      </c>
      <c r="J559" s="357">
        <v>20000.0</v>
      </c>
      <c r="K559" s="358">
        <v>1572.0</v>
      </c>
      <c r="L559" s="359">
        <v>46205.0</v>
      </c>
      <c r="M559" s="359">
        <v>46210.0</v>
      </c>
      <c r="N559" s="360"/>
      <c r="O559" s="361" t="s">
        <v>661</v>
      </c>
      <c r="P559" s="362"/>
      <c r="Q559" s="388" t="s">
        <v>35</v>
      </c>
      <c r="R559" s="388" t="s">
        <v>133</v>
      </c>
      <c r="S559" s="381" t="s">
        <v>36</v>
      </c>
      <c r="T559" s="381" t="s">
        <v>36</v>
      </c>
      <c r="U559" s="374" t="s">
        <v>37</v>
      </c>
      <c r="V559" s="430"/>
      <c r="W559" s="357" t="s">
        <v>1211</v>
      </c>
      <c r="X559" s="365" t="s">
        <v>1215</v>
      </c>
      <c r="Y559" s="366"/>
      <c r="Z559" s="367"/>
      <c r="AA559" s="367"/>
      <c r="AB559" s="13"/>
      <c r="AC559" s="13"/>
      <c r="AD559" s="13"/>
      <c r="AE559" s="13"/>
      <c r="AF559" s="13"/>
      <c r="AG559" s="13"/>
      <c r="AH559" s="13"/>
      <c r="AI559" s="13"/>
      <c r="AJ559" s="13"/>
      <c r="AK559" s="13"/>
      <c r="AL559" s="13"/>
      <c r="AM559" s="14"/>
      <c r="AN559" s="14"/>
      <c r="AO559" s="14"/>
      <c r="AP559" s="14"/>
      <c r="AQ559" s="14"/>
      <c r="AR559" s="14"/>
      <c r="AS559" s="14"/>
      <c r="AT559" s="14"/>
      <c r="AU559" s="14"/>
      <c r="AV559" s="14"/>
      <c r="AW559" s="14"/>
      <c r="AX559" s="14"/>
      <c r="AY559" s="14"/>
      <c r="AZ559" s="14"/>
      <c r="BA559" s="14"/>
      <c r="BB559" s="14"/>
      <c r="BC559" s="14"/>
      <c r="BD559" s="14"/>
      <c r="BE559" s="14"/>
      <c r="BF559" s="14"/>
      <c r="BG559" s="14"/>
      <c r="BH559" s="14"/>
      <c r="BI559" s="14"/>
      <c r="BJ559" s="14"/>
      <c r="BK559" s="14"/>
      <c r="BL559" s="14"/>
      <c r="BM559" s="14"/>
      <c r="BN559" s="14"/>
    </row>
    <row r="560" ht="22.5" hidden="1" customHeight="1">
      <c r="A560" s="349" t="s">
        <v>803</v>
      </c>
      <c r="B560" s="350"/>
      <c r="C560" s="351" t="s">
        <v>1217</v>
      </c>
      <c r="D560" s="352">
        <v>3613.0</v>
      </c>
      <c r="E560" s="353" t="s">
        <v>29</v>
      </c>
      <c r="F560" s="354" t="s">
        <v>30</v>
      </c>
      <c r="G560" s="355" t="s">
        <v>234</v>
      </c>
      <c r="H560" s="356" t="s">
        <v>31</v>
      </c>
      <c r="I560" s="356" t="s">
        <v>132</v>
      </c>
      <c r="J560" s="357">
        <v>10000.0</v>
      </c>
      <c r="K560" s="358">
        <v>1156.0</v>
      </c>
      <c r="L560" s="359">
        <v>46199.0</v>
      </c>
      <c r="M560" s="359">
        <v>46205.0</v>
      </c>
      <c r="N560" s="360"/>
      <c r="O560" s="361" t="s">
        <v>34</v>
      </c>
      <c r="P560" s="362"/>
      <c r="Q560" s="387"/>
      <c r="R560" s="388" t="s">
        <v>133</v>
      </c>
      <c r="S560" s="381" t="s">
        <v>35</v>
      </c>
      <c r="T560" s="381" t="s">
        <v>36</v>
      </c>
      <c r="U560" s="374" t="s">
        <v>37</v>
      </c>
      <c r="V560" s="430"/>
      <c r="W560" s="395"/>
      <c r="X560" s="366"/>
      <c r="Y560" s="366"/>
      <c r="Z560" s="367"/>
      <c r="AA560" s="380" t="s">
        <v>1208</v>
      </c>
      <c r="AB560" s="13"/>
      <c r="AC560" s="13"/>
      <c r="AD560" s="13"/>
      <c r="AE560" s="13"/>
      <c r="AF560" s="13"/>
      <c r="AG560" s="13"/>
      <c r="AH560" s="13"/>
      <c r="AI560" s="13"/>
      <c r="AJ560" s="13"/>
      <c r="AK560" s="13"/>
      <c r="AL560" s="13"/>
      <c r="AM560" s="14"/>
      <c r="AN560" s="14"/>
      <c r="AO560" s="14"/>
      <c r="AP560" s="14"/>
      <c r="AQ560" s="14"/>
      <c r="AR560" s="14"/>
      <c r="AS560" s="14"/>
      <c r="AT560" s="14"/>
      <c r="AU560" s="14"/>
      <c r="AV560" s="14"/>
      <c r="AW560" s="14"/>
      <c r="AX560" s="14"/>
      <c r="AY560" s="14"/>
      <c r="AZ560" s="14"/>
      <c r="BA560" s="14"/>
      <c r="BB560" s="14"/>
      <c r="BC560" s="14"/>
      <c r="BD560" s="14"/>
      <c r="BE560" s="14"/>
      <c r="BF560" s="14"/>
      <c r="BG560" s="14"/>
      <c r="BH560" s="14"/>
      <c r="BI560" s="14"/>
      <c r="BJ560" s="14"/>
      <c r="BK560" s="14"/>
      <c r="BL560" s="14"/>
      <c r="BM560" s="14"/>
      <c r="BN560" s="14"/>
    </row>
    <row r="561" ht="22.5" hidden="1" customHeight="1">
      <c r="A561" s="349" t="s">
        <v>1087</v>
      </c>
      <c r="B561" s="350"/>
      <c r="C561" s="351" t="s">
        <v>1218</v>
      </c>
      <c r="D561" s="352" t="s">
        <v>1219</v>
      </c>
      <c r="E561" s="353" t="s">
        <v>157</v>
      </c>
      <c r="F561" s="354" t="s">
        <v>30</v>
      </c>
      <c r="G561" s="355" t="s">
        <v>1220</v>
      </c>
      <c r="H561" s="356" t="s">
        <v>31</v>
      </c>
      <c r="I561" s="356" t="s">
        <v>98</v>
      </c>
      <c r="J561" s="357" t="s">
        <v>1221</v>
      </c>
      <c r="K561" s="358">
        <v>1500.0</v>
      </c>
      <c r="L561" s="359">
        <v>46198.0</v>
      </c>
      <c r="M561" s="359">
        <v>46204.0</v>
      </c>
      <c r="N561" s="360"/>
      <c r="O561" s="361" t="s">
        <v>34</v>
      </c>
      <c r="P561" s="362"/>
      <c r="Q561" s="353" t="s">
        <v>144</v>
      </c>
      <c r="R561" s="353" t="s">
        <v>133</v>
      </c>
      <c r="S561" s="361" t="s">
        <v>35</v>
      </c>
      <c r="T561" s="361" t="s">
        <v>35</v>
      </c>
      <c r="U561" s="363" t="s">
        <v>37</v>
      </c>
      <c r="V561" s="430"/>
      <c r="W561" s="382"/>
      <c r="X561" s="357" t="s">
        <v>1089</v>
      </c>
      <c r="Y561" s="366"/>
      <c r="Z561" s="367"/>
      <c r="AA561" s="367"/>
      <c r="AB561" s="13"/>
      <c r="AC561" s="13"/>
      <c r="AD561" s="13"/>
      <c r="AE561" s="13"/>
      <c r="AF561" s="13"/>
      <c r="AG561" s="13"/>
      <c r="AH561" s="13"/>
      <c r="AI561" s="13"/>
      <c r="AJ561" s="13"/>
      <c r="AK561" s="13"/>
      <c r="AL561" s="13"/>
      <c r="AM561" s="14"/>
      <c r="AN561" s="14"/>
      <c r="AO561" s="14"/>
      <c r="AP561" s="14"/>
      <c r="AQ561" s="14"/>
      <c r="AR561" s="14"/>
      <c r="AS561" s="14"/>
      <c r="AT561" s="14"/>
      <c r="AU561" s="14"/>
      <c r="AV561" s="14"/>
      <c r="AW561" s="14"/>
      <c r="AX561" s="14"/>
      <c r="AY561" s="14"/>
      <c r="AZ561" s="14"/>
      <c r="BA561" s="14"/>
      <c r="BB561" s="14"/>
      <c r="BC561" s="14"/>
      <c r="BD561" s="14"/>
      <c r="BE561" s="14"/>
      <c r="BF561" s="14"/>
      <c r="BG561" s="14"/>
      <c r="BH561" s="14"/>
      <c r="BI561" s="14"/>
      <c r="BJ561" s="14"/>
      <c r="BK561" s="14"/>
      <c r="BL561" s="14"/>
      <c r="BM561" s="14"/>
      <c r="BN561" s="14"/>
    </row>
    <row r="562" ht="22.5" hidden="1" customHeight="1">
      <c r="A562" s="349" t="s">
        <v>803</v>
      </c>
      <c r="B562" s="350"/>
      <c r="C562" s="351" t="s">
        <v>1222</v>
      </c>
      <c r="D562" s="352">
        <v>3614.0</v>
      </c>
      <c r="E562" s="353" t="s">
        <v>29</v>
      </c>
      <c r="F562" s="354" t="s">
        <v>30</v>
      </c>
      <c r="G562" s="355" t="s">
        <v>718</v>
      </c>
      <c r="H562" s="356" t="s">
        <v>31</v>
      </c>
      <c r="I562" s="356" t="s">
        <v>132</v>
      </c>
      <c r="J562" s="357">
        <v>10000.0</v>
      </c>
      <c r="K562" s="358">
        <v>689.0</v>
      </c>
      <c r="L562" s="359">
        <v>46199.0</v>
      </c>
      <c r="M562" s="359">
        <v>46205.0</v>
      </c>
      <c r="N562" s="360"/>
      <c r="O562" s="361" t="s">
        <v>34</v>
      </c>
      <c r="P562" s="362"/>
      <c r="Q562" s="387"/>
      <c r="R562" s="388" t="s">
        <v>133</v>
      </c>
      <c r="S562" s="381" t="s">
        <v>35</v>
      </c>
      <c r="T562" s="381" t="s">
        <v>36</v>
      </c>
      <c r="U562" s="374" t="s">
        <v>37</v>
      </c>
      <c r="V562" s="430"/>
      <c r="W562" s="382"/>
      <c r="X562" s="366"/>
      <c r="Y562" s="366"/>
      <c r="Z562" s="367"/>
      <c r="AA562" s="380" t="s">
        <v>1208</v>
      </c>
      <c r="AB562" s="13"/>
      <c r="AC562" s="13"/>
      <c r="AD562" s="13"/>
      <c r="AE562" s="13"/>
      <c r="AF562" s="13"/>
      <c r="AG562" s="13"/>
      <c r="AH562" s="13"/>
      <c r="AI562" s="13"/>
      <c r="AJ562" s="13"/>
      <c r="AK562" s="13"/>
      <c r="AL562" s="13"/>
      <c r="AM562" s="14"/>
      <c r="AN562" s="14"/>
      <c r="AO562" s="14"/>
      <c r="AP562" s="14"/>
      <c r="AQ562" s="14"/>
      <c r="AR562" s="14"/>
      <c r="AS562" s="14"/>
      <c r="AT562" s="14"/>
      <c r="AU562" s="14"/>
      <c r="AV562" s="14"/>
      <c r="AW562" s="14"/>
      <c r="AX562" s="14"/>
      <c r="AY562" s="14"/>
      <c r="AZ562" s="14"/>
      <c r="BA562" s="14"/>
      <c r="BB562" s="14"/>
      <c r="BC562" s="14"/>
      <c r="BD562" s="14"/>
      <c r="BE562" s="14"/>
      <c r="BF562" s="14"/>
      <c r="BG562" s="14"/>
      <c r="BH562" s="14"/>
      <c r="BI562" s="14"/>
      <c r="BJ562" s="14"/>
      <c r="BK562" s="14"/>
      <c r="BL562" s="14"/>
      <c r="BM562" s="14"/>
      <c r="BN562" s="14"/>
    </row>
    <row r="563" ht="22.5" hidden="1" customHeight="1">
      <c r="A563" s="349" t="s">
        <v>803</v>
      </c>
      <c r="B563" s="350"/>
      <c r="C563" s="351" t="s">
        <v>1223</v>
      </c>
      <c r="D563" s="352">
        <v>3663.0</v>
      </c>
      <c r="E563" s="353" t="s">
        <v>29</v>
      </c>
      <c r="F563" s="354" t="s">
        <v>30</v>
      </c>
      <c r="G563" s="355" t="s">
        <v>718</v>
      </c>
      <c r="H563" s="356" t="s">
        <v>31</v>
      </c>
      <c r="I563" s="356" t="s">
        <v>132</v>
      </c>
      <c r="J563" s="357">
        <v>20000.0</v>
      </c>
      <c r="K563" s="358">
        <v>1063.0</v>
      </c>
      <c r="L563" s="359">
        <v>46199.0</v>
      </c>
      <c r="M563" s="359">
        <v>46205.0</v>
      </c>
      <c r="N563" s="360"/>
      <c r="O563" s="361" t="s">
        <v>34</v>
      </c>
      <c r="P563" s="362"/>
      <c r="Q563" s="387"/>
      <c r="R563" s="388" t="s">
        <v>133</v>
      </c>
      <c r="S563" s="381" t="s">
        <v>35</v>
      </c>
      <c r="T563" s="381" t="s">
        <v>36</v>
      </c>
      <c r="U563" s="374" t="s">
        <v>37</v>
      </c>
      <c r="V563" s="430"/>
      <c r="W563" s="382"/>
      <c r="X563" s="366"/>
      <c r="Y563" s="366"/>
      <c r="Z563" s="367"/>
      <c r="AA563" s="380" t="s">
        <v>1224</v>
      </c>
      <c r="AB563" s="13"/>
      <c r="AC563" s="13"/>
      <c r="AD563" s="13"/>
      <c r="AE563" s="13"/>
      <c r="AF563" s="13"/>
      <c r="AG563" s="13"/>
      <c r="AH563" s="13"/>
      <c r="AI563" s="13"/>
      <c r="AJ563" s="13"/>
      <c r="AK563" s="13"/>
      <c r="AL563" s="13"/>
      <c r="AM563" s="14"/>
      <c r="AN563" s="14"/>
      <c r="AO563" s="14"/>
      <c r="AP563" s="14"/>
      <c r="AQ563" s="14"/>
      <c r="AR563" s="14"/>
      <c r="AS563" s="14"/>
      <c r="AT563" s="14"/>
      <c r="AU563" s="14"/>
      <c r="AV563" s="14"/>
      <c r="AW563" s="14"/>
      <c r="AX563" s="14"/>
      <c r="AY563" s="14"/>
      <c r="AZ563" s="14"/>
      <c r="BA563" s="14"/>
      <c r="BB563" s="14"/>
      <c r="BC563" s="14"/>
      <c r="BD563" s="14"/>
      <c r="BE563" s="14"/>
      <c r="BF563" s="14"/>
      <c r="BG563" s="14"/>
      <c r="BH563" s="14"/>
      <c r="BI563" s="14"/>
      <c r="BJ563" s="14"/>
      <c r="BK563" s="14"/>
      <c r="BL563" s="14"/>
      <c r="BM563" s="14"/>
      <c r="BN563" s="14"/>
    </row>
    <row r="564" ht="22.5" hidden="1" customHeight="1">
      <c r="A564" s="349" t="s">
        <v>803</v>
      </c>
      <c r="B564" s="350"/>
      <c r="C564" s="351" t="s">
        <v>1225</v>
      </c>
      <c r="D564" s="352">
        <v>3664.0</v>
      </c>
      <c r="E564" s="353" t="s">
        <v>29</v>
      </c>
      <c r="F564" s="354" t="s">
        <v>30</v>
      </c>
      <c r="G564" s="355" t="s">
        <v>718</v>
      </c>
      <c r="H564" s="356" t="s">
        <v>31</v>
      </c>
      <c r="I564" s="356" t="s">
        <v>132</v>
      </c>
      <c r="J564" s="357">
        <v>20000.0</v>
      </c>
      <c r="K564" s="358">
        <v>1113.0</v>
      </c>
      <c r="L564" s="359">
        <v>46199.0</v>
      </c>
      <c r="M564" s="359">
        <v>46205.0</v>
      </c>
      <c r="N564" s="360"/>
      <c r="O564" s="361" t="s">
        <v>34</v>
      </c>
      <c r="P564" s="362"/>
      <c r="Q564" s="387"/>
      <c r="R564" s="388" t="s">
        <v>133</v>
      </c>
      <c r="S564" s="381" t="s">
        <v>35</v>
      </c>
      <c r="T564" s="381" t="s">
        <v>36</v>
      </c>
      <c r="U564" s="374" t="s">
        <v>37</v>
      </c>
      <c r="V564" s="430"/>
      <c r="W564" s="382"/>
      <c r="X564" s="366"/>
      <c r="Y564" s="366"/>
      <c r="Z564" s="367"/>
      <c r="AA564" s="380" t="s">
        <v>1224</v>
      </c>
      <c r="AB564" s="13"/>
      <c r="AC564" s="13"/>
      <c r="AD564" s="13"/>
      <c r="AE564" s="13"/>
      <c r="AF564" s="13"/>
      <c r="AG564" s="13"/>
      <c r="AH564" s="13"/>
      <c r="AI564" s="13"/>
      <c r="AJ564" s="13"/>
      <c r="AK564" s="13"/>
      <c r="AL564" s="13"/>
      <c r="AM564" s="14"/>
      <c r="AN564" s="14"/>
      <c r="AO564" s="14"/>
      <c r="AP564" s="14"/>
      <c r="AQ564" s="14"/>
      <c r="AR564" s="14"/>
      <c r="AS564" s="14"/>
      <c r="AT564" s="14"/>
      <c r="AU564" s="14"/>
      <c r="AV564" s="14"/>
      <c r="AW564" s="14"/>
      <c r="AX564" s="14"/>
      <c r="AY564" s="14"/>
      <c r="AZ564" s="14"/>
      <c r="BA564" s="14"/>
      <c r="BB564" s="14"/>
      <c r="BC564" s="14"/>
      <c r="BD564" s="14"/>
      <c r="BE564" s="14"/>
      <c r="BF564" s="14"/>
      <c r="BG564" s="14"/>
      <c r="BH564" s="14"/>
      <c r="BI564" s="14"/>
      <c r="BJ564" s="14"/>
      <c r="BK564" s="14"/>
      <c r="BL564" s="14"/>
      <c r="BM564" s="14"/>
      <c r="BN564" s="14"/>
    </row>
    <row r="565" ht="22.5" customHeight="1">
      <c r="A565" s="454" t="s">
        <v>803</v>
      </c>
      <c r="B565" s="455"/>
      <c r="C565" s="456" t="s">
        <v>1226</v>
      </c>
      <c r="D565" s="457">
        <v>3665.0</v>
      </c>
      <c r="E565" s="458" t="s">
        <v>29</v>
      </c>
      <c r="F565" s="459" t="s">
        <v>30</v>
      </c>
      <c r="G565" s="460" t="s">
        <v>328</v>
      </c>
      <c r="H565" s="461" t="s">
        <v>31</v>
      </c>
      <c r="I565" s="461" t="s">
        <v>132</v>
      </c>
      <c r="J565" s="462">
        <v>10000.0</v>
      </c>
      <c r="K565" s="463">
        <v>561.0</v>
      </c>
      <c r="L565" s="464">
        <v>46209.0</v>
      </c>
      <c r="M565" s="464">
        <v>46212.0</v>
      </c>
      <c r="N565" s="465"/>
      <c r="O565" s="466" t="s">
        <v>34</v>
      </c>
      <c r="P565" s="467"/>
      <c r="Q565" s="468" t="s">
        <v>35</v>
      </c>
      <c r="R565" s="468" t="s">
        <v>133</v>
      </c>
      <c r="S565" s="469" t="s">
        <v>43</v>
      </c>
      <c r="T565" s="469" t="s">
        <v>36</v>
      </c>
      <c r="U565" s="470" t="s">
        <v>839</v>
      </c>
      <c r="V565" s="471"/>
      <c r="W565" s="472" t="s">
        <v>1227</v>
      </c>
      <c r="X565" s="473"/>
      <c r="Y565" s="473"/>
      <c r="Z565" s="474"/>
      <c r="AA565" s="474"/>
      <c r="AB565" s="475"/>
      <c r="AC565" s="475"/>
      <c r="AD565" s="475"/>
      <c r="AE565" s="475"/>
      <c r="AF565" s="475"/>
      <c r="AG565" s="475"/>
      <c r="AH565" s="475"/>
      <c r="AI565" s="475"/>
      <c r="AJ565" s="475"/>
      <c r="AK565" s="475"/>
      <c r="AL565" s="475"/>
      <c r="AM565" s="476"/>
      <c r="AN565" s="476"/>
      <c r="AO565" s="476"/>
      <c r="AP565" s="476"/>
      <c r="AQ565" s="476"/>
      <c r="AR565" s="476"/>
      <c r="AS565" s="476"/>
      <c r="AT565" s="476"/>
      <c r="AU565" s="476"/>
      <c r="AV565" s="476"/>
      <c r="AW565" s="476"/>
      <c r="AX565" s="476"/>
      <c r="AY565" s="476"/>
      <c r="AZ565" s="476"/>
      <c r="BA565" s="476"/>
      <c r="BB565" s="476"/>
      <c r="BC565" s="476"/>
      <c r="BD565" s="476"/>
      <c r="BE565" s="476"/>
      <c r="BF565" s="476"/>
      <c r="BG565" s="476"/>
      <c r="BH565" s="476"/>
      <c r="BI565" s="476"/>
      <c r="BJ565" s="476"/>
      <c r="BK565" s="476"/>
      <c r="BL565" s="476"/>
      <c r="BM565" s="476"/>
      <c r="BN565" s="476"/>
    </row>
    <row r="566" ht="22.5" customHeight="1">
      <c r="A566" s="349" t="s">
        <v>906</v>
      </c>
      <c r="B566" s="350"/>
      <c r="C566" s="351" t="s">
        <v>1081</v>
      </c>
      <c r="D566" s="352">
        <v>3677.0</v>
      </c>
      <c r="E566" s="353" t="s">
        <v>157</v>
      </c>
      <c r="F566" s="354" t="s">
        <v>68</v>
      </c>
      <c r="G566" s="355" t="s">
        <v>1011</v>
      </c>
      <c r="H566" s="356" t="s">
        <v>31</v>
      </c>
      <c r="I566" s="356" t="s">
        <v>261</v>
      </c>
      <c r="J566" s="357">
        <v>10000.0</v>
      </c>
      <c r="K566" s="396">
        <v>628.0</v>
      </c>
      <c r="L566" s="359">
        <v>46209.0</v>
      </c>
      <c r="M566" s="359">
        <v>46576.0</v>
      </c>
      <c r="N566" s="360"/>
      <c r="O566" s="361" t="s">
        <v>338</v>
      </c>
      <c r="P566" s="362"/>
      <c r="Q566" s="353" t="s">
        <v>35</v>
      </c>
      <c r="R566" s="353" t="s">
        <v>133</v>
      </c>
      <c r="S566" s="361" t="s">
        <v>1008</v>
      </c>
      <c r="T566" s="361" t="s">
        <v>36</v>
      </c>
      <c r="U566" s="363" t="s">
        <v>37</v>
      </c>
      <c r="V566" s="430"/>
      <c r="W566" s="382"/>
      <c r="X566" s="365" t="s">
        <v>976</v>
      </c>
      <c r="Y566" s="366"/>
      <c r="Z566" s="367"/>
      <c r="AA566" s="367"/>
      <c r="AB566" s="13"/>
      <c r="AC566" s="13"/>
      <c r="AD566" s="13"/>
      <c r="AE566" s="13"/>
      <c r="AF566" s="13"/>
      <c r="AG566" s="13"/>
      <c r="AH566" s="13"/>
      <c r="AI566" s="13"/>
      <c r="AJ566" s="13"/>
      <c r="AK566" s="13"/>
      <c r="AL566" s="13"/>
      <c r="AM566" s="14"/>
      <c r="AN566" s="14"/>
      <c r="AO566" s="14"/>
      <c r="AP566" s="14"/>
      <c r="AQ566" s="14"/>
      <c r="AR566" s="14"/>
      <c r="AS566" s="14"/>
      <c r="AT566" s="14"/>
      <c r="AU566" s="14"/>
      <c r="AV566" s="14"/>
      <c r="AW566" s="14"/>
      <c r="AX566" s="14"/>
      <c r="AY566" s="14"/>
      <c r="AZ566" s="14"/>
      <c r="BA566" s="14"/>
      <c r="BB566" s="14"/>
      <c r="BC566" s="14"/>
      <c r="BD566" s="14"/>
      <c r="BE566" s="14"/>
      <c r="BF566" s="14"/>
      <c r="BG566" s="14"/>
      <c r="BH566" s="14"/>
      <c r="BI566" s="14"/>
      <c r="BJ566" s="14"/>
      <c r="BK566" s="14"/>
      <c r="BL566" s="14"/>
      <c r="BM566" s="14"/>
      <c r="BN566" s="14"/>
    </row>
    <row r="567" ht="22.5" customHeight="1">
      <c r="A567" s="349" t="s">
        <v>906</v>
      </c>
      <c r="B567" s="350"/>
      <c r="C567" s="351" t="s">
        <v>1039</v>
      </c>
      <c r="D567" s="352">
        <v>3678.0</v>
      </c>
      <c r="E567" s="353" t="s">
        <v>157</v>
      </c>
      <c r="F567" s="354" t="s">
        <v>68</v>
      </c>
      <c r="G567" s="355" t="s">
        <v>1040</v>
      </c>
      <c r="H567" s="356" t="s">
        <v>31</v>
      </c>
      <c r="I567" s="356" t="s">
        <v>132</v>
      </c>
      <c r="J567" s="357">
        <v>10000.0</v>
      </c>
      <c r="K567" s="396">
        <v>1050.0</v>
      </c>
      <c r="L567" s="359">
        <v>46209.0</v>
      </c>
      <c r="M567" s="359">
        <v>46576.0</v>
      </c>
      <c r="N567" s="360"/>
      <c r="O567" s="361" t="s">
        <v>338</v>
      </c>
      <c r="P567" s="362"/>
      <c r="Q567" s="353" t="s">
        <v>35</v>
      </c>
      <c r="R567" s="353" t="s">
        <v>133</v>
      </c>
      <c r="S567" s="361" t="s">
        <v>36</v>
      </c>
      <c r="T567" s="361" t="s">
        <v>36</v>
      </c>
      <c r="U567" s="363" t="s">
        <v>37</v>
      </c>
      <c r="V567" s="430"/>
      <c r="W567" s="357" t="s">
        <v>1228</v>
      </c>
      <c r="X567" s="365" t="s">
        <v>976</v>
      </c>
      <c r="Y567" s="366"/>
      <c r="Z567" s="367"/>
      <c r="AA567" s="367"/>
      <c r="AB567" s="13"/>
      <c r="AC567" s="13"/>
      <c r="AD567" s="13"/>
      <c r="AE567" s="13"/>
      <c r="AF567" s="13"/>
      <c r="AG567" s="13"/>
      <c r="AH567" s="13"/>
      <c r="AI567" s="13"/>
      <c r="AJ567" s="13"/>
      <c r="AK567" s="13"/>
      <c r="AL567" s="13"/>
      <c r="AM567" s="14"/>
      <c r="AN567" s="14"/>
      <c r="AO567" s="14"/>
      <c r="AP567" s="14"/>
      <c r="AQ567" s="14"/>
      <c r="AR567" s="14"/>
      <c r="AS567" s="14"/>
      <c r="AT567" s="14"/>
      <c r="AU567" s="14"/>
      <c r="AV567" s="14"/>
      <c r="AW567" s="14"/>
      <c r="AX567" s="14"/>
      <c r="AY567" s="14"/>
      <c r="AZ567" s="14"/>
      <c r="BA567" s="14"/>
      <c r="BB567" s="14"/>
      <c r="BC567" s="14"/>
      <c r="BD567" s="14"/>
      <c r="BE567" s="14"/>
      <c r="BF567" s="14"/>
      <c r="BG567" s="14"/>
      <c r="BH567" s="14"/>
      <c r="BI567" s="14"/>
      <c r="BJ567" s="14"/>
      <c r="BK567" s="14"/>
      <c r="BL567" s="14"/>
      <c r="BM567" s="14"/>
      <c r="BN567" s="14"/>
    </row>
    <row r="568" ht="22.5" customHeight="1">
      <c r="A568" s="349" t="s">
        <v>906</v>
      </c>
      <c r="B568" s="350"/>
      <c r="C568" s="351" t="s">
        <v>1229</v>
      </c>
      <c r="D568" s="352">
        <v>3680.0</v>
      </c>
      <c r="E568" s="353" t="s">
        <v>157</v>
      </c>
      <c r="F568" s="354" t="s">
        <v>68</v>
      </c>
      <c r="G568" s="355" t="s">
        <v>1230</v>
      </c>
      <c r="H568" s="356" t="s">
        <v>31</v>
      </c>
      <c r="I568" s="356" t="s">
        <v>98</v>
      </c>
      <c r="J568" s="357">
        <v>10000.0</v>
      </c>
      <c r="K568" s="396">
        <v>1381.0</v>
      </c>
      <c r="L568" s="359">
        <v>46209.0</v>
      </c>
      <c r="M568" s="359">
        <v>46213.0</v>
      </c>
      <c r="N568" s="360"/>
      <c r="O568" s="361" t="s">
        <v>338</v>
      </c>
      <c r="P568" s="362"/>
      <c r="Q568" s="353" t="s">
        <v>35</v>
      </c>
      <c r="R568" s="353" t="s">
        <v>133</v>
      </c>
      <c r="S568" s="361" t="s">
        <v>36</v>
      </c>
      <c r="T568" s="361" t="s">
        <v>36</v>
      </c>
      <c r="U568" s="363" t="s">
        <v>37</v>
      </c>
      <c r="V568" s="430"/>
      <c r="W568" s="357" t="s">
        <v>1228</v>
      </c>
      <c r="X568" s="365" t="s">
        <v>976</v>
      </c>
      <c r="Y568" s="366"/>
      <c r="Z568" s="367"/>
      <c r="AA568" s="367"/>
      <c r="AB568" s="13"/>
      <c r="AC568" s="13"/>
      <c r="AD568" s="13"/>
      <c r="AE568" s="13"/>
      <c r="AF568" s="13"/>
      <c r="AG568" s="13"/>
      <c r="AH568" s="13"/>
      <c r="AI568" s="13"/>
      <c r="AJ568" s="13"/>
      <c r="AK568" s="13"/>
      <c r="AL568" s="13"/>
      <c r="AM568" s="14"/>
      <c r="AN568" s="14"/>
      <c r="AO568" s="14"/>
      <c r="AP568" s="14"/>
      <c r="AQ568" s="14"/>
      <c r="AR568" s="14"/>
      <c r="AS568" s="14"/>
      <c r="AT568" s="14"/>
      <c r="AU568" s="14"/>
      <c r="AV568" s="14"/>
      <c r="AW568" s="14"/>
      <c r="AX568" s="14"/>
      <c r="AY568" s="14"/>
      <c r="AZ568" s="14"/>
      <c r="BA568" s="14"/>
      <c r="BB568" s="14"/>
      <c r="BC568" s="14"/>
      <c r="BD568" s="14"/>
      <c r="BE568" s="14"/>
      <c r="BF568" s="14"/>
      <c r="BG568" s="14"/>
      <c r="BH568" s="14"/>
      <c r="BI568" s="14"/>
      <c r="BJ568" s="14"/>
      <c r="BK568" s="14"/>
      <c r="BL568" s="14"/>
      <c r="BM568" s="14"/>
      <c r="BN568" s="14"/>
    </row>
    <row r="569" ht="22.5" customHeight="1">
      <c r="A569" s="349" t="s">
        <v>1231</v>
      </c>
      <c r="B569" s="350"/>
      <c r="C569" s="351" t="s">
        <v>1232</v>
      </c>
      <c r="D569" s="352">
        <v>3693.0</v>
      </c>
      <c r="E569" s="353" t="s">
        <v>95</v>
      </c>
      <c r="F569" s="354" t="s">
        <v>72</v>
      </c>
      <c r="G569" s="355" t="s">
        <v>1233</v>
      </c>
      <c r="H569" s="394"/>
      <c r="I569" s="394"/>
      <c r="J569" s="357">
        <v>500000.0</v>
      </c>
      <c r="K569" s="396">
        <v>5672.0</v>
      </c>
      <c r="L569" s="359">
        <v>46210.0</v>
      </c>
      <c r="M569" s="359">
        <v>46213.0</v>
      </c>
      <c r="N569" s="360"/>
      <c r="O569" s="361" t="s">
        <v>99</v>
      </c>
      <c r="P569" s="362"/>
      <c r="Q569" s="353" t="s">
        <v>35</v>
      </c>
      <c r="R569" s="353" t="s">
        <v>133</v>
      </c>
      <c r="S569" s="361" t="s">
        <v>36</v>
      </c>
      <c r="T569" s="361" t="s">
        <v>36</v>
      </c>
      <c r="U569" s="363" t="s">
        <v>37</v>
      </c>
      <c r="V569" s="430"/>
      <c r="W569" s="357" t="s">
        <v>1234</v>
      </c>
      <c r="X569" s="365" t="s">
        <v>1235</v>
      </c>
      <c r="Y569" s="365" t="s">
        <v>516</v>
      </c>
      <c r="Z569" s="380" t="s">
        <v>516</v>
      </c>
      <c r="AA569" s="367"/>
      <c r="AB569" s="13"/>
      <c r="AC569" s="13"/>
      <c r="AD569" s="13"/>
      <c r="AE569" s="13"/>
      <c r="AF569" s="13"/>
      <c r="AG569" s="13"/>
      <c r="AH569" s="13"/>
      <c r="AI569" s="13"/>
      <c r="AJ569" s="13"/>
      <c r="AK569" s="13"/>
      <c r="AL569" s="13"/>
      <c r="AM569" s="14"/>
      <c r="AN569" s="14"/>
      <c r="AO569" s="14"/>
      <c r="AP569" s="14"/>
      <c r="AQ569" s="14"/>
      <c r="AR569" s="14"/>
      <c r="AS569" s="14"/>
      <c r="AT569" s="14"/>
      <c r="AU569" s="14"/>
      <c r="AV569" s="14"/>
      <c r="AW569" s="14"/>
      <c r="AX569" s="14"/>
      <c r="AY569" s="14"/>
      <c r="AZ569" s="14"/>
      <c r="BA569" s="14"/>
      <c r="BB569" s="14"/>
      <c r="BC569" s="14"/>
      <c r="BD569" s="14"/>
      <c r="BE569" s="14"/>
      <c r="BF569" s="14"/>
      <c r="BG569" s="14"/>
      <c r="BH569" s="14"/>
      <c r="BI569" s="14"/>
      <c r="BJ569" s="14"/>
      <c r="BK569" s="14"/>
      <c r="BL569" s="14"/>
      <c r="BM569" s="14"/>
      <c r="BN569" s="14"/>
    </row>
    <row r="570" ht="22.5" customHeight="1">
      <c r="A570" s="349" t="s">
        <v>1001</v>
      </c>
      <c r="B570" s="350"/>
      <c r="C570" s="351" t="s">
        <v>1236</v>
      </c>
      <c r="D570" s="352">
        <v>3694.0</v>
      </c>
      <c r="E570" s="353" t="s">
        <v>157</v>
      </c>
      <c r="F570" s="354" t="s">
        <v>68</v>
      </c>
      <c r="G570" s="355" t="s">
        <v>1004</v>
      </c>
      <c r="H570" s="356" t="s">
        <v>31</v>
      </c>
      <c r="I570" s="394"/>
      <c r="J570" s="357">
        <v>20000.0</v>
      </c>
      <c r="K570" s="396">
        <v>2287.0</v>
      </c>
      <c r="L570" s="359">
        <v>46209.0</v>
      </c>
      <c r="M570" s="359">
        <v>46213.0</v>
      </c>
      <c r="N570" s="360"/>
      <c r="O570" s="361" t="s">
        <v>54</v>
      </c>
      <c r="P570" s="362"/>
      <c r="Q570" s="353" t="s">
        <v>35</v>
      </c>
      <c r="R570" s="353" t="s">
        <v>133</v>
      </c>
      <c r="S570" s="439"/>
      <c r="T570" s="361" t="s">
        <v>36</v>
      </c>
      <c r="U570" s="363" t="s">
        <v>1237</v>
      </c>
      <c r="V570" s="430"/>
      <c r="W570" s="357" t="s">
        <v>1238</v>
      </c>
      <c r="X570" s="365" t="s">
        <v>257</v>
      </c>
      <c r="Y570" s="366"/>
      <c r="Z570" s="367"/>
      <c r="AA570" s="380" t="s">
        <v>516</v>
      </c>
      <c r="AB570" s="13"/>
      <c r="AC570" s="13"/>
      <c r="AD570" s="13"/>
      <c r="AE570" s="13"/>
      <c r="AF570" s="13"/>
      <c r="AG570" s="13"/>
      <c r="AH570" s="13"/>
      <c r="AI570" s="13"/>
      <c r="AJ570" s="13"/>
      <c r="AK570" s="13"/>
      <c r="AL570" s="13"/>
      <c r="AM570" s="14"/>
      <c r="AN570" s="14"/>
      <c r="AO570" s="14"/>
      <c r="AP570" s="14"/>
      <c r="AQ570" s="14"/>
      <c r="AR570" s="14"/>
      <c r="AS570" s="14"/>
      <c r="AT570" s="14"/>
      <c r="AU570" s="14"/>
      <c r="AV570" s="14"/>
      <c r="AW570" s="14"/>
      <c r="AX570" s="14"/>
      <c r="AY570" s="14"/>
      <c r="AZ570" s="14"/>
      <c r="BA570" s="14"/>
      <c r="BB570" s="14"/>
      <c r="BC570" s="14"/>
      <c r="BD570" s="14"/>
      <c r="BE570" s="14"/>
      <c r="BF570" s="14"/>
      <c r="BG570" s="14"/>
      <c r="BH570" s="14"/>
      <c r="BI570" s="14"/>
      <c r="BJ570" s="14"/>
      <c r="BK570" s="14"/>
      <c r="BL570" s="14"/>
      <c r="BM570" s="14"/>
      <c r="BN570" s="14"/>
    </row>
    <row r="571" ht="22.5" customHeight="1">
      <c r="A571" s="349" t="s">
        <v>744</v>
      </c>
      <c r="B571" s="350"/>
      <c r="C571" s="351" t="s">
        <v>1239</v>
      </c>
      <c r="D571" s="352">
        <v>3698.0</v>
      </c>
      <c r="E571" s="353" t="s">
        <v>95</v>
      </c>
      <c r="F571" s="354" t="s">
        <v>72</v>
      </c>
      <c r="G571" s="355" t="s">
        <v>1214</v>
      </c>
      <c r="H571" s="394"/>
      <c r="I571" s="394"/>
      <c r="J571" s="477"/>
      <c r="K571" s="396">
        <v>1758.0</v>
      </c>
      <c r="L571" s="359">
        <v>46210.0</v>
      </c>
      <c r="M571" s="359">
        <v>46213.0</v>
      </c>
      <c r="N571" s="360"/>
      <c r="O571" s="361" t="s">
        <v>338</v>
      </c>
      <c r="P571" s="362"/>
      <c r="Q571" s="353" t="s">
        <v>35</v>
      </c>
      <c r="R571" s="353" t="s">
        <v>133</v>
      </c>
      <c r="S571" s="361" t="s">
        <v>36</v>
      </c>
      <c r="T571" s="361" t="s">
        <v>36</v>
      </c>
      <c r="U571" s="363" t="s">
        <v>37</v>
      </c>
      <c r="V571" s="430"/>
      <c r="W571" s="382"/>
      <c r="X571" s="366"/>
      <c r="Y571" s="366"/>
      <c r="Z571" s="367"/>
      <c r="AA571" s="367"/>
      <c r="AB571" s="13"/>
      <c r="AC571" s="13"/>
      <c r="AD571" s="13"/>
      <c r="AE571" s="13"/>
      <c r="AF571" s="13"/>
      <c r="AG571" s="13"/>
      <c r="AH571" s="13"/>
      <c r="AI571" s="13"/>
      <c r="AJ571" s="13"/>
      <c r="AK571" s="13"/>
      <c r="AL571" s="13"/>
      <c r="AM571" s="14"/>
      <c r="AN571" s="14"/>
      <c r="AO571" s="14"/>
      <c r="AP571" s="14"/>
      <c r="AQ571" s="14"/>
      <c r="AR571" s="14"/>
      <c r="AS571" s="14"/>
      <c r="AT571" s="14"/>
      <c r="AU571" s="14"/>
      <c r="AV571" s="14"/>
      <c r="AW571" s="14"/>
      <c r="AX571" s="14"/>
      <c r="AY571" s="14"/>
      <c r="AZ571" s="14"/>
      <c r="BA571" s="14"/>
      <c r="BB571" s="14"/>
      <c r="BC571" s="14"/>
      <c r="BD571" s="14"/>
      <c r="BE571" s="14"/>
      <c r="BF571" s="14"/>
      <c r="BG571" s="14"/>
      <c r="BH571" s="14"/>
      <c r="BI571" s="14"/>
      <c r="BJ571" s="14"/>
      <c r="BK571" s="14"/>
      <c r="BL571" s="14"/>
      <c r="BM571" s="14"/>
      <c r="BN571" s="14"/>
    </row>
    <row r="572" ht="22.5" hidden="1" customHeight="1">
      <c r="A572" s="349" t="s">
        <v>744</v>
      </c>
      <c r="B572" s="350"/>
      <c r="C572" s="351" t="s">
        <v>1240</v>
      </c>
      <c r="D572" s="352">
        <v>3699.0</v>
      </c>
      <c r="E572" s="353" t="s">
        <v>95</v>
      </c>
      <c r="F572" s="354" t="s">
        <v>30</v>
      </c>
      <c r="G572" s="355" t="s">
        <v>1241</v>
      </c>
      <c r="H572" s="356" t="s">
        <v>31</v>
      </c>
      <c r="I572" s="394"/>
      <c r="J572" s="477"/>
      <c r="K572" s="358">
        <v>578.0</v>
      </c>
      <c r="L572" s="359">
        <v>46210.0</v>
      </c>
      <c r="M572" s="359">
        <v>46213.0</v>
      </c>
      <c r="N572" s="360"/>
      <c r="O572" s="361" t="s">
        <v>661</v>
      </c>
      <c r="P572" s="362"/>
      <c r="Q572" s="353" t="s">
        <v>35</v>
      </c>
      <c r="R572" s="353" t="s">
        <v>133</v>
      </c>
      <c r="S572" s="361" t="s">
        <v>35</v>
      </c>
      <c r="T572" s="361" t="s">
        <v>36</v>
      </c>
      <c r="U572" s="363" t="s">
        <v>37</v>
      </c>
      <c r="V572" s="430"/>
      <c r="W572" s="357" t="s">
        <v>1242</v>
      </c>
      <c r="X572" s="366"/>
      <c r="Y572" s="366"/>
      <c r="Z572" s="367"/>
      <c r="AA572" s="367"/>
      <c r="AB572" s="13"/>
      <c r="AC572" s="13"/>
      <c r="AD572" s="13"/>
      <c r="AE572" s="13"/>
      <c r="AF572" s="13"/>
      <c r="AG572" s="13"/>
      <c r="AH572" s="13"/>
      <c r="AI572" s="13"/>
      <c r="AJ572" s="13"/>
      <c r="AK572" s="13"/>
      <c r="AL572" s="13"/>
      <c r="AM572" s="14"/>
      <c r="AN572" s="14"/>
      <c r="AO572" s="14"/>
      <c r="AP572" s="14"/>
      <c r="AQ572" s="14"/>
      <c r="AR572" s="14"/>
      <c r="AS572" s="14"/>
      <c r="AT572" s="14"/>
      <c r="AU572" s="14"/>
      <c r="AV572" s="14"/>
      <c r="AW572" s="14"/>
      <c r="AX572" s="14"/>
      <c r="AY572" s="14"/>
      <c r="AZ572" s="14"/>
      <c r="BA572" s="14"/>
      <c r="BB572" s="14"/>
      <c r="BC572" s="14"/>
      <c r="BD572" s="14"/>
      <c r="BE572" s="14"/>
      <c r="BF572" s="14"/>
      <c r="BG572" s="14"/>
      <c r="BH572" s="14"/>
      <c r="BI572" s="14"/>
      <c r="BJ572" s="14"/>
      <c r="BK572" s="14"/>
      <c r="BL572" s="14"/>
      <c r="BM572" s="14"/>
      <c r="BN572" s="14"/>
    </row>
    <row r="573" ht="22.5" customHeight="1">
      <c r="A573" s="349" t="s">
        <v>803</v>
      </c>
      <c r="B573" s="350"/>
      <c r="C573" s="351" t="s">
        <v>71</v>
      </c>
      <c r="D573" s="352">
        <v>3705.0</v>
      </c>
      <c r="E573" s="353" t="s">
        <v>29</v>
      </c>
      <c r="F573" s="354" t="s">
        <v>72</v>
      </c>
      <c r="G573" s="355" t="s">
        <v>138</v>
      </c>
      <c r="H573" s="356" t="s">
        <v>31</v>
      </c>
      <c r="I573" s="356" t="s">
        <v>132</v>
      </c>
      <c r="J573" s="357">
        <v>350000.0</v>
      </c>
      <c r="K573" s="396">
        <v>13768.0</v>
      </c>
      <c r="L573" s="359">
        <v>46210.0</v>
      </c>
      <c r="M573" s="359">
        <v>46216.0</v>
      </c>
      <c r="N573" s="360"/>
      <c r="O573" s="361" t="s">
        <v>34</v>
      </c>
      <c r="P573" s="362"/>
      <c r="Q573" s="388" t="s">
        <v>35</v>
      </c>
      <c r="R573" s="388" t="s">
        <v>133</v>
      </c>
      <c r="S573" s="381" t="s">
        <v>36</v>
      </c>
      <c r="T573" s="381" t="s">
        <v>36</v>
      </c>
      <c r="U573" s="374" t="s">
        <v>839</v>
      </c>
      <c r="V573" s="430"/>
      <c r="W573" s="382"/>
      <c r="X573" s="366"/>
      <c r="Y573" s="366"/>
      <c r="Z573" s="367"/>
      <c r="AA573" s="367"/>
      <c r="AB573" s="13"/>
      <c r="AC573" s="13"/>
      <c r="AD573" s="13"/>
      <c r="AE573" s="13"/>
      <c r="AF573" s="13"/>
      <c r="AG573" s="13"/>
      <c r="AH573" s="13"/>
      <c r="AI573" s="13"/>
      <c r="AJ573" s="13"/>
      <c r="AK573" s="13"/>
      <c r="AL573" s="13"/>
      <c r="AM573" s="14"/>
      <c r="AN573" s="14"/>
      <c r="AO573" s="14"/>
      <c r="AP573" s="14"/>
      <c r="AQ573" s="14"/>
      <c r="AR573" s="14"/>
      <c r="AS573" s="14"/>
      <c r="AT573" s="14"/>
      <c r="AU573" s="14"/>
      <c r="AV573" s="14"/>
      <c r="AW573" s="14"/>
      <c r="AX573" s="14"/>
      <c r="AY573" s="14"/>
      <c r="AZ573" s="14"/>
      <c r="BA573" s="14"/>
      <c r="BB573" s="14"/>
      <c r="BC573" s="14"/>
      <c r="BD573" s="14"/>
      <c r="BE573" s="14"/>
      <c r="BF573" s="14"/>
      <c r="BG573" s="14"/>
      <c r="BH573" s="14"/>
      <c r="BI573" s="14"/>
      <c r="BJ573" s="14"/>
      <c r="BK573" s="14"/>
      <c r="BL573" s="14"/>
      <c r="BM573" s="14"/>
      <c r="BN573" s="14"/>
    </row>
    <row r="574" ht="22.5" customHeight="1">
      <c r="A574" s="349" t="s">
        <v>861</v>
      </c>
      <c r="B574" s="350"/>
      <c r="C574" s="389" t="s">
        <v>1243</v>
      </c>
      <c r="D574" s="352">
        <v>3712.0</v>
      </c>
      <c r="E574" s="353" t="s">
        <v>164</v>
      </c>
      <c r="F574" s="354" t="s">
        <v>72</v>
      </c>
      <c r="G574" s="355" t="s">
        <v>963</v>
      </c>
      <c r="H574" s="356" t="s">
        <v>31</v>
      </c>
      <c r="I574" s="394"/>
      <c r="J574" s="357" t="s">
        <v>77</v>
      </c>
      <c r="K574" s="396">
        <v>1163.0</v>
      </c>
      <c r="L574" s="359">
        <v>46210.0</v>
      </c>
      <c r="M574" s="359">
        <v>46217.0</v>
      </c>
      <c r="N574" s="360"/>
      <c r="O574" s="361" t="s">
        <v>99</v>
      </c>
      <c r="P574" s="362"/>
      <c r="Q574" s="388" t="s">
        <v>35</v>
      </c>
      <c r="R574" s="388" t="s">
        <v>133</v>
      </c>
      <c r="S574" s="381" t="s">
        <v>36</v>
      </c>
      <c r="T574" s="381" t="s">
        <v>36</v>
      </c>
      <c r="U574" s="374" t="s">
        <v>1237</v>
      </c>
      <c r="V574" s="430"/>
      <c r="W574" s="382"/>
      <c r="X574" s="366"/>
      <c r="Y574" s="365" t="s">
        <v>516</v>
      </c>
      <c r="Z574" s="380" t="s">
        <v>814</v>
      </c>
      <c r="AA574" s="367"/>
      <c r="AB574" s="13"/>
      <c r="AC574" s="13"/>
      <c r="AD574" s="13"/>
      <c r="AE574" s="13"/>
      <c r="AF574" s="13"/>
      <c r="AG574" s="13"/>
      <c r="AH574" s="13"/>
      <c r="AI574" s="13"/>
      <c r="AJ574" s="13"/>
      <c r="AK574" s="13"/>
      <c r="AL574" s="13"/>
      <c r="AM574" s="14"/>
      <c r="AN574" s="14"/>
      <c r="AO574" s="14"/>
      <c r="AP574" s="14"/>
      <c r="AQ574" s="14"/>
      <c r="AR574" s="14"/>
      <c r="AS574" s="14"/>
      <c r="AT574" s="14"/>
      <c r="AU574" s="14"/>
      <c r="AV574" s="14"/>
      <c r="AW574" s="14"/>
      <c r="AX574" s="14"/>
      <c r="AY574" s="14"/>
      <c r="AZ574" s="14"/>
      <c r="BA574" s="14"/>
      <c r="BB574" s="14"/>
      <c r="BC574" s="14"/>
      <c r="BD574" s="14"/>
      <c r="BE574" s="14"/>
      <c r="BF574" s="14"/>
      <c r="BG574" s="14"/>
      <c r="BH574" s="14"/>
      <c r="BI574" s="14"/>
      <c r="BJ574" s="14"/>
      <c r="BK574" s="14"/>
      <c r="BL574" s="14"/>
      <c r="BM574" s="14"/>
      <c r="BN574" s="14"/>
    </row>
    <row r="575" ht="22.5" customHeight="1">
      <c r="A575" s="349" t="s">
        <v>868</v>
      </c>
      <c r="B575" s="350"/>
      <c r="C575" s="478" t="s">
        <v>1243</v>
      </c>
      <c r="D575" s="352">
        <v>3712.0</v>
      </c>
      <c r="E575" s="353" t="s">
        <v>164</v>
      </c>
      <c r="F575" s="354" t="s">
        <v>72</v>
      </c>
      <c r="G575" s="355" t="s">
        <v>963</v>
      </c>
      <c r="H575" s="356" t="s">
        <v>31</v>
      </c>
      <c r="I575" s="394"/>
      <c r="J575" s="357" t="s">
        <v>197</v>
      </c>
      <c r="K575" s="479"/>
      <c r="L575" s="359">
        <v>46210.0</v>
      </c>
      <c r="M575" s="359">
        <v>46217.0</v>
      </c>
      <c r="N575" s="360"/>
      <c r="O575" s="361" t="s">
        <v>99</v>
      </c>
      <c r="P575" s="362"/>
      <c r="Q575" s="388" t="s">
        <v>35</v>
      </c>
      <c r="R575" s="388" t="s">
        <v>133</v>
      </c>
      <c r="S575" s="381" t="s">
        <v>36</v>
      </c>
      <c r="T575" s="381" t="s">
        <v>36</v>
      </c>
      <c r="U575" s="374" t="s">
        <v>1237</v>
      </c>
      <c r="V575" s="430"/>
      <c r="W575" s="382"/>
      <c r="X575" s="366"/>
      <c r="Y575" s="365" t="s">
        <v>516</v>
      </c>
      <c r="Z575" s="380" t="s">
        <v>814</v>
      </c>
      <c r="AA575" s="367"/>
      <c r="AB575" s="13"/>
      <c r="AC575" s="13"/>
      <c r="AD575" s="13"/>
      <c r="AE575" s="13"/>
      <c r="AF575" s="13"/>
      <c r="AG575" s="13"/>
      <c r="AH575" s="13"/>
      <c r="AI575" s="13"/>
      <c r="AJ575" s="13"/>
      <c r="AK575" s="13"/>
      <c r="AL575" s="13"/>
      <c r="AM575" s="14"/>
      <c r="AN575" s="14"/>
      <c r="AO575" s="14"/>
      <c r="AP575" s="14"/>
      <c r="AQ575" s="14"/>
      <c r="AR575" s="14"/>
      <c r="AS575" s="14"/>
      <c r="AT575" s="14"/>
      <c r="AU575" s="14"/>
      <c r="AV575" s="14"/>
      <c r="AW575" s="14"/>
      <c r="AX575" s="14"/>
      <c r="AY575" s="14"/>
      <c r="AZ575" s="14"/>
      <c r="BA575" s="14"/>
      <c r="BB575" s="14"/>
      <c r="BC575" s="14"/>
      <c r="BD575" s="14"/>
      <c r="BE575" s="14"/>
      <c r="BF575" s="14"/>
      <c r="BG575" s="14"/>
      <c r="BH575" s="14"/>
      <c r="BI575" s="14"/>
      <c r="BJ575" s="14"/>
      <c r="BK575" s="14"/>
      <c r="BL575" s="14"/>
      <c r="BM575" s="14"/>
      <c r="BN575" s="14"/>
    </row>
    <row r="576" ht="22.5" customHeight="1">
      <c r="A576" s="349" t="s">
        <v>938</v>
      </c>
      <c r="B576" s="350"/>
      <c r="C576" s="389" t="s">
        <v>1243</v>
      </c>
      <c r="D576" s="352">
        <v>3712.0</v>
      </c>
      <c r="E576" s="353" t="s">
        <v>164</v>
      </c>
      <c r="F576" s="354" t="s">
        <v>72</v>
      </c>
      <c r="G576" s="355" t="s">
        <v>963</v>
      </c>
      <c r="H576" s="356" t="s">
        <v>31</v>
      </c>
      <c r="I576" s="394"/>
      <c r="J576" s="357" t="s">
        <v>998</v>
      </c>
      <c r="K576" s="479"/>
      <c r="L576" s="359">
        <v>46210.0</v>
      </c>
      <c r="M576" s="359">
        <v>46217.0</v>
      </c>
      <c r="N576" s="360"/>
      <c r="O576" s="361" t="s">
        <v>99</v>
      </c>
      <c r="P576" s="362"/>
      <c r="Q576" s="388" t="s">
        <v>35</v>
      </c>
      <c r="R576" s="388" t="s">
        <v>133</v>
      </c>
      <c r="S576" s="381" t="s">
        <v>36</v>
      </c>
      <c r="T576" s="381" t="s">
        <v>36</v>
      </c>
      <c r="U576" s="374" t="s">
        <v>1237</v>
      </c>
      <c r="V576" s="430"/>
      <c r="W576" s="382"/>
      <c r="X576" s="366"/>
      <c r="Y576" s="365" t="s">
        <v>516</v>
      </c>
      <c r="Z576" s="380" t="s">
        <v>814</v>
      </c>
      <c r="AA576" s="367"/>
      <c r="AB576" s="13"/>
      <c r="AC576" s="13"/>
      <c r="AD576" s="13"/>
      <c r="AE576" s="13"/>
      <c r="AF576" s="13"/>
      <c r="AG576" s="13"/>
      <c r="AH576" s="13"/>
      <c r="AI576" s="13"/>
      <c r="AJ576" s="13"/>
      <c r="AK576" s="13"/>
      <c r="AL576" s="13"/>
      <c r="AM576" s="14"/>
      <c r="AN576" s="14"/>
      <c r="AO576" s="14"/>
      <c r="AP576" s="14"/>
      <c r="AQ576" s="14"/>
      <c r="AR576" s="14"/>
      <c r="AS576" s="14"/>
      <c r="AT576" s="14"/>
      <c r="AU576" s="14"/>
      <c r="AV576" s="14"/>
      <c r="AW576" s="14"/>
      <c r="AX576" s="14"/>
      <c r="AY576" s="14"/>
      <c r="AZ576" s="14"/>
      <c r="BA576" s="14"/>
      <c r="BB576" s="14"/>
      <c r="BC576" s="14"/>
      <c r="BD576" s="14"/>
      <c r="BE576" s="14"/>
      <c r="BF576" s="14"/>
      <c r="BG576" s="14"/>
      <c r="BH576" s="14"/>
      <c r="BI576" s="14"/>
      <c r="BJ576" s="14"/>
      <c r="BK576" s="14"/>
      <c r="BL576" s="14"/>
      <c r="BM576" s="14"/>
      <c r="BN576" s="14"/>
    </row>
    <row r="577" ht="22.5" customHeight="1">
      <c r="A577" s="349" t="s">
        <v>384</v>
      </c>
      <c r="B577" s="350"/>
      <c r="C577" s="351" t="s">
        <v>621</v>
      </c>
      <c r="D577" s="352">
        <v>3713.0</v>
      </c>
      <c r="E577" s="353" t="s">
        <v>157</v>
      </c>
      <c r="F577" s="354" t="s">
        <v>72</v>
      </c>
      <c r="G577" s="355" t="s">
        <v>386</v>
      </c>
      <c r="H577" s="356" t="s">
        <v>31</v>
      </c>
      <c r="I577" s="356" t="s">
        <v>261</v>
      </c>
      <c r="J577" s="357">
        <v>20000.0</v>
      </c>
      <c r="K577" s="396">
        <v>397.0</v>
      </c>
      <c r="L577" s="359">
        <v>46210.0</v>
      </c>
      <c r="M577" s="359">
        <v>46213.0</v>
      </c>
      <c r="N577" s="360"/>
      <c r="O577" s="361" t="s">
        <v>99</v>
      </c>
      <c r="P577" s="362"/>
      <c r="Q577" s="353" t="s">
        <v>35</v>
      </c>
      <c r="R577" s="353" t="s">
        <v>133</v>
      </c>
      <c r="S577" s="361" t="s">
        <v>36</v>
      </c>
      <c r="T577" s="361" t="s">
        <v>36</v>
      </c>
      <c r="U577" s="363" t="s">
        <v>839</v>
      </c>
      <c r="V577" s="430"/>
      <c r="W577" s="382"/>
      <c r="X577" s="365" t="s">
        <v>1244</v>
      </c>
      <c r="Y577" s="366"/>
      <c r="Z577" s="367"/>
      <c r="AA577" s="367"/>
      <c r="AB577" s="13"/>
      <c r="AC577" s="13"/>
      <c r="AD577" s="13"/>
      <c r="AE577" s="13"/>
      <c r="AF577" s="13"/>
      <c r="AG577" s="13"/>
      <c r="AH577" s="13"/>
      <c r="AI577" s="13"/>
      <c r="AJ577" s="13"/>
      <c r="AK577" s="13"/>
      <c r="AL577" s="13"/>
      <c r="AM577" s="14"/>
      <c r="AN577" s="14"/>
      <c r="AO577" s="14"/>
      <c r="AP577" s="14"/>
      <c r="AQ577" s="14"/>
      <c r="AR577" s="14"/>
      <c r="AS577" s="14"/>
      <c r="AT577" s="14"/>
      <c r="AU577" s="14"/>
      <c r="AV577" s="14"/>
      <c r="AW577" s="14"/>
      <c r="AX577" s="14"/>
      <c r="AY577" s="14"/>
      <c r="AZ577" s="14"/>
      <c r="BA577" s="14"/>
      <c r="BB577" s="14"/>
      <c r="BC577" s="14"/>
      <c r="BD577" s="14"/>
      <c r="BE577" s="14"/>
      <c r="BF577" s="14"/>
      <c r="BG577" s="14"/>
      <c r="BH577" s="14"/>
      <c r="BI577" s="14"/>
      <c r="BJ577" s="14"/>
      <c r="BK577" s="14"/>
      <c r="BL577" s="14"/>
      <c r="BM577" s="14"/>
      <c r="BN577" s="14"/>
    </row>
    <row r="578" ht="22.5" customHeight="1">
      <c r="A578" s="349" t="s">
        <v>803</v>
      </c>
      <c r="B578" s="350"/>
      <c r="C578" s="351" t="s">
        <v>939</v>
      </c>
      <c r="D578" s="352">
        <v>3718.0</v>
      </c>
      <c r="E578" s="353" t="s">
        <v>29</v>
      </c>
      <c r="F578" s="354" t="s">
        <v>72</v>
      </c>
      <c r="G578" s="355" t="s">
        <v>138</v>
      </c>
      <c r="H578" s="356" t="s">
        <v>31</v>
      </c>
      <c r="I578" s="356" t="s">
        <v>132</v>
      </c>
      <c r="J578" s="357">
        <v>50000.0</v>
      </c>
      <c r="K578" s="396">
        <v>2225.0</v>
      </c>
      <c r="L578" s="359">
        <v>46210.0</v>
      </c>
      <c r="M578" s="359">
        <v>46216.0</v>
      </c>
      <c r="N578" s="360"/>
      <c r="O578" s="361" t="s">
        <v>34</v>
      </c>
      <c r="P578" s="362"/>
      <c r="Q578" s="388" t="s">
        <v>35</v>
      </c>
      <c r="R578" s="388" t="s">
        <v>133</v>
      </c>
      <c r="S578" s="381" t="s">
        <v>35</v>
      </c>
      <c r="T578" s="381" t="s">
        <v>36</v>
      </c>
      <c r="U578" s="374" t="s">
        <v>839</v>
      </c>
      <c r="V578" s="430"/>
      <c r="W578" s="382"/>
      <c r="X578" s="366"/>
      <c r="Y578" s="366"/>
      <c r="Z578" s="367"/>
      <c r="AA578" s="367"/>
      <c r="AB578" s="13"/>
      <c r="AC578" s="13"/>
      <c r="AD578" s="13"/>
      <c r="AE578" s="13"/>
      <c r="AF578" s="13"/>
      <c r="AG578" s="13"/>
      <c r="AH578" s="13"/>
      <c r="AI578" s="13"/>
      <c r="AJ578" s="13"/>
      <c r="AK578" s="13"/>
      <c r="AL578" s="13"/>
      <c r="AM578" s="14"/>
      <c r="AN578" s="14"/>
      <c r="AO578" s="14"/>
      <c r="AP578" s="14"/>
      <c r="AQ578" s="14"/>
      <c r="AR578" s="14"/>
      <c r="AS578" s="14"/>
      <c r="AT578" s="14"/>
      <c r="AU578" s="14"/>
      <c r="AV578" s="14"/>
      <c r="AW578" s="14"/>
      <c r="AX578" s="14"/>
      <c r="AY578" s="14"/>
      <c r="AZ578" s="14"/>
      <c r="BA578" s="14"/>
      <c r="BB578" s="14"/>
      <c r="BC578" s="14"/>
      <c r="BD578" s="14"/>
      <c r="BE578" s="14"/>
      <c r="BF578" s="14"/>
      <c r="BG578" s="14"/>
      <c r="BH578" s="14"/>
      <c r="BI578" s="14"/>
      <c r="BJ578" s="14"/>
      <c r="BK578" s="14"/>
      <c r="BL578" s="14"/>
      <c r="BM578" s="14"/>
      <c r="BN578" s="14"/>
    </row>
    <row r="579" ht="22.5" customHeight="1">
      <c r="A579" s="349" t="s">
        <v>803</v>
      </c>
      <c r="B579" s="350"/>
      <c r="C579" s="351" t="s">
        <v>1245</v>
      </c>
      <c r="D579" s="352">
        <v>3719.0</v>
      </c>
      <c r="E579" s="353" t="s">
        <v>29</v>
      </c>
      <c r="F579" s="354" t="s">
        <v>72</v>
      </c>
      <c r="G579" s="355" t="s">
        <v>138</v>
      </c>
      <c r="H579" s="356" t="s">
        <v>31</v>
      </c>
      <c r="I579" s="356" t="s">
        <v>132</v>
      </c>
      <c r="J579" s="357">
        <v>30000.0</v>
      </c>
      <c r="K579" s="396">
        <v>1437.0</v>
      </c>
      <c r="L579" s="359">
        <v>46210.0</v>
      </c>
      <c r="M579" s="359">
        <v>46216.0</v>
      </c>
      <c r="N579" s="360"/>
      <c r="O579" s="361" t="s">
        <v>34</v>
      </c>
      <c r="P579" s="362"/>
      <c r="Q579" s="388" t="s">
        <v>35</v>
      </c>
      <c r="R579" s="388" t="s">
        <v>133</v>
      </c>
      <c r="S579" s="381" t="s">
        <v>35</v>
      </c>
      <c r="T579" s="381" t="s">
        <v>36</v>
      </c>
      <c r="U579" s="374" t="s">
        <v>839</v>
      </c>
      <c r="V579" s="430"/>
      <c r="W579" s="382"/>
      <c r="X579" s="366"/>
      <c r="Y579" s="366"/>
      <c r="Z579" s="367"/>
      <c r="AA579" s="367"/>
      <c r="AB579" s="13"/>
      <c r="AC579" s="13"/>
      <c r="AD579" s="13"/>
      <c r="AE579" s="13"/>
      <c r="AF579" s="13"/>
      <c r="AG579" s="13"/>
      <c r="AH579" s="13"/>
      <c r="AI579" s="13"/>
      <c r="AJ579" s="13"/>
      <c r="AK579" s="13"/>
      <c r="AL579" s="13"/>
      <c r="AM579" s="14"/>
      <c r="AN579" s="14"/>
      <c r="AO579" s="14"/>
      <c r="AP579" s="14"/>
      <c r="AQ579" s="14"/>
      <c r="AR579" s="14"/>
      <c r="AS579" s="14"/>
      <c r="AT579" s="14"/>
      <c r="AU579" s="14"/>
      <c r="AV579" s="14"/>
      <c r="AW579" s="14"/>
      <c r="AX579" s="14"/>
      <c r="AY579" s="14"/>
      <c r="AZ579" s="14"/>
      <c r="BA579" s="14"/>
      <c r="BB579" s="14"/>
      <c r="BC579" s="14"/>
      <c r="BD579" s="14"/>
      <c r="BE579" s="14"/>
      <c r="BF579" s="14"/>
      <c r="BG579" s="14"/>
      <c r="BH579" s="14"/>
      <c r="BI579" s="14"/>
      <c r="BJ579" s="14"/>
      <c r="BK579" s="14"/>
      <c r="BL579" s="14"/>
      <c r="BM579" s="14"/>
      <c r="BN579" s="14"/>
    </row>
    <row r="580" ht="22.5" customHeight="1">
      <c r="A580" s="349" t="s">
        <v>803</v>
      </c>
      <c r="B580" s="350"/>
      <c r="C580" s="351" t="s">
        <v>298</v>
      </c>
      <c r="D580" s="352">
        <v>3720.0</v>
      </c>
      <c r="E580" s="353" t="s">
        <v>29</v>
      </c>
      <c r="F580" s="354" t="s">
        <v>72</v>
      </c>
      <c r="G580" s="355" t="s">
        <v>138</v>
      </c>
      <c r="H580" s="356" t="s">
        <v>31</v>
      </c>
      <c r="I580" s="356" t="s">
        <v>132</v>
      </c>
      <c r="J580" s="357">
        <v>10000.0</v>
      </c>
      <c r="K580" s="396">
        <v>689.0</v>
      </c>
      <c r="L580" s="359">
        <v>46210.0</v>
      </c>
      <c r="M580" s="359">
        <v>46216.0</v>
      </c>
      <c r="N580" s="360"/>
      <c r="O580" s="361" t="s">
        <v>34</v>
      </c>
      <c r="P580" s="362"/>
      <c r="Q580" s="388" t="s">
        <v>35</v>
      </c>
      <c r="R580" s="388" t="s">
        <v>133</v>
      </c>
      <c r="S580" s="381" t="s">
        <v>35</v>
      </c>
      <c r="T580" s="381" t="s">
        <v>36</v>
      </c>
      <c r="U580" s="374" t="s">
        <v>839</v>
      </c>
      <c r="V580" s="430"/>
      <c r="W580" s="382"/>
      <c r="X580" s="366"/>
      <c r="Y580" s="366"/>
      <c r="Z580" s="367"/>
      <c r="AA580" s="367"/>
      <c r="AB580" s="13"/>
      <c r="AC580" s="13"/>
      <c r="AD580" s="13"/>
      <c r="AE580" s="13"/>
      <c r="AF580" s="13"/>
      <c r="AG580" s="13"/>
      <c r="AH580" s="13"/>
      <c r="AI580" s="13"/>
      <c r="AJ580" s="13"/>
      <c r="AK580" s="13"/>
      <c r="AL580" s="13"/>
      <c r="AM580" s="14"/>
      <c r="AN580" s="14"/>
      <c r="AO580" s="14"/>
      <c r="AP580" s="14"/>
      <c r="AQ580" s="14"/>
      <c r="AR580" s="14"/>
      <c r="AS580" s="14"/>
      <c r="AT580" s="14"/>
      <c r="AU580" s="14"/>
      <c r="AV580" s="14"/>
      <c r="AW580" s="14"/>
      <c r="AX580" s="14"/>
      <c r="AY580" s="14"/>
      <c r="AZ580" s="14"/>
      <c r="BA580" s="14"/>
      <c r="BB580" s="14"/>
      <c r="BC580" s="14"/>
      <c r="BD580" s="14"/>
      <c r="BE580" s="14"/>
      <c r="BF580" s="14"/>
      <c r="BG580" s="14"/>
      <c r="BH580" s="14"/>
      <c r="BI580" s="14"/>
      <c r="BJ580" s="14"/>
      <c r="BK580" s="14"/>
      <c r="BL580" s="14"/>
      <c r="BM580" s="14"/>
      <c r="BN580" s="14"/>
    </row>
    <row r="581" ht="22.5" customHeight="1">
      <c r="A581" s="349" t="s">
        <v>803</v>
      </c>
      <c r="B581" s="350"/>
      <c r="C581" s="351" t="s">
        <v>321</v>
      </c>
      <c r="D581" s="352">
        <v>3721.0</v>
      </c>
      <c r="E581" s="353" t="s">
        <v>29</v>
      </c>
      <c r="F581" s="354" t="s">
        <v>72</v>
      </c>
      <c r="G581" s="355" t="s">
        <v>138</v>
      </c>
      <c r="H581" s="356" t="s">
        <v>31</v>
      </c>
      <c r="I581" s="356" t="s">
        <v>132</v>
      </c>
      <c r="J581" s="357">
        <v>50000.0</v>
      </c>
      <c r="K581" s="396">
        <v>2275.0</v>
      </c>
      <c r="L581" s="359">
        <v>46210.0</v>
      </c>
      <c r="M581" s="359">
        <v>46216.0</v>
      </c>
      <c r="N581" s="360"/>
      <c r="O581" s="361" t="s">
        <v>34</v>
      </c>
      <c r="P581" s="362"/>
      <c r="Q581" s="387"/>
      <c r="R581" s="388" t="s">
        <v>133</v>
      </c>
      <c r="S581" s="381" t="s">
        <v>36</v>
      </c>
      <c r="T581" s="381" t="s">
        <v>36</v>
      </c>
      <c r="U581" s="374" t="s">
        <v>839</v>
      </c>
      <c r="V581" s="430"/>
      <c r="W581" s="382"/>
      <c r="X581" s="366"/>
      <c r="Y581" s="366"/>
      <c r="Z581" s="367"/>
      <c r="AA581" s="367"/>
      <c r="AB581" s="13"/>
      <c r="AC581" s="13"/>
      <c r="AD581" s="13"/>
      <c r="AE581" s="13"/>
      <c r="AF581" s="13"/>
      <c r="AG581" s="13"/>
      <c r="AH581" s="13"/>
      <c r="AI581" s="13"/>
      <c r="AJ581" s="13"/>
      <c r="AK581" s="13"/>
      <c r="AL581" s="13"/>
      <c r="AM581" s="14"/>
      <c r="AN581" s="14"/>
      <c r="AO581" s="14"/>
      <c r="AP581" s="14"/>
      <c r="AQ581" s="14"/>
      <c r="AR581" s="14"/>
      <c r="AS581" s="14"/>
      <c r="AT581" s="14"/>
      <c r="AU581" s="14"/>
      <c r="AV581" s="14"/>
      <c r="AW581" s="14"/>
      <c r="AX581" s="14"/>
      <c r="AY581" s="14"/>
      <c r="AZ581" s="14"/>
      <c r="BA581" s="14"/>
      <c r="BB581" s="14"/>
      <c r="BC581" s="14"/>
      <c r="BD581" s="14"/>
      <c r="BE581" s="14"/>
      <c r="BF581" s="14"/>
      <c r="BG581" s="14"/>
      <c r="BH581" s="14"/>
      <c r="BI581" s="14"/>
      <c r="BJ581" s="14"/>
      <c r="BK581" s="14"/>
      <c r="BL581" s="14"/>
      <c r="BM581" s="14"/>
      <c r="BN581" s="14"/>
    </row>
    <row r="582" ht="22.5" customHeight="1">
      <c r="A582" s="349" t="s">
        <v>803</v>
      </c>
      <c r="B582" s="350"/>
      <c r="C582" s="351" t="s">
        <v>322</v>
      </c>
      <c r="D582" s="352">
        <v>3722.0</v>
      </c>
      <c r="E582" s="353" t="s">
        <v>29</v>
      </c>
      <c r="F582" s="354" t="s">
        <v>72</v>
      </c>
      <c r="G582" s="480" t="s">
        <v>138</v>
      </c>
      <c r="H582" s="356" t="s">
        <v>31</v>
      </c>
      <c r="I582" s="356" t="s">
        <v>132</v>
      </c>
      <c r="J582" s="357">
        <v>20000.0</v>
      </c>
      <c r="K582" s="396">
        <v>1113.0</v>
      </c>
      <c r="L582" s="359">
        <v>46210.0</v>
      </c>
      <c r="M582" s="359">
        <v>46216.0</v>
      </c>
      <c r="N582" s="360"/>
      <c r="O582" s="361" t="s">
        <v>34</v>
      </c>
      <c r="P582" s="362"/>
      <c r="Q582" s="388" t="s">
        <v>35</v>
      </c>
      <c r="R582" s="388" t="s">
        <v>133</v>
      </c>
      <c r="S582" s="381" t="s">
        <v>36</v>
      </c>
      <c r="T582" s="381" t="s">
        <v>36</v>
      </c>
      <c r="U582" s="374" t="s">
        <v>839</v>
      </c>
      <c r="V582" s="430"/>
      <c r="W582" s="382"/>
      <c r="X582" s="366"/>
      <c r="Y582" s="366"/>
      <c r="Z582" s="367"/>
      <c r="AA582" s="367"/>
      <c r="AB582" s="13"/>
      <c r="AC582" s="13"/>
      <c r="AD582" s="13"/>
      <c r="AE582" s="13"/>
      <c r="AF582" s="13"/>
      <c r="AG582" s="13"/>
      <c r="AH582" s="13"/>
      <c r="AI582" s="13"/>
      <c r="AJ582" s="13"/>
      <c r="AK582" s="13"/>
      <c r="AL582" s="13"/>
      <c r="AM582" s="14"/>
      <c r="AN582" s="14"/>
      <c r="AO582" s="14"/>
      <c r="AP582" s="14"/>
      <c r="AQ582" s="14"/>
      <c r="AR582" s="14"/>
      <c r="AS582" s="14"/>
      <c r="AT582" s="14"/>
      <c r="AU582" s="14"/>
      <c r="AV582" s="14"/>
      <c r="AW582" s="14"/>
      <c r="AX582" s="14"/>
      <c r="AY582" s="14"/>
      <c r="AZ582" s="14"/>
      <c r="BA582" s="14"/>
      <c r="BB582" s="14"/>
      <c r="BC582" s="14"/>
      <c r="BD582" s="14"/>
      <c r="BE582" s="14"/>
      <c r="BF582" s="14"/>
      <c r="BG582" s="14"/>
      <c r="BH582" s="14"/>
      <c r="BI582" s="14"/>
      <c r="BJ582" s="14"/>
      <c r="BK582" s="14"/>
      <c r="BL582" s="14"/>
      <c r="BM582" s="14"/>
      <c r="BN582" s="14"/>
    </row>
    <row r="583" ht="22.5" customHeight="1">
      <c r="A583" s="349" t="s">
        <v>803</v>
      </c>
      <c r="B583" s="350"/>
      <c r="C583" s="351" t="s">
        <v>130</v>
      </c>
      <c r="D583" s="352">
        <v>3723.0</v>
      </c>
      <c r="E583" s="353" t="s">
        <v>29</v>
      </c>
      <c r="F583" s="354" t="s">
        <v>72</v>
      </c>
      <c r="G583" s="355" t="s">
        <v>131</v>
      </c>
      <c r="H583" s="356" t="s">
        <v>31</v>
      </c>
      <c r="I583" s="356" t="s">
        <v>132</v>
      </c>
      <c r="J583" s="357">
        <v>10000.0</v>
      </c>
      <c r="K583" s="396">
        <v>736.0</v>
      </c>
      <c r="L583" s="359">
        <v>46210.0</v>
      </c>
      <c r="M583" s="359">
        <v>46216.0</v>
      </c>
      <c r="N583" s="360"/>
      <c r="O583" s="361" t="s">
        <v>34</v>
      </c>
      <c r="P583" s="362"/>
      <c r="Q583" s="388" t="s">
        <v>35</v>
      </c>
      <c r="R583" s="388" t="s">
        <v>133</v>
      </c>
      <c r="S583" s="381" t="s">
        <v>35</v>
      </c>
      <c r="T583" s="381" t="s">
        <v>36</v>
      </c>
      <c r="U583" s="374" t="s">
        <v>839</v>
      </c>
      <c r="V583" s="430"/>
      <c r="W583" s="382"/>
      <c r="X583" s="366"/>
      <c r="Y583" s="366"/>
      <c r="Z583" s="367"/>
      <c r="AA583" s="367"/>
      <c r="AB583" s="13"/>
      <c r="AC583" s="13"/>
      <c r="AD583" s="13"/>
      <c r="AE583" s="13"/>
      <c r="AF583" s="13"/>
      <c r="AG583" s="13"/>
      <c r="AH583" s="13"/>
      <c r="AI583" s="13"/>
      <c r="AJ583" s="13"/>
      <c r="AK583" s="13"/>
      <c r="AL583" s="13"/>
      <c r="AM583" s="14"/>
      <c r="AN583" s="14"/>
      <c r="AO583" s="14"/>
      <c r="AP583" s="14"/>
      <c r="AQ583" s="14"/>
      <c r="AR583" s="14"/>
      <c r="AS583" s="14"/>
      <c r="AT583" s="14"/>
      <c r="AU583" s="14"/>
      <c r="AV583" s="14"/>
      <c r="AW583" s="14"/>
      <c r="AX583" s="14"/>
      <c r="AY583" s="14"/>
      <c r="AZ583" s="14"/>
      <c r="BA583" s="14"/>
      <c r="BB583" s="14"/>
      <c r="BC583" s="14"/>
      <c r="BD583" s="14"/>
      <c r="BE583" s="14"/>
      <c r="BF583" s="14"/>
      <c r="BG583" s="14"/>
      <c r="BH583" s="14"/>
      <c r="BI583" s="14"/>
      <c r="BJ583" s="14"/>
      <c r="BK583" s="14"/>
      <c r="BL583" s="14"/>
      <c r="BM583" s="14"/>
      <c r="BN583" s="14"/>
    </row>
    <row r="584" ht="22.5" customHeight="1">
      <c r="A584" s="349" t="s">
        <v>803</v>
      </c>
      <c r="B584" s="350"/>
      <c r="C584" s="351" t="s">
        <v>313</v>
      </c>
      <c r="D584" s="352">
        <v>3724.0</v>
      </c>
      <c r="E584" s="353" t="s">
        <v>29</v>
      </c>
      <c r="F584" s="354" t="s">
        <v>72</v>
      </c>
      <c r="G584" s="355" t="s">
        <v>234</v>
      </c>
      <c r="H584" s="356" t="s">
        <v>31</v>
      </c>
      <c r="I584" s="356" t="s">
        <v>132</v>
      </c>
      <c r="J584" s="357">
        <v>10000.0</v>
      </c>
      <c r="K584" s="396">
        <v>1156.0</v>
      </c>
      <c r="L584" s="359">
        <v>46210.0</v>
      </c>
      <c r="M584" s="359">
        <v>46216.0</v>
      </c>
      <c r="N584" s="360"/>
      <c r="O584" s="361" t="s">
        <v>34</v>
      </c>
      <c r="P584" s="362"/>
      <c r="Q584" s="388" t="s">
        <v>35</v>
      </c>
      <c r="R584" s="388" t="s">
        <v>133</v>
      </c>
      <c r="S584" s="381" t="s">
        <v>35</v>
      </c>
      <c r="T584" s="381" t="s">
        <v>36</v>
      </c>
      <c r="U584" s="374" t="s">
        <v>839</v>
      </c>
      <c r="V584" s="430"/>
      <c r="W584" s="382"/>
      <c r="X584" s="366"/>
      <c r="Y584" s="366"/>
      <c r="Z584" s="367"/>
      <c r="AA584" s="367"/>
      <c r="AB584" s="13"/>
      <c r="AC584" s="13"/>
      <c r="AD584" s="13"/>
      <c r="AE584" s="13"/>
      <c r="AF584" s="13"/>
      <c r="AG584" s="13"/>
      <c r="AH584" s="13"/>
      <c r="AI584" s="13"/>
      <c r="AJ584" s="13"/>
      <c r="AK584" s="13"/>
      <c r="AL584" s="13"/>
      <c r="AM584" s="14"/>
      <c r="AN584" s="14"/>
      <c r="AO584" s="14"/>
      <c r="AP584" s="14"/>
      <c r="AQ584" s="14"/>
      <c r="AR584" s="14"/>
      <c r="AS584" s="14"/>
      <c r="AT584" s="14"/>
      <c r="AU584" s="14"/>
      <c r="AV584" s="14"/>
      <c r="AW584" s="14"/>
      <c r="AX584" s="14"/>
      <c r="AY584" s="14"/>
      <c r="AZ584" s="14"/>
      <c r="BA584" s="14"/>
      <c r="BB584" s="14"/>
      <c r="BC584" s="14"/>
      <c r="BD584" s="14"/>
      <c r="BE584" s="14"/>
      <c r="BF584" s="14"/>
      <c r="BG584" s="14"/>
      <c r="BH584" s="14"/>
      <c r="BI584" s="14"/>
      <c r="BJ584" s="14"/>
      <c r="BK584" s="14"/>
      <c r="BL584" s="14"/>
      <c r="BM584" s="14"/>
      <c r="BN584" s="14"/>
    </row>
    <row r="585" ht="22.5" customHeight="1">
      <c r="A585" s="349" t="s">
        <v>803</v>
      </c>
      <c r="B585" s="350"/>
      <c r="C585" s="351" t="s">
        <v>233</v>
      </c>
      <c r="D585" s="352">
        <v>3725.0</v>
      </c>
      <c r="E585" s="353" t="s">
        <v>29</v>
      </c>
      <c r="F585" s="354" t="s">
        <v>72</v>
      </c>
      <c r="G585" s="355" t="s">
        <v>234</v>
      </c>
      <c r="H585" s="356" t="s">
        <v>31</v>
      </c>
      <c r="I585" s="356" t="s">
        <v>132</v>
      </c>
      <c r="J585" s="357">
        <v>50000.0</v>
      </c>
      <c r="K585" s="396">
        <v>4627.0</v>
      </c>
      <c r="L585" s="359">
        <v>46210.0</v>
      </c>
      <c r="M585" s="359">
        <v>46216.0</v>
      </c>
      <c r="N585" s="360"/>
      <c r="O585" s="361" t="s">
        <v>34</v>
      </c>
      <c r="P585" s="362"/>
      <c r="Q585" s="388" t="s">
        <v>35</v>
      </c>
      <c r="R585" s="388" t="s">
        <v>133</v>
      </c>
      <c r="S585" s="381" t="s">
        <v>35</v>
      </c>
      <c r="T585" s="381" t="s">
        <v>36</v>
      </c>
      <c r="U585" s="374" t="s">
        <v>839</v>
      </c>
      <c r="V585" s="430"/>
      <c r="W585" s="382"/>
      <c r="X585" s="366"/>
      <c r="Y585" s="366"/>
      <c r="Z585" s="367"/>
      <c r="AA585" s="367"/>
      <c r="AB585" s="13"/>
      <c r="AC585" s="13"/>
      <c r="AD585" s="13"/>
      <c r="AE585" s="13"/>
      <c r="AF585" s="13"/>
      <c r="AG585" s="13"/>
      <c r="AH585" s="13"/>
      <c r="AI585" s="13"/>
      <c r="AJ585" s="13"/>
      <c r="AK585" s="13"/>
      <c r="AL585" s="13"/>
      <c r="AM585" s="14"/>
      <c r="AN585" s="14"/>
      <c r="AO585" s="14"/>
      <c r="AP585" s="14"/>
      <c r="AQ585" s="14"/>
      <c r="AR585" s="14"/>
      <c r="AS585" s="14"/>
      <c r="AT585" s="14"/>
      <c r="AU585" s="14"/>
      <c r="AV585" s="14"/>
      <c r="AW585" s="14"/>
      <c r="AX585" s="14"/>
      <c r="AY585" s="14"/>
      <c r="AZ585" s="14"/>
      <c r="BA585" s="14"/>
      <c r="BB585" s="14"/>
      <c r="BC585" s="14"/>
      <c r="BD585" s="14"/>
      <c r="BE585" s="14"/>
      <c r="BF585" s="14"/>
      <c r="BG585" s="14"/>
      <c r="BH585" s="14"/>
      <c r="BI585" s="14"/>
      <c r="BJ585" s="14"/>
      <c r="BK585" s="14"/>
      <c r="BL585" s="14"/>
      <c r="BM585" s="14"/>
      <c r="BN585" s="14"/>
    </row>
    <row r="586" ht="22.5" customHeight="1">
      <c r="A586" s="349" t="s">
        <v>803</v>
      </c>
      <c r="B586" s="350"/>
      <c r="C586" s="351" t="s">
        <v>1246</v>
      </c>
      <c r="D586" s="352">
        <v>3726.0</v>
      </c>
      <c r="E586" s="353" t="s">
        <v>29</v>
      </c>
      <c r="F586" s="354" t="s">
        <v>72</v>
      </c>
      <c r="G586" s="355" t="s">
        <v>240</v>
      </c>
      <c r="H586" s="356" t="s">
        <v>31</v>
      </c>
      <c r="I586" s="356" t="s">
        <v>132</v>
      </c>
      <c r="J586" s="357">
        <v>20000.0</v>
      </c>
      <c r="K586" s="396">
        <v>934.0</v>
      </c>
      <c r="L586" s="359">
        <v>46210.0</v>
      </c>
      <c r="M586" s="359">
        <v>46216.0</v>
      </c>
      <c r="N586" s="360"/>
      <c r="O586" s="361" t="s">
        <v>34</v>
      </c>
      <c r="P586" s="362"/>
      <c r="Q586" s="388" t="s">
        <v>35</v>
      </c>
      <c r="R586" s="388" t="s">
        <v>133</v>
      </c>
      <c r="S586" s="381" t="s">
        <v>35</v>
      </c>
      <c r="T586" s="381" t="s">
        <v>36</v>
      </c>
      <c r="U586" s="374" t="s">
        <v>839</v>
      </c>
      <c r="V586" s="430"/>
      <c r="W586" s="382"/>
      <c r="X586" s="366"/>
      <c r="Y586" s="366"/>
      <c r="Z586" s="367"/>
      <c r="AA586" s="367"/>
      <c r="AB586" s="13"/>
      <c r="AC586" s="13"/>
      <c r="AD586" s="13"/>
      <c r="AE586" s="13"/>
      <c r="AF586" s="13"/>
      <c r="AG586" s="13"/>
      <c r="AH586" s="13"/>
      <c r="AI586" s="13"/>
      <c r="AJ586" s="13"/>
      <c r="AK586" s="13"/>
      <c r="AL586" s="13"/>
      <c r="AM586" s="14"/>
      <c r="AN586" s="14"/>
      <c r="AO586" s="14"/>
      <c r="AP586" s="14"/>
      <c r="AQ586" s="14"/>
      <c r="AR586" s="14"/>
      <c r="AS586" s="14"/>
      <c r="AT586" s="14"/>
      <c r="AU586" s="14"/>
      <c r="AV586" s="14"/>
      <c r="AW586" s="14"/>
      <c r="AX586" s="14"/>
      <c r="AY586" s="14"/>
      <c r="AZ586" s="14"/>
      <c r="BA586" s="14"/>
      <c r="BB586" s="14"/>
      <c r="BC586" s="14"/>
      <c r="BD586" s="14"/>
      <c r="BE586" s="14"/>
      <c r="BF586" s="14"/>
      <c r="BG586" s="14"/>
      <c r="BH586" s="14"/>
      <c r="BI586" s="14"/>
      <c r="BJ586" s="14"/>
      <c r="BK586" s="14"/>
      <c r="BL586" s="14"/>
      <c r="BM586" s="14"/>
      <c r="BN586" s="14"/>
    </row>
    <row r="587" ht="22.5" customHeight="1">
      <c r="A587" s="349" t="s">
        <v>1059</v>
      </c>
      <c r="B587" s="350"/>
      <c r="C587" s="444" t="s">
        <v>1247</v>
      </c>
      <c r="D587" s="352">
        <v>3734.0</v>
      </c>
      <c r="E587" s="353" t="s">
        <v>164</v>
      </c>
      <c r="F587" s="354" t="s">
        <v>30</v>
      </c>
      <c r="G587" s="355" t="s">
        <v>1061</v>
      </c>
      <c r="H587" s="356" t="s">
        <v>31</v>
      </c>
      <c r="I587" s="394"/>
      <c r="J587" s="357" t="s">
        <v>172</v>
      </c>
      <c r="K587" s="396">
        <v>1434.0</v>
      </c>
      <c r="L587" s="359">
        <v>46209.0</v>
      </c>
      <c r="M587" s="359">
        <v>46216.0</v>
      </c>
      <c r="N587" s="360"/>
      <c r="O587" s="361" t="s">
        <v>54</v>
      </c>
      <c r="P587" s="362"/>
      <c r="Q587" s="388" t="s">
        <v>35</v>
      </c>
      <c r="R587" s="388" t="s">
        <v>133</v>
      </c>
      <c r="S587" s="381" t="s">
        <v>35</v>
      </c>
      <c r="T587" s="381" t="s">
        <v>36</v>
      </c>
      <c r="U587" s="374" t="s">
        <v>839</v>
      </c>
      <c r="V587" s="430"/>
      <c r="W587" s="382"/>
      <c r="X587" s="338" t="s">
        <v>1062</v>
      </c>
      <c r="Y587" s="365" t="s">
        <v>516</v>
      </c>
      <c r="Z587" s="380" t="s">
        <v>516</v>
      </c>
      <c r="AA587" s="367"/>
      <c r="AB587" s="13"/>
      <c r="AC587" s="13"/>
      <c r="AD587" s="13"/>
      <c r="AE587" s="13"/>
      <c r="AF587" s="13"/>
      <c r="AG587" s="13"/>
      <c r="AH587" s="13"/>
      <c r="AI587" s="13"/>
      <c r="AJ587" s="13"/>
      <c r="AK587" s="13"/>
      <c r="AL587" s="13"/>
      <c r="AM587" s="14"/>
      <c r="AN587" s="14"/>
      <c r="AO587" s="14"/>
      <c r="AP587" s="14"/>
      <c r="AQ587" s="14"/>
      <c r="AR587" s="14"/>
      <c r="AS587" s="14"/>
      <c r="AT587" s="14"/>
      <c r="AU587" s="14"/>
      <c r="AV587" s="14"/>
      <c r="AW587" s="14"/>
      <c r="AX587" s="14"/>
      <c r="AY587" s="14"/>
      <c r="AZ587" s="14"/>
      <c r="BA587" s="14"/>
      <c r="BB587" s="14"/>
      <c r="BC587" s="14"/>
      <c r="BD587" s="14"/>
      <c r="BE587" s="14"/>
      <c r="BF587" s="14"/>
      <c r="BG587" s="14"/>
      <c r="BH587" s="14"/>
      <c r="BI587" s="14"/>
      <c r="BJ587" s="14"/>
      <c r="BK587" s="14"/>
      <c r="BL587" s="14"/>
      <c r="BM587" s="14"/>
      <c r="BN587" s="14"/>
    </row>
    <row r="588" ht="22.5" customHeight="1">
      <c r="A588" s="349" t="s">
        <v>803</v>
      </c>
      <c r="B588" s="350"/>
      <c r="C588" s="351" t="s">
        <v>1248</v>
      </c>
      <c r="D588" s="352">
        <v>3750.0</v>
      </c>
      <c r="E588" s="353" t="s">
        <v>29</v>
      </c>
      <c r="F588" s="354" t="s">
        <v>72</v>
      </c>
      <c r="G588" s="355" t="s">
        <v>328</v>
      </c>
      <c r="H588" s="356" t="s">
        <v>31</v>
      </c>
      <c r="I588" s="356" t="s">
        <v>132</v>
      </c>
      <c r="J588" s="357">
        <v>100000.0</v>
      </c>
      <c r="K588" s="396">
        <v>2345.0</v>
      </c>
      <c r="L588" s="359">
        <v>46211.0</v>
      </c>
      <c r="M588" s="359">
        <v>46216.0</v>
      </c>
      <c r="N588" s="360"/>
      <c r="O588" s="361" t="s">
        <v>70</v>
      </c>
      <c r="P588" s="362"/>
      <c r="Q588" s="388" t="s">
        <v>35</v>
      </c>
      <c r="R588" s="388" t="s">
        <v>133</v>
      </c>
      <c r="S588" s="381" t="s">
        <v>35</v>
      </c>
      <c r="T588" s="381" t="s">
        <v>36</v>
      </c>
      <c r="U588" s="374" t="s">
        <v>839</v>
      </c>
      <c r="V588" s="430"/>
      <c r="W588" s="382"/>
      <c r="X588" s="366"/>
      <c r="Y588" s="366"/>
      <c r="Z588" s="367"/>
      <c r="AA588" s="367"/>
      <c r="AB588" s="475"/>
      <c r="AC588" s="475"/>
      <c r="AD588" s="475"/>
      <c r="AE588" s="475"/>
      <c r="AF588" s="475"/>
      <c r="AG588" s="475"/>
      <c r="AH588" s="475"/>
      <c r="AI588" s="475"/>
      <c r="AJ588" s="475"/>
      <c r="AK588" s="475"/>
      <c r="AL588" s="475"/>
      <c r="AM588" s="476"/>
      <c r="AN588" s="476"/>
      <c r="AO588" s="476"/>
      <c r="AP588" s="476"/>
      <c r="AQ588" s="476"/>
      <c r="AR588" s="476"/>
      <c r="AS588" s="476"/>
      <c r="AT588" s="476"/>
      <c r="AU588" s="476"/>
      <c r="AV588" s="476"/>
      <c r="AW588" s="476"/>
      <c r="AX588" s="476"/>
      <c r="AY588" s="476"/>
      <c r="AZ588" s="476"/>
      <c r="BA588" s="476"/>
      <c r="BB588" s="476"/>
      <c r="BC588" s="476"/>
      <c r="BD588" s="476"/>
      <c r="BE588" s="476"/>
      <c r="BF588" s="476"/>
      <c r="BG588" s="476"/>
      <c r="BH588" s="476"/>
      <c r="BI588" s="476"/>
      <c r="BJ588" s="476"/>
      <c r="BK588" s="476"/>
      <c r="BL588" s="476"/>
      <c r="BM588" s="476"/>
      <c r="BN588" s="476"/>
    </row>
    <row r="589" ht="22.5" customHeight="1">
      <c r="A589" s="349" t="s">
        <v>803</v>
      </c>
      <c r="B589" s="350"/>
      <c r="C589" s="351" t="s">
        <v>1209</v>
      </c>
      <c r="D589" s="352">
        <v>3751.0</v>
      </c>
      <c r="E589" s="353" t="s">
        <v>29</v>
      </c>
      <c r="F589" s="354" t="s">
        <v>72</v>
      </c>
      <c r="G589" s="355" t="s">
        <v>328</v>
      </c>
      <c r="H589" s="356" t="s">
        <v>31</v>
      </c>
      <c r="I589" s="356" t="s">
        <v>132</v>
      </c>
      <c r="J589" s="357">
        <v>100000.0</v>
      </c>
      <c r="K589" s="396">
        <v>2345.0</v>
      </c>
      <c r="L589" s="359">
        <v>46211.0</v>
      </c>
      <c r="M589" s="359">
        <v>46216.0</v>
      </c>
      <c r="N589" s="360"/>
      <c r="O589" s="361" t="s">
        <v>70</v>
      </c>
      <c r="P589" s="362"/>
      <c r="Q589" s="388" t="s">
        <v>35</v>
      </c>
      <c r="R589" s="388" t="s">
        <v>133</v>
      </c>
      <c r="S589" s="381" t="s">
        <v>35</v>
      </c>
      <c r="T589" s="381" t="s">
        <v>36</v>
      </c>
      <c r="U589" s="374" t="s">
        <v>839</v>
      </c>
      <c r="V589" s="430"/>
      <c r="W589" s="382"/>
      <c r="X589" s="366"/>
      <c r="Y589" s="366"/>
      <c r="Z589" s="367"/>
      <c r="AA589" s="367"/>
      <c r="AB589" s="475"/>
      <c r="AC589" s="475"/>
      <c r="AD589" s="475"/>
      <c r="AE589" s="475"/>
      <c r="AF589" s="475"/>
      <c r="AG589" s="475"/>
      <c r="AH589" s="475"/>
      <c r="AI589" s="475"/>
      <c r="AJ589" s="475"/>
      <c r="AK589" s="475"/>
      <c r="AL589" s="475"/>
      <c r="AM589" s="476"/>
      <c r="AN589" s="476"/>
      <c r="AO589" s="476"/>
      <c r="AP589" s="476"/>
      <c r="AQ589" s="476"/>
      <c r="AR589" s="476"/>
      <c r="AS589" s="476"/>
      <c r="AT589" s="476"/>
      <c r="AU589" s="476"/>
      <c r="AV589" s="476"/>
      <c r="AW589" s="476"/>
      <c r="AX589" s="476"/>
      <c r="AY589" s="476"/>
      <c r="AZ589" s="476"/>
      <c r="BA589" s="476"/>
      <c r="BB589" s="476"/>
      <c r="BC589" s="476"/>
      <c r="BD589" s="476"/>
      <c r="BE589" s="476"/>
      <c r="BF589" s="476"/>
      <c r="BG589" s="476"/>
      <c r="BH589" s="476"/>
      <c r="BI589" s="476"/>
      <c r="BJ589" s="476"/>
      <c r="BK589" s="476"/>
      <c r="BL589" s="476"/>
      <c r="BM589" s="476"/>
      <c r="BN589" s="476"/>
    </row>
    <row r="590" ht="22.5" customHeight="1">
      <c r="A590" s="349" t="s">
        <v>1041</v>
      </c>
      <c r="B590" s="350"/>
      <c r="C590" s="351" t="s">
        <v>1249</v>
      </c>
      <c r="D590" s="352">
        <v>3757.0</v>
      </c>
      <c r="E590" s="353" t="s">
        <v>157</v>
      </c>
      <c r="F590" s="354" t="s">
        <v>30</v>
      </c>
      <c r="G590" s="481" t="s">
        <v>856</v>
      </c>
      <c r="H590" s="356" t="s">
        <v>31</v>
      </c>
      <c r="I590" s="356" t="s">
        <v>98</v>
      </c>
      <c r="J590" s="357">
        <v>5000.0</v>
      </c>
      <c r="K590" s="396">
        <v>1154.0</v>
      </c>
      <c r="L590" s="359">
        <v>46210.0</v>
      </c>
      <c r="M590" s="359">
        <v>46216.0</v>
      </c>
      <c r="N590" s="360"/>
      <c r="O590" s="361" t="s">
        <v>70</v>
      </c>
      <c r="P590" s="362"/>
      <c r="Q590" s="353" t="s">
        <v>35</v>
      </c>
      <c r="R590" s="353" t="s">
        <v>133</v>
      </c>
      <c r="S590" s="361" t="s">
        <v>35</v>
      </c>
      <c r="T590" s="361" t="s">
        <v>36</v>
      </c>
      <c r="U590" s="363" t="s">
        <v>1237</v>
      </c>
      <c r="V590" s="430"/>
      <c r="W590" s="357" t="s">
        <v>1250</v>
      </c>
      <c r="X590" s="365" t="s">
        <v>724</v>
      </c>
      <c r="Y590" s="366"/>
      <c r="Z590" s="367"/>
      <c r="AA590" s="367"/>
      <c r="AB590" s="13"/>
      <c r="AC590" s="13"/>
      <c r="AD590" s="13"/>
      <c r="AE590" s="13"/>
      <c r="AF590" s="13"/>
      <c r="AG590" s="13"/>
      <c r="AH590" s="13"/>
      <c r="AI590" s="13"/>
      <c r="AJ590" s="13"/>
      <c r="AK590" s="13"/>
      <c r="AL590" s="13"/>
      <c r="AM590" s="14"/>
      <c r="AN590" s="14"/>
      <c r="AO590" s="14"/>
      <c r="AP590" s="14"/>
      <c r="AQ590" s="14"/>
      <c r="AR590" s="14"/>
      <c r="AS590" s="14"/>
      <c r="AT590" s="14"/>
      <c r="AU590" s="14"/>
      <c r="AV590" s="14"/>
      <c r="AW590" s="14"/>
      <c r="AX590" s="14"/>
      <c r="AY590" s="14"/>
      <c r="AZ590" s="14"/>
      <c r="BA590" s="14"/>
      <c r="BB590" s="14"/>
      <c r="BC590" s="14"/>
      <c r="BD590" s="14"/>
      <c r="BE590" s="14"/>
      <c r="BF590" s="14"/>
      <c r="BG590" s="14"/>
      <c r="BH590" s="14"/>
      <c r="BI590" s="14"/>
      <c r="BJ590" s="14"/>
      <c r="BK590" s="14"/>
      <c r="BL590" s="14"/>
      <c r="BM590" s="14"/>
      <c r="BN590" s="14"/>
    </row>
    <row r="591" ht="22.5" customHeight="1">
      <c r="A591" s="349" t="s">
        <v>1041</v>
      </c>
      <c r="B591" s="350"/>
      <c r="C591" s="351" t="s">
        <v>1251</v>
      </c>
      <c r="D591" s="352">
        <v>3759.0</v>
      </c>
      <c r="E591" s="353" t="s">
        <v>157</v>
      </c>
      <c r="F591" s="354" t="s">
        <v>30</v>
      </c>
      <c r="G591" s="355" t="s">
        <v>1252</v>
      </c>
      <c r="H591" s="356" t="s">
        <v>31</v>
      </c>
      <c r="I591" s="356" t="s">
        <v>98</v>
      </c>
      <c r="J591" s="357">
        <v>15000.0</v>
      </c>
      <c r="K591" s="396">
        <v>1194.0</v>
      </c>
      <c r="L591" s="359">
        <v>46210.0</v>
      </c>
      <c r="M591" s="359">
        <v>46216.0</v>
      </c>
      <c r="N591" s="360"/>
      <c r="O591" s="361" t="s">
        <v>70</v>
      </c>
      <c r="P591" s="362"/>
      <c r="Q591" s="353" t="s">
        <v>35</v>
      </c>
      <c r="R591" s="353" t="s">
        <v>133</v>
      </c>
      <c r="S591" s="361" t="s">
        <v>35</v>
      </c>
      <c r="T591" s="361" t="s">
        <v>36</v>
      </c>
      <c r="U591" s="363" t="s">
        <v>1237</v>
      </c>
      <c r="V591" s="430"/>
      <c r="W591" s="357" t="s">
        <v>1250</v>
      </c>
      <c r="X591" s="365" t="s">
        <v>724</v>
      </c>
      <c r="Y591" s="366"/>
      <c r="Z591" s="367"/>
      <c r="AA591" s="367"/>
      <c r="AB591" s="13"/>
      <c r="AC591" s="13"/>
      <c r="AD591" s="13"/>
      <c r="AE591" s="13"/>
      <c r="AF591" s="13"/>
      <c r="AG591" s="13"/>
      <c r="AH591" s="13"/>
      <c r="AI591" s="13"/>
      <c r="AJ591" s="13"/>
      <c r="AK591" s="13"/>
      <c r="AL591" s="13"/>
      <c r="AM591" s="14"/>
      <c r="AN591" s="14"/>
      <c r="AO591" s="14"/>
      <c r="AP591" s="14"/>
      <c r="AQ591" s="14"/>
      <c r="AR591" s="14"/>
      <c r="AS591" s="14"/>
      <c r="AT591" s="14"/>
      <c r="AU591" s="14"/>
      <c r="AV591" s="14"/>
      <c r="AW591" s="14"/>
      <c r="AX591" s="14"/>
      <c r="AY591" s="14"/>
      <c r="AZ591" s="14"/>
      <c r="BA591" s="14"/>
      <c r="BB591" s="14"/>
      <c r="BC591" s="14"/>
      <c r="BD591" s="14"/>
      <c r="BE591" s="14"/>
      <c r="BF591" s="14"/>
      <c r="BG591" s="14"/>
      <c r="BH591" s="14"/>
      <c r="BI591" s="14"/>
      <c r="BJ591" s="14"/>
      <c r="BK591" s="14"/>
      <c r="BL591" s="14"/>
      <c r="BM591" s="14"/>
      <c r="BN591" s="14"/>
    </row>
    <row r="592" ht="22.5" customHeight="1">
      <c r="A592" s="349" t="s">
        <v>1041</v>
      </c>
      <c r="B592" s="350"/>
      <c r="C592" s="351" t="s">
        <v>1253</v>
      </c>
      <c r="D592" s="352">
        <v>3760.0</v>
      </c>
      <c r="E592" s="353" t="s">
        <v>157</v>
      </c>
      <c r="F592" s="354" t="s">
        <v>30</v>
      </c>
      <c r="G592" s="355" t="s">
        <v>1252</v>
      </c>
      <c r="H592" s="356" t="s">
        <v>31</v>
      </c>
      <c r="I592" s="356" t="s">
        <v>98</v>
      </c>
      <c r="J592" s="357">
        <v>10000.0</v>
      </c>
      <c r="K592" s="396">
        <v>884.0</v>
      </c>
      <c r="L592" s="359">
        <v>46210.0</v>
      </c>
      <c r="M592" s="359">
        <v>46216.0</v>
      </c>
      <c r="N592" s="360"/>
      <c r="O592" s="361" t="s">
        <v>70</v>
      </c>
      <c r="P592" s="362"/>
      <c r="Q592" s="353" t="s">
        <v>35</v>
      </c>
      <c r="R592" s="353" t="s">
        <v>133</v>
      </c>
      <c r="S592" s="361" t="s">
        <v>35</v>
      </c>
      <c r="T592" s="361" t="s">
        <v>36</v>
      </c>
      <c r="U592" s="363" t="s">
        <v>1237</v>
      </c>
      <c r="V592" s="430"/>
      <c r="W592" s="357" t="s">
        <v>1250</v>
      </c>
      <c r="X592" s="365" t="s">
        <v>724</v>
      </c>
      <c r="Y592" s="366"/>
      <c r="Z592" s="367"/>
      <c r="AA592" s="367"/>
      <c r="AB592" s="13"/>
      <c r="AC592" s="13"/>
      <c r="AD592" s="13"/>
      <c r="AE592" s="13"/>
      <c r="AF592" s="13"/>
      <c r="AG592" s="13"/>
      <c r="AH592" s="13"/>
      <c r="AI592" s="13"/>
      <c r="AJ592" s="13"/>
      <c r="AK592" s="13"/>
      <c r="AL592" s="13"/>
      <c r="AM592" s="14"/>
      <c r="AN592" s="14"/>
      <c r="AO592" s="14"/>
      <c r="AP592" s="14"/>
      <c r="AQ592" s="14"/>
      <c r="AR592" s="14"/>
      <c r="AS592" s="14"/>
      <c r="AT592" s="14"/>
      <c r="AU592" s="14"/>
      <c r="AV592" s="14"/>
      <c r="AW592" s="14"/>
      <c r="AX592" s="14"/>
      <c r="AY592" s="14"/>
      <c r="AZ592" s="14"/>
      <c r="BA592" s="14"/>
      <c r="BB592" s="14"/>
      <c r="BC592" s="14"/>
      <c r="BD592" s="14"/>
      <c r="BE592" s="14"/>
      <c r="BF592" s="14"/>
      <c r="BG592" s="14"/>
      <c r="BH592" s="14"/>
      <c r="BI592" s="14"/>
      <c r="BJ592" s="14"/>
      <c r="BK592" s="14"/>
      <c r="BL592" s="14"/>
      <c r="BM592" s="14"/>
      <c r="BN592" s="14"/>
    </row>
    <row r="593" ht="22.5" customHeight="1">
      <c r="A593" s="349" t="s">
        <v>1041</v>
      </c>
      <c r="B593" s="350"/>
      <c r="C593" s="351" t="s">
        <v>1254</v>
      </c>
      <c r="D593" s="352">
        <v>3761.0</v>
      </c>
      <c r="E593" s="353" t="s">
        <v>157</v>
      </c>
      <c r="F593" s="354" t="s">
        <v>30</v>
      </c>
      <c r="G593" s="355" t="s">
        <v>1252</v>
      </c>
      <c r="H593" s="356" t="s">
        <v>31</v>
      </c>
      <c r="I593" s="356" t="s">
        <v>98</v>
      </c>
      <c r="J593" s="357">
        <v>10000.0</v>
      </c>
      <c r="K593" s="396">
        <v>884.0</v>
      </c>
      <c r="L593" s="359">
        <v>46210.0</v>
      </c>
      <c r="M593" s="359">
        <v>46216.0</v>
      </c>
      <c r="N593" s="360"/>
      <c r="O593" s="361" t="s">
        <v>70</v>
      </c>
      <c r="P593" s="362"/>
      <c r="Q593" s="353" t="s">
        <v>35</v>
      </c>
      <c r="R593" s="353" t="s">
        <v>133</v>
      </c>
      <c r="S593" s="361" t="s">
        <v>35</v>
      </c>
      <c r="T593" s="361" t="s">
        <v>36</v>
      </c>
      <c r="U593" s="363" t="s">
        <v>1237</v>
      </c>
      <c r="V593" s="430"/>
      <c r="W593" s="357" t="s">
        <v>1250</v>
      </c>
      <c r="X593" s="365" t="s">
        <v>724</v>
      </c>
      <c r="Y593" s="366"/>
      <c r="Z593" s="367"/>
      <c r="AA593" s="367"/>
      <c r="AB593" s="13"/>
      <c r="AC593" s="13"/>
      <c r="AD593" s="13"/>
      <c r="AE593" s="13"/>
      <c r="AF593" s="13"/>
      <c r="AG593" s="13"/>
      <c r="AH593" s="13"/>
      <c r="AI593" s="13"/>
      <c r="AJ593" s="13"/>
      <c r="AK593" s="13"/>
      <c r="AL593" s="13"/>
      <c r="AM593" s="14"/>
      <c r="AN593" s="14"/>
      <c r="AO593" s="14"/>
      <c r="AP593" s="14"/>
      <c r="AQ593" s="14"/>
      <c r="AR593" s="14"/>
      <c r="AS593" s="14"/>
      <c r="AT593" s="14"/>
      <c r="AU593" s="14"/>
      <c r="AV593" s="14"/>
      <c r="AW593" s="14"/>
      <c r="AX593" s="14"/>
      <c r="AY593" s="14"/>
      <c r="AZ593" s="14"/>
      <c r="BA593" s="14"/>
      <c r="BB593" s="14"/>
      <c r="BC593" s="14"/>
      <c r="BD593" s="14"/>
      <c r="BE593" s="14"/>
      <c r="BF593" s="14"/>
      <c r="BG593" s="14"/>
      <c r="BH593" s="14"/>
      <c r="BI593" s="14"/>
      <c r="BJ593" s="14"/>
      <c r="BK593" s="14"/>
      <c r="BL593" s="14"/>
      <c r="BM593" s="14"/>
      <c r="BN593" s="14"/>
    </row>
    <row r="594" ht="22.5" customHeight="1">
      <c r="A594" s="349" t="s">
        <v>1255</v>
      </c>
      <c r="B594" s="350"/>
      <c r="C594" s="351" t="s">
        <v>1256</v>
      </c>
      <c r="D594" s="352">
        <v>3762.0</v>
      </c>
      <c r="E594" s="353" t="s">
        <v>29</v>
      </c>
      <c r="F594" s="354" t="s">
        <v>30</v>
      </c>
      <c r="G594" s="355" t="s">
        <v>1257</v>
      </c>
      <c r="H594" s="356" t="s">
        <v>116</v>
      </c>
      <c r="I594" s="356" t="s">
        <v>274</v>
      </c>
      <c r="J594" s="357">
        <v>400.0</v>
      </c>
      <c r="K594" s="396">
        <v>67.0</v>
      </c>
      <c r="L594" s="359">
        <v>46204.0</v>
      </c>
      <c r="M594" s="359">
        <v>46209.0</v>
      </c>
      <c r="N594" s="360"/>
      <c r="O594" s="361" t="s">
        <v>99</v>
      </c>
      <c r="P594" s="362"/>
      <c r="Q594" s="388" t="s">
        <v>35</v>
      </c>
      <c r="R594" s="388" t="s">
        <v>133</v>
      </c>
      <c r="S594" s="381" t="s">
        <v>36</v>
      </c>
      <c r="T594" s="381" t="s">
        <v>36</v>
      </c>
      <c r="U594" s="374" t="s">
        <v>37</v>
      </c>
      <c r="V594" s="430"/>
      <c r="W594" s="382"/>
      <c r="X594" s="366"/>
      <c r="Y594" s="366"/>
      <c r="Z594" s="367"/>
      <c r="AA594" s="367"/>
      <c r="AB594" s="13"/>
      <c r="AC594" s="13"/>
      <c r="AD594" s="13"/>
      <c r="AE594" s="13"/>
      <c r="AF594" s="13"/>
      <c r="AG594" s="13"/>
      <c r="AH594" s="13"/>
      <c r="AI594" s="13"/>
      <c r="AJ594" s="13"/>
      <c r="AK594" s="13"/>
      <c r="AL594" s="13"/>
      <c r="AM594" s="14"/>
      <c r="AN594" s="14"/>
      <c r="AO594" s="14"/>
      <c r="AP594" s="14"/>
      <c r="AQ594" s="14"/>
      <c r="AR594" s="14"/>
      <c r="AS594" s="14"/>
      <c r="AT594" s="14"/>
      <c r="AU594" s="14"/>
      <c r="AV594" s="14"/>
      <c r="AW594" s="14"/>
      <c r="AX594" s="14"/>
      <c r="AY594" s="14"/>
      <c r="AZ594" s="14"/>
      <c r="BA594" s="14"/>
      <c r="BB594" s="14"/>
      <c r="BC594" s="14"/>
      <c r="BD594" s="14"/>
      <c r="BE594" s="14"/>
      <c r="BF594" s="14"/>
      <c r="BG594" s="14"/>
      <c r="BH594" s="14"/>
      <c r="BI594" s="14"/>
      <c r="BJ594" s="14"/>
      <c r="BK594" s="14"/>
      <c r="BL594" s="14"/>
      <c r="BM594" s="14"/>
      <c r="BN594" s="14"/>
    </row>
    <row r="595" ht="22.5" hidden="1" customHeight="1">
      <c r="A595" s="349" t="s">
        <v>744</v>
      </c>
      <c r="B595" s="350"/>
      <c r="C595" s="351" t="s">
        <v>1258</v>
      </c>
      <c r="D595" s="447"/>
      <c r="E595" s="353" t="s">
        <v>95</v>
      </c>
      <c r="F595" s="354" t="s">
        <v>96</v>
      </c>
      <c r="G595" s="434"/>
      <c r="H595" s="394"/>
      <c r="I595" s="394"/>
      <c r="J595" s="477"/>
      <c r="K595" s="407"/>
      <c r="L595" s="359">
        <v>46205.0</v>
      </c>
      <c r="M595" s="359">
        <v>46210.0</v>
      </c>
      <c r="N595" s="360"/>
      <c r="O595" s="361" t="s">
        <v>99</v>
      </c>
      <c r="P595" s="362"/>
      <c r="Q595" s="387"/>
      <c r="R595" s="387"/>
      <c r="S595" s="439"/>
      <c r="T595" s="439"/>
      <c r="U595" s="363" t="s">
        <v>37</v>
      </c>
      <c r="V595" s="430"/>
      <c r="W595" s="395" t="s">
        <v>1259</v>
      </c>
      <c r="X595" s="365" t="s">
        <v>1212</v>
      </c>
      <c r="Y595" s="366"/>
      <c r="Z595" s="367"/>
      <c r="AA595" s="367"/>
      <c r="AB595" s="13"/>
      <c r="AC595" s="13"/>
      <c r="AD595" s="13"/>
      <c r="AE595" s="13"/>
      <c r="AF595" s="13"/>
      <c r="AG595" s="13"/>
      <c r="AH595" s="13"/>
      <c r="AI595" s="13"/>
      <c r="AJ595" s="13"/>
      <c r="AK595" s="13"/>
      <c r="AL595" s="13"/>
      <c r="AM595" s="14"/>
      <c r="AN595" s="14"/>
      <c r="AO595" s="14"/>
      <c r="AP595" s="14"/>
      <c r="AQ595" s="14"/>
      <c r="AR595" s="14"/>
      <c r="AS595" s="14"/>
      <c r="AT595" s="14"/>
      <c r="AU595" s="14"/>
      <c r="AV595" s="14"/>
      <c r="AW595" s="14"/>
      <c r="AX595" s="14"/>
      <c r="AY595" s="14"/>
      <c r="AZ595" s="14"/>
      <c r="BA595" s="14"/>
      <c r="BB595" s="14"/>
      <c r="BC595" s="14"/>
      <c r="BD595" s="14"/>
      <c r="BE595" s="14"/>
      <c r="BF595" s="14"/>
      <c r="BG595" s="14"/>
      <c r="BH595" s="14"/>
      <c r="BI595" s="14"/>
      <c r="BJ595" s="14"/>
      <c r="BK595" s="14"/>
      <c r="BL595" s="14"/>
      <c r="BM595" s="14"/>
      <c r="BN595" s="14"/>
    </row>
    <row r="596" ht="22.5" customHeight="1">
      <c r="A596" s="349" t="s">
        <v>411</v>
      </c>
      <c r="B596" s="350"/>
      <c r="C596" s="351" t="s">
        <v>1260</v>
      </c>
      <c r="D596" s="352">
        <v>3764.0</v>
      </c>
      <c r="E596" s="353" t="s">
        <v>157</v>
      </c>
      <c r="F596" s="354" t="s">
        <v>30</v>
      </c>
      <c r="G596" s="355" t="s">
        <v>1261</v>
      </c>
      <c r="H596" s="356" t="s">
        <v>52</v>
      </c>
      <c r="I596" s="356" t="s">
        <v>274</v>
      </c>
      <c r="J596" s="357">
        <v>500.0</v>
      </c>
      <c r="K596" s="396">
        <v>55.0</v>
      </c>
      <c r="L596" s="359">
        <v>46211.0</v>
      </c>
      <c r="M596" s="359">
        <v>46212.0</v>
      </c>
      <c r="N596" s="360"/>
      <c r="O596" s="361" t="s">
        <v>212</v>
      </c>
      <c r="P596" s="362"/>
      <c r="Q596" s="388" t="s">
        <v>35</v>
      </c>
      <c r="R596" s="388" t="s">
        <v>133</v>
      </c>
      <c r="S596" s="381" t="s">
        <v>55</v>
      </c>
      <c r="T596" s="381" t="s">
        <v>36</v>
      </c>
      <c r="U596" s="363" t="s">
        <v>839</v>
      </c>
      <c r="V596" s="430"/>
      <c r="W596" s="382"/>
      <c r="X596" s="365" t="s">
        <v>1262</v>
      </c>
      <c r="Y596" s="366"/>
      <c r="Z596" s="367"/>
      <c r="AA596" s="367"/>
      <c r="AB596" s="13"/>
      <c r="AC596" s="13"/>
      <c r="AD596" s="13"/>
      <c r="AE596" s="13"/>
      <c r="AF596" s="13"/>
      <c r="AG596" s="13"/>
      <c r="AH596" s="13"/>
      <c r="AI596" s="13"/>
      <c r="AJ596" s="13"/>
      <c r="AK596" s="13"/>
      <c r="AL596" s="13"/>
      <c r="AM596" s="14"/>
      <c r="AN596" s="14"/>
      <c r="AO596" s="14"/>
      <c r="AP596" s="14"/>
      <c r="AQ596" s="14"/>
      <c r="AR596" s="14"/>
      <c r="AS596" s="14"/>
      <c r="AT596" s="14"/>
      <c r="AU596" s="14"/>
      <c r="AV596" s="14"/>
      <c r="AW596" s="14"/>
      <c r="AX596" s="14"/>
      <c r="AY596" s="14"/>
      <c r="AZ596" s="14"/>
      <c r="BA596" s="14"/>
      <c r="BB596" s="14"/>
      <c r="BC596" s="14"/>
      <c r="BD596" s="14"/>
      <c r="BE596" s="14"/>
      <c r="BF596" s="14"/>
      <c r="BG596" s="14"/>
      <c r="BH596" s="14"/>
      <c r="BI596" s="14"/>
      <c r="BJ596" s="14"/>
      <c r="BK596" s="14"/>
      <c r="BL596" s="14"/>
      <c r="BM596" s="14"/>
      <c r="BN596" s="14"/>
    </row>
    <row r="597" ht="22.5" customHeight="1">
      <c r="A597" s="454" t="s">
        <v>803</v>
      </c>
      <c r="B597" s="455"/>
      <c r="C597" s="456" t="s">
        <v>1263</v>
      </c>
      <c r="D597" s="457">
        <v>3770.0</v>
      </c>
      <c r="E597" s="458" t="s">
        <v>29</v>
      </c>
      <c r="F597" s="459" t="s">
        <v>30</v>
      </c>
      <c r="G597" s="460" t="s">
        <v>332</v>
      </c>
      <c r="H597" s="461" t="s">
        <v>31</v>
      </c>
      <c r="I597" s="461" t="s">
        <v>98</v>
      </c>
      <c r="J597" s="462">
        <v>20000.0</v>
      </c>
      <c r="K597" s="463">
        <v>1526.0</v>
      </c>
      <c r="L597" s="464">
        <v>46199.0</v>
      </c>
      <c r="M597" s="464">
        <v>46205.0</v>
      </c>
      <c r="N597" s="465"/>
      <c r="O597" s="466" t="s">
        <v>34</v>
      </c>
      <c r="P597" s="467"/>
      <c r="Q597" s="482"/>
      <c r="R597" s="468" t="s">
        <v>133</v>
      </c>
      <c r="S597" s="469" t="s">
        <v>35</v>
      </c>
      <c r="T597" s="469" t="s">
        <v>36</v>
      </c>
      <c r="U597" s="470" t="s">
        <v>839</v>
      </c>
      <c r="V597" s="471"/>
      <c r="W597" s="472" t="s">
        <v>1264</v>
      </c>
      <c r="X597" s="473"/>
      <c r="Y597" s="473"/>
      <c r="Z597" s="474"/>
      <c r="AA597" s="483"/>
      <c r="AB597" s="13"/>
      <c r="AC597" s="13"/>
      <c r="AD597" s="13"/>
      <c r="AE597" s="13"/>
      <c r="AF597" s="13"/>
      <c r="AG597" s="13"/>
      <c r="AH597" s="13"/>
      <c r="AI597" s="13"/>
      <c r="AJ597" s="13"/>
      <c r="AK597" s="13"/>
      <c r="AL597" s="13"/>
      <c r="AM597" s="14"/>
      <c r="AN597" s="14"/>
      <c r="AO597" s="14"/>
      <c r="AP597" s="14"/>
      <c r="AQ597" s="14"/>
      <c r="AR597" s="14"/>
      <c r="AS597" s="14"/>
      <c r="AT597" s="14"/>
      <c r="AU597" s="14"/>
      <c r="AV597" s="14"/>
      <c r="AW597" s="14"/>
      <c r="AX597" s="14"/>
      <c r="AY597" s="14"/>
      <c r="AZ597" s="14"/>
      <c r="BA597" s="14"/>
      <c r="BB597" s="14"/>
      <c r="BC597" s="14"/>
      <c r="BD597" s="14"/>
      <c r="BE597" s="14"/>
      <c r="BF597" s="14"/>
      <c r="BG597" s="14"/>
      <c r="BH597" s="14"/>
      <c r="BI597" s="14"/>
      <c r="BJ597" s="14"/>
      <c r="BK597" s="14"/>
      <c r="BL597" s="14"/>
      <c r="BM597" s="14"/>
      <c r="BN597" s="14"/>
    </row>
    <row r="598" ht="22.5" customHeight="1">
      <c r="A598" s="454" t="s">
        <v>803</v>
      </c>
      <c r="B598" s="455"/>
      <c r="C598" s="456" t="s">
        <v>1265</v>
      </c>
      <c r="D598" s="457">
        <v>3771.0</v>
      </c>
      <c r="E598" s="458" t="s">
        <v>29</v>
      </c>
      <c r="F598" s="459" t="s">
        <v>30</v>
      </c>
      <c r="G598" s="460" t="s">
        <v>332</v>
      </c>
      <c r="H598" s="461" t="s">
        <v>31</v>
      </c>
      <c r="I598" s="461" t="s">
        <v>98</v>
      </c>
      <c r="J598" s="462">
        <v>10000.0</v>
      </c>
      <c r="K598" s="463">
        <v>971.0</v>
      </c>
      <c r="L598" s="464">
        <v>46199.0</v>
      </c>
      <c r="M598" s="464">
        <v>46205.0</v>
      </c>
      <c r="N598" s="465"/>
      <c r="O598" s="466" t="s">
        <v>34</v>
      </c>
      <c r="P598" s="467"/>
      <c r="Q598" s="482"/>
      <c r="R598" s="468" t="s">
        <v>133</v>
      </c>
      <c r="S598" s="469" t="s">
        <v>35</v>
      </c>
      <c r="T598" s="469" t="s">
        <v>36</v>
      </c>
      <c r="U598" s="470" t="s">
        <v>839</v>
      </c>
      <c r="V598" s="471"/>
      <c r="W598" s="472" t="s">
        <v>1264</v>
      </c>
      <c r="X598" s="473"/>
      <c r="Y598" s="473"/>
      <c r="Z598" s="474"/>
      <c r="AA598" s="483"/>
      <c r="AB598" s="13"/>
      <c r="AC598" s="13"/>
      <c r="AD598" s="13"/>
      <c r="AE598" s="13"/>
      <c r="AF598" s="13"/>
      <c r="AG598" s="13"/>
      <c r="AH598" s="13"/>
      <c r="AI598" s="13"/>
      <c r="AJ598" s="13"/>
      <c r="AK598" s="13"/>
      <c r="AL598" s="13"/>
      <c r="AM598" s="14"/>
      <c r="AN598" s="14"/>
      <c r="AO598" s="14"/>
      <c r="AP598" s="14"/>
      <c r="AQ598" s="14"/>
      <c r="AR598" s="14"/>
      <c r="AS598" s="14"/>
      <c r="AT598" s="14"/>
      <c r="AU598" s="14"/>
      <c r="AV598" s="14"/>
      <c r="AW598" s="14"/>
      <c r="AX598" s="14"/>
      <c r="AY598" s="14"/>
      <c r="AZ598" s="14"/>
      <c r="BA598" s="14"/>
      <c r="BB598" s="14"/>
      <c r="BC598" s="14"/>
      <c r="BD598" s="14"/>
      <c r="BE598" s="14"/>
      <c r="BF598" s="14"/>
      <c r="BG598" s="14"/>
      <c r="BH598" s="14"/>
      <c r="BI598" s="14"/>
      <c r="BJ598" s="14"/>
      <c r="BK598" s="14"/>
      <c r="BL598" s="14"/>
      <c r="BM598" s="14"/>
      <c r="BN598" s="14"/>
    </row>
    <row r="599" ht="22.5" customHeight="1">
      <c r="A599" s="349" t="s">
        <v>653</v>
      </c>
      <c r="B599" s="350"/>
      <c r="C599" s="351" t="s">
        <v>1266</v>
      </c>
      <c r="D599" s="352">
        <v>3772.0</v>
      </c>
      <c r="E599" s="353" t="s">
        <v>95</v>
      </c>
      <c r="F599" s="354" t="s">
        <v>68</v>
      </c>
      <c r="G599" s="355" t="s">
        <v>443</v>
      </c>
      <c r="H599" s="356" t="s">
        <v>31</v>
      </c>
      <c r="I599" s="356" t="s">
        <v>98</v>
      </c>
      <c r="J599" s="357">
        <v>20000.0</v>
      </c>
      <c r="K599" s="396">
        <v>1948.0</v>
      </c>
      <c r="L599" s="359">
        <v>46210.0</v>
      </c>
      <c r="M599" s="359">
        <v>46212.0</v>
      </c>
      <c r="N599" s="360"/>
      <c r="O599" s="361" t="s">
        <v>99</v>
      </c>
      <c r="P599" s="362"/>
      <c r="Q599" s="353" t="s">
        <v>35</v>
      </c>
      <c r="R599" s="353" t="s">
        <v>133</v>
      </c>
      <c r="S599" s="361" t="s">
        <v>35</v>
      </c>
      <c r="T599" s="361" t="s">
        <v>36</v>
      </c>
      <c r="U599" s="363" t="s">
        <v>37</v>
      </c>
      <c r="V599" s="430"/>
      <c r="W599" s="382"/>
      <c r="X599" s="365" t="s">
        <v>227</v>
      </c>
      <c r="Y599" s="366"/>
      <c r="Z599" s="367"/>
      <c r="AA599" s="367"/>
      <c r="AB599" s="13"/>
      <c r="AC599" s="13"/>
      <c r="AD599" s="13"/>
      <c r="AE599" s="13"/>
      <c r="AF599" s="13"/>
      <c r="AG599" s="13"/>
      <c r="AH599" s="13"/>
      <c r="AI599" s="13"/>
      <c r="AJ599" s="13"/>
      <c r="AK599" s="13"/>
      <c r="AL599" s="13"/>
      <c r="AM599" s="14"/>
      <c r="AN599" s="14"/>
      <c r="AO599" s="14"/>
      <c r="AP599" s="14"/>
      <c r="AQ599" s="14"/>
      <c r="AR599" s="14"/>
      <c r="AS599" s="14"/>
      <c r="AT599" s="14"/>
      <c r="AU599" s="14"/>
      <c r="AV599" s="14"/>
      <c r="AW599" s="14"/>
      <c r="AX599" s="14"/>
      <c r="AY599" s="14"/>
      <c r="AZ599" s="14"/>
      <c r="BA599" s="14"/>
      <c r="BB599" s="14"/>
      <c r="BC599" s="14"/>
      <c r="BD599" s="14"/>
      <c r="BE599" s="14"/>
      <c r="BF599" s="14"/>
      <c r="BG599" s="14"/>
      <c r="BH599" s="14"/>
      <c r="BI599" s="14"/>
      <c r="BJ599" s="14"/>
      <c r="BK599" s="14"/>
      <c r="BL599" s="14"/>
      <c r="BM599" s="14"/>
      <c r="BN599" s="14"/>
    </row>
    <row r="600" ht="22.5" customHeight="1">
      <c r="A600" s="349" t="s">
        <v>1041</v>
      </c>
      <c r="B600" s="350"/>
      <c r="C600" s="351" t="s">
        <v>1267</v>
      </c>
      <c r="D600" s="352">
        <v>3781.0</v>
      </c>
      <c r="E600" s="353" t="s">
        <v>157</v>
      </c>
      <c r="F600" s="354" t="s">
        <v>30</v>
      </c>
      <c r="G600" s="355" t="s">
        <v>1043</v>
      </c>
      <c r="H600" s="356" t="s">
        <v>31</v>
      </c>
      <c r="I600" s="356" t="s">
        <v>98</v>
      </c>
      <c r="J600" s="357" t="s">
        <v>1268</v>
      </c>
      <c r="K600" s="396">
        <v>715.0</v>
      </c>
      <c r="L600" s="359">
        <v>46211.0</v>
      </c>
      <c r="M600" s="359">
        <v>46216.0</v>
      </c>
      <c r="N600" s="360"/>
      <c r="O600" s="361" t="s">
        <v>70</v>
      </c>
      <c r="P600" s="362"/>
      <c r="Q600" s="353" t="s">
        <v>35</v>
      </c>
      <c r="R600" s="353" t="s">
        <v>133</v>
      </c>
      <c r="S600" s="361" t="s">
        <v>35</v>
      </c>
      <c r="T600" s="361" t="s">
        <v>36</v>
      </c>
      <c r="U600" s="363" t="s">
        <v>1237</v>
      </c>
      <c r="V600" s="430"/>
      <c r="W600" s="382"/>
      <c r="X600" s="365" t="s">
        <v>724</v>
      </c>
      <c r="Y600" s="366"/>
      <c r="Z600" s="367"/>
      <c r="AA600" s="367"/>
      <c r="AB600" s="13"/>
      <c r="AC600" s="13"/>
      <c r="AD600" s="13"/>
      <c r="AE600" s="13"/>
      <c r="AF600" s="13"/>
      <c r="AG600" s="13"/>
      <c r="AH600" s="13"/>
      <c r="AI600" s="13"/>
      <c r="AJ600" s="13"/>
      <c r="AK600" s="13"/>
      <c r="AL600" s="13"/>
      <c r="AM600" s="14"/>
      <c r="AN600" s="14"/>
      <c r="AO600" s="14"/>
      <c r="AP600" s="14"/>
      <c r="AQ600" s="14"/>
      <c r="AR600" s="14"/>
      <c r="AS600" s="14"/>
      <c r="AT600" s="14"/>
      <c r="AU600" s="14"/>
      <c r="AV600" s="14"/>
      <c r="AW600" s="14"/>
      <c r="AX600" s="14"/>
      <c r="AY600" s="14"/>
      <c r="AZ600" s="14"/>
      <c r="BA600" s="14"/>
      <c r="BB600" s="14"/>
      <c r="BC600" s="14"/>
      <c r="BD600" s="14"/>
      <c r="BE600" s="14"/>
      <c r="BF600" s="14"/>
      <c r="BG600" s="14"/>
      <c r="BH600" s="14"/>
      <c r="BI600" s="14"/>
      <c r="BJ600" s="14"/>
      <c r="BK600" s="14"/>
      <c r="BL600" s="14"/>
      <c r="BM600" s="14"/>
      <c r="BN600" s="14"/>
    </row>
    <row r="601" ht="22.5" customHeight="1">
      <c r="A601" s="349" t="s">
        <v>1269</v>
      </c>
      <c r="B601" s="350"/>
      <c r="C601" s="393" t="s">
        <v>1270</v>
      </c>
      <c r="D601" s="352">
        <v>3782.0</v>
      </c>
      <c r="E601" s="353" t="s">
        <v>51</v>
      </c>
      <c r="F601" s="354" t="s">
        <v>1201</v>
      </c>
      <c r="G601" s="355" t="s">
        <v>1271</v>
      </c>
      <c r="H601" s="356" t="s">
        <v>31</v>
      </c>
      <c r="I601" s="356" t="s">
        <v>98</v>
      </c>
      <c r="J601" s="357">
        <v>1000.0</v>
      </c>
      <c r="K601" s="396">
        <v>327.0</v>
      </c>
      <c r="L601" s="359">
        <v>46204.0</v>
      </c>
      <c r="M601" s="359">
        <v>46213.0</v>
      </c>
      <c r="N601" s="360"/>
      <c r="O601" s="361" t="s">
        <v>70</v>
      </c>
      <c r="P601" s="362"/>
      <c r="Q601" s="388" t="s">
        <v>35</v>
      </c>
      <c r="R601" s="388" t="s">
        <v>133</v>
      </c>
      <c r="S601" s="439"/>
      <c r="T601" s="439"/>
      <c r="U601" s="374" t="s">
        <v>1237</v>
      </c>
      <c r="V601" s="430"/>
      <c r="W601" s="395" t="s">
        <v>1272</v>
      </c>
      <c r="X601" s="366"/>
      <c r="Y601" s="366"/>
      <c r="Z601" s="367"/>
      <c r="AA601" s="367"/>
      <c r="AB601" s="13"/>
      <c r="AC601" s="13"/>
      <c r="AD601" s="13"/>
      <c r="AE601" s="13"/>
      <c r="AF601" s="13"/>
      <c r="AG601" s="13"/>
      <c r="AH601" s="13"/>
      <c r="AI601" s="13"/>
      <c r="AJ601" s="13"/>
      <c r="AK601" s="13"/>
      <c r="AL601" s="13"/>
      <c r="AM601" s="14"/>
      <c r="AN601" s="14"/>
      <c r="AO601" s="14"/>
      <c r="AP601" s="14"/>
      <c r="AQ601" s="14"/>
      <c r="AR601" s="14"/>
      <c r="AS601" s="14"/>
      <c r="AT601" s="14"/>
      <c r="AU601" s="14"/>
      <c r="AV601" s="14"/>
      <c r="AW601" s="14"/>
      <c r="AX601" s="14"/>
      <c r="AY601" s="14"/>
      <c r="AZ601" s="14"/>
      <c r="BA601" s="14"/>
      <c r="BB601" s="14"/>
      <c r="BC601" s="14"/>
      <c r="BD601" s="14"/>
      <c r="BE601" s="14"/>
      <c r="BF601" s="14"/>
      <c r="BG601" s="14"/>
      <c r="BH601" s="14"/>
      <c r="BI601" s="14"/>
      <c r="BJ601" s="14"/>
      <c r="BK601" s="14"/>
      <c r="BL601" s="14"/>
      <c r="BM601" s="14"/>
      <c r="BN601" s="14"/>
    </row>
    <row r="602" ht="22.5" customHeight="1">
      <c r="A602" s="349" t="s">
        <v>1269</v>
      </c>
      <c r="B602" s="350"/>
      <c r="C602" s="351" t="s">
        <v>1273</v>
      </c>
      <c r="D602" s="352">
        <v>3783.0</v>
      </c>
      <c r="E602" s="353" t="s">
        <v>51</v>
      </c>
      <c r="F602" s="354" t="s">
        <v>1201</v>
      </c>
      <c r="G602" s="355" t="s">
        <v>1274</v>
      </c>
      <c r="H602" s="394"/>
      <c r="I602" s="394"/>
      <c r="J602" s="357">
        <v>1000.0</v>
      </c>
      <c r="K602" s="396">
        <v>279.0</v>
      </c>
      <c r="L602" s="359">
        <v>46204.0</v>
      </c>
      <c r="M602" s="359">
        <v>46213.0</v>
      </c>
      <c r="N602" s="360"/>
      <c r="O602" s="361" t="s">
        <v>70</v>
      </c>
      <c r="P602" s="362"/>
      <c r="Q602" s="388" t="s">
        <v>35</v>
      </c>
      <c r="R602" s="388" t="s">
        <v>133</v>
      </c>
      <c r="S602" s="439"/>
      <c r="T602" s="439"/>
      <c r="U602" s="374" t="s">
        <v>1237</v>
      </c>
      <c r="V602" s="430"/>
      <c r="W602" s="395" t="s">
        <v>1272</v>
      </c>
      <c r="X602" s="366"/>
      <c r="Y602" s="366"/>
      <c r="Z602" s="367"/>
      <c r="AA602" s="367"/>
      <c r="AB602" s="13"/>
      <c r="AC602" s="13"/>
      <c r="AD602" s="13"/>
      <c r="AE602" s="13"/>
      <c r="AF602" s="13"/>
      <c r="AG602" s="13"/>
      <c r="AH602" s="13"/>
      <c r="AI602" s="13"/>
      <c r="AJ602" s="13"/>
      <c r="AK602" s="13"/>
      <c r="AL602" s="13"/>
      <c r="AM602" s="14"/>
      <c r="AN602" s="14"/>
      <c r="AO602" s="14"/>
      <c r="AP602" s="14"/>
      <c r="AQ602" s="14"/>
      <c r="AR602" s="14"/>
      <c r="AS602" s="14"/>
      <c r="AT602" s="14"/>
      <c r="AU602" s="14"/>
      <c r="AV602" s="14"/>
      <c r="AW602" s="14"/>
      <c r="AX602" s="14"/>
      <c r="AY602" s="14"/>
      <c r="AZ602" s="14"/>
      <c r="BA602" s="14"/>
      <c r="BB602" s="14"/>
      <c r="BC602" s="14"/>
      <c r="BD602" s="14"/>
      <c r="BE602" s="14"/>
      <c r="BF602" s="14"/>
      <c r="BG602" s="14"/>
      <c r="BH602" s="14"/>
      <c r="BI602" s="14"/>
      <c r="BJ602" s="14"/>
      <c r="BK602" s="14"/>
      <c r="BL602" s="14"/>
      <c r="BM602" s="14"/>
      <c r="BN602" s="14"/>
    </row>
    <row r="603" ht="22.5" customHeight="1">
      <c r="A603" s="349" t="s">
        <v>1269</v>
      </c>
      <c r="B603" s="350"/>
      <c r="C603" s="351" t="s">
        <v>1275</v>
      </c>
      <c r="D603" s="352">
        <v>3784.0</v>
      </c>
      <c r="E603" s="353" t="s">
        <v>51</v>
      </c>
      <c r="F603" s="354" t="s">
        <v>1201</v>
      </c>
      <c r="G603" s="355" t="s">
        <v>1271</v>
      </c>
      <c r="H603" s="394"/>
      <c r="I603" s="394"/>
      <c r="J603" s="357">
        <v>1000.0</v>
      </c>
      <c r="K603" s="396">
        <v>421.0</v>
      </c>
      <c r="L603" s="359">
        <v>46204.0</v>
      </c>
      <c r="M603" s="359">
        <v>46213.0</v>
      </c>
      <c r="N603" s="360"/>
      <c r="O603" s="361" t="s">
        <v>1276</v>
      </c>
      <c r="P603" s="362"/>
      <c r="Q603" s="388" t="s">
        <v>35</v>
      </c>
      <c r="R603" s="388" t="s">
        <v>133</v>
      </c>
      <c r="S603" s="439"/>
      <c r="T603" s="439"/>
      <c r="U603" s="374" t="s">
        <v>1237</v>
      </c>
      <c r="V603" s="430"/>
      <c r="W603" s="395" t="s">
        <v>1272</v>
      </c>
      <c r="X603" s="366"/>
      <c r="Y603" s="366"/>
      <c r="Z603" s="367"/>
      <c r="AA603" s="367"/>
      <c r="AB603" s="13"/>
      <c r="AC603" s="13"/>
      <c r="AD603" s="13"/>
      <c r="AE603" s="13"/>
      <c r="AF603" s="13"/>
      <c r="AG603" s="13"/>
      <c r="AH603" s="13"/>
      <c r="AI603" s="13"/>
      <c r="AJ603" s="13"/>
      <c r="AK603" s="13"/>
      <c r="AL603" s="13"/>
      <c r="AM603" s="14"/>
      <c r="AN603" s="14"/>
      <c r="AO603" s="14"/>
      <c r="AP603" s="14"/>
      <c r="AQ603" s="14"/>
      <c r="AR603" s="14"/>
      <c r="AS603" s="14"/>
      <c r="AT603" s="14"/>
      <c r="AU603" s="14"/>
      <c r="AV603" s="14"/>
      <c r="AW603" s="14"/>
      <c r="AX603" s="14"/>
      <c r="AY603" s="14"/>
      <c r="AZ603" s="14"/>
      <c r="BA603" s="14"/>
      <c r="BB603" s="14"/>
      <c r="BC603" s="14"/>
      <c r="BD603" s="14"/>
      <c r="BE603" s="14"/>
      <c r="BF603" s="14"/>
      <c r="BG603" s="14"/>
      <c r="BH603" s="14"/>
      <c r="BI603" s="14"/>
      <c r="BJ603" s="14"/>
      <c r="BK603" s="14"/>
      <c r="BL603" s="14"/>
      <c r="BM603" s="14"/>
      <c r="BN603" s="14"/>
    </row>
    <row r="604" ht="22.5" customHeight="1">
      <c r="A604" s="349" t="s">
        <v>803</v>
      </c>
      <c r="B604" s="350"/>
      <c r="C604" s="351" t="s">
        <v>1277</v>
      </c>
      <c r="D604" s="352">
        <v>3785.0</v>
      </c>
      <c r="E604" s="353" t="s">
        <v>29</v>
      </c>
      <c r="F604" s="354" t="s">
        <v>30</v>
      </c>
      <c r="G604" s="355" t="s">
        <v>234</v>
      </c>
      <c r="H604" s="356" t="s">
        <v>31</v>
      </c>
      <c r="I604" s="356" t="s">
        <v>132</v>
      </c>
      <c r="J604" s="357">
        <v>10000.0</v>
      </c>
      <c r="K604" s="396">
        <v>1206.0</v>
      </c>
      <c r="L604" s="359">
        <v>46210.0</v>
      </c>
      <c r="M604" s="359">
        <v>46216.0</v>
      </c>
      <c r="N604" s="360"/>
      <c r="O604" s="361" t="s">
        <v>34</v>
      </c>
      <c r="P604" s="362"/>
      <c r="Q604" s="388" t="s">
        <v>35</v>
      </c>
      <c r="R604" s="388" t="s">
        <v>133</v>
      </c>
      <c r="S604" s="381" t="s">
        <v>35</v>
      </c>
      <c r="T604" s="381" t="s">
        <v>36</v>
      </c>
      <c r="U604" s="374" t="s">
        <v>839</v>
      </c>
      <c r="V604" s="430"/>
      <c r="W604" s="382"/>
      <c r="X604" s="366"/>
      <c r="Y604" s="366"/>
      <c r="Z604" s="367"/>
      <c r="AA604" s="367"/>
      <c r="AB604" s="13"/>
      <c r="AC604" s="13"/>
      <c r="AD604" s="13"/>
      <c r="AE604" s="13"/>
      <c r="AF604" s="13"/>
      <c r="AG604" s="13"/>
      <c r="AH604" s="13"/>
      <c r="AI604" s="13"/>
      <c r="AJ604" s="13"/>
      <c r="AK604" s="13"/>
      <c r="AL604" s="13"/>
      <c r="AM604" s="14"/>
      <c r="AN604" s="14"/>
      <c r="AO604" s="14"/>
      <c r="AP604" s="14"/>
      <c r="AQ604" s="14"/>
      <c r="AR604" s="14"/>
      <c r="AS604" s="14"/>
      <c r="AT604" s="14"/>
      <c r="AU604" s="14"/>
      <c r="AV604" s="14"/>
      <c r="AW604" s="14"/>
      <c r="AX604" s="14"/>
      <c r="AY604" s="14"/>
      <c r="AZ604" s="14"/>
      <c r="BA604" s="14"/>
      <c r="BB604" s="14"/>
      <c r="BC604" s="14"/>
      <c r="BD604" s="14"/>
      <c r="BE604" s="14"/>
      <c r="BF604" s="14"/>
      <c r="BG604" s="14"/>
      <c r="BH604" s="14"/>
      <c r="BI604" s="14"/>
      <c r="BJ604" s="14"/>
      <c r="BK604" s="14"/>
      <c r="BL604" s="14"/>
      <c r="BM604" s="14"/>
      <c r="BN604" s="14"/>
    </row>
    <row r="605" ht="22.5" customHeight="1">
      <c r="A605" s="349" t="s">
        <v>1278</v>
      </c>
      <c r="B605" s="350"/>
      <c r="C605" s="351" t="s">
        <v>1279</v>
      </c>
      <c r="D605" s="447"/>
      <c r="E605" s="353" t="s">
        <v>29</v>
      </c>
      <c r="F605" s="354" t="s">
        <v>30</v>
      </c>
      <c r="G605" s="355" t="s">
        <v>1280</v>
      </c>
      <c r="H605" s="356" t="s">
        <v>52</v>
      </c>
      <c r="I605" s="356" t="s">
        <v>274</v>
      </c>
      <c r="J605" s="357" t="s">
        <v>1281</v>
      </c>
      <c r="K605" s="479"/>
      <c r="L605" s="359">
        <v>46146.0</v>
      </c>
      <c r="M605" s="359">
        <v>46148.0</v>
      </c>
      <c r="N605" s="360"/>
      <c r="O605" s="361" t="s">
        <v>34</v>
      </c>
      <c r="P605" s="362"/>
      <c r="Q605" s="387"/>
      <c r="R605" s="388" t="s">
        <v>133</v>
      </c>
      <c r="S605" s="381" t="s">
        <v>36</v>
      </c>
      <c r="T605" s="381" t="s">
        <v>36</v>
      </c>
      <c r="U605" s="374" t="s">
        <v>1282</v>
      </c>
      <c r="V605" s="375"/>
      <c r="W605" s="395" t="s">
        <v>1283</v>
      </c>
      <c r="X605" s="484"/>
      <c r="Y605" s="366"/>
      <c r="Z605" s="485"/>
      <c r="AA605" s="367"/>
      <c r="AB605" s="13"/>
      <c r="AC605" s="13"/>
      <c r="AD605" s="13"/>
      <c r="AE605" s="13"/>
      <c r="AF605" s="13"/>
      <c r="AG605" s="13"/>
      <c r="AH605" s="13"/>
      <c r="AI605" s="13"/>
      <c r="AJ605" s="13"/>
      <c r="AK605" s="13"/>
      <c r="AL605" s="13"/>
      <c r="AM605" s="14"/>
      <c r="AN605" s="14"/>
      <c r="AO605" s="14"/>
      <c r="AP605" s="14"/>
      <c r="AQ605" s="14"/>
      <c r="AR605" s="14"/>
      <c r="AS605" s="14"/>
      <c r="AT605" s="14"/>
      <c r="AU605" s="14"/>
      <c r="AV605" s="14"/>
      <c r="AW605" s="14"/>
      <c r="AX605" s="14"/>
      <c r="AY605" s="14"/>
      <c r="AZ605" s="14"/>
      <c r="BA605" s="14"/>
      <c r="BB605" s="14"/>
      <c r="BC605" s="14"/>
      <c r="BD605" s="14"/>
      <c r="BE605" s="14"/>
      <c r="BF605" s="14"/>
      <c r="BG605" s="14"/>
      <c r="BH605" s="14"/>
      <c r="BI605" s="14"/>
      <c r="BJ605" s="14"/>
      <c r="BK605" s="14"/>
      <c r="BL605" s="14"/>
      <c r="BM605" s="14"/>
      <c r="BN605" s="14"/>
    </row>
    <row r="606" ht="22.5" customHeight="1">
      <c r="A606" s="349" t="s">
        <v>836</v>
      </c>
      <c r="B606" s="350"/>
      <c r="C606" s="351" t="s">
        <v>1284</v>
      </c>
      <c r="D606" s="447"/>
      <c r="E606" s="369" t="s">
        <v>95</v>
      </c>
      <c r="F606" s="354" t="s">
        <v>30</v>
      </c>
      <c r="G606" s="355" t="s">
        <v>1285</v>
      </c>
      <c r="H606" s="356"/>
      <c r="I606" s="394"/>
      <c r="J606" s="357">
        <v>40000.0</v>
      </c>
      <c r="K606" s="479"/>
      <c r="L606" s="359">
        <v>46191.0</v>
      </c>
      <c r="M606" s="359">
        <v>46195.0</v>
      </c>
      <c r="N606" s="360"/>
      <c r="O606" s="486" t="s">
        <v>338</v>
      </c>
      <c r="P606" s="362"/>
      <c r="Q606" s="388" t="s">
        <v>35</v>
      </c>
      <c r="R606" s="388" t="s">
        <v>133</v>
      </c>
      <c r="S606" s="381" t="s">
        <v>35</v>
      </c>
      <c r="T606" s="439"/>
      <c r="U606" s="363" t="s">
        <v>1286</v>
      </c>
      <c r="V606" s="375"/>
      <c r="W606" s="395" t="s">
        <v>1287</v>
      </c>
      <c r="X606" s="397" t="s">
        <v>841</v>
      </c>
      <c r="Y606" s="365" t="s">
        <v>516</v>
      </c>
      <c r="Z606" s="380" t="s">
        <v>516</v>
      </c>
      <c r="AA606" s="367"/>
      <c r="AB606" s="13"/>
      <c r="AC606" s="13"/>
      <c r="AD606" s="13"/>
      <c r="AE606" s="13"/>
      <c r="AF606" s="13"/>
      <c r="AG606" s="13"/>
      <c r="AH606" s="13"/>
      <c r="AI606" s="13"/>
      <c r="AJ606" s="13"/>
      <c r="AK606" s="13"/>
      <c r="AL606" s="13"/>
      <c r="AM606" s="14"/>
      <c r="AN606" s="14"/>
      <c r="AO606" s="14"/>
      <c r="AP606" s="14"/>
      <c r="AQ606" s="14"/>
      <c r="AR606" s="14"/>
      <c r="AS606" s="14"/>
      <c r="AT606" s="14"/>
      <c r="AU606" s="14"/>
      <c r="AV606" s="14"/>
      <c r="AW606" s="14"/>
      <c r="AX606" s="14"/>
      <c r="AY606" s="14"/>
      <c r="AZ606" s="14"/>
      <c r="BA606" s="14"/>
      <c r="BB606" s="14"/>
      <c r="BC606" s="14"/>
      <c r="BD606" s="14"/>
      <c r="BE606" s="14"/>
      <c r="BF606" s="14"/>
      <c r="BG606" s="14"/>
      <c r="BH606" s="14"/>
      <c r="BI606" s="14"/>
      <c r="BJ606" s="14"/>
      <c r="BK606" s="14"/>
      <c r="BL606" s="14"/>
      <c r="BM606" s="14"/>
      <c r="BN606" s="14"/>
    </row>
    <row r="607" ht="22.5" customHeight="1">
      <c r="A607" s="349" t="s">
        <v>759</v>
      </c>
      <c r="B607" s="350"/>
      <c r="C607" s="351" t="s">
        <v>1288</v>
      </c>
      <c r="D607" s="447"/>
      <c r="E607" s="353" t="s">
        <v>29</v>
      </c>
      <c r="F607" s="354" t="s">
        <v>68</v>
      </c>
      <c r="G607" s="355" t="s">
        <v>1289</v>
      </c>
      <c r="H607" s="356" t="s">
        <v>31</v>
      </c>
      <c r="I607" s="356" t="s">
        <v>261</v>
      </c>
      <c r="J607" s="357">
        <v>238000.0</v>
      </c>
      <c r="K607" s="479"/>
      <c r="L607" s="359">
        <v>46204.0</v>
      </c>
      <c r="M607" s="359">
        <v>46209.0</v>
      </c>
      <c r="N607" s="360"/>
      <c r="O607" s="361" t="s">
        <v>54</v>
      </c>
      <c r="P607" s="362"/>
      <c r="Q607" s="387"/>
      <c r="R607" s="388" t="s">
        <v>133</v>
      </c>
      <c r="S607" s="381" t="s">
        <v>35</v>
      </c>
      <c r="T607" s="381" t="s">
        <v>36</v>
      </c>
      <c r="U607" s="374" t="s">
        <v>37</v>
      </c>
      <c r="V607" s="430"/>
      <c r="W607" s="395"/>
      <c r="X607" s="366"/>
      <c r="Y607" s="366"/>
      <c r="Z607" s="367"/>
      <c r="AA607" s="367"/>
      <c r="AB607" s="13"/>
      <c r="AC607" s="13"/>
      <c r="AD607" s="13"/>
      <c r="AE607" s="13"/>
      <c r="AF607" s="13"/>
      <c r="AG607" s="13"/>
      <c r="AH607" s="13"/>
      <c r="AI607" s="13"/>
      <c r="AJ607" s="13"/>
      <c r="AK607" s="13"/>
      <c r="AL607" s="13"/>
      <c r="AM607" s="14"/>
      <c r="AN607" s="14"/>
      <c r="AO607" s="14"/>
      <c r="AP607" s="14"/>
      <c r="AQ607" s="14"/>
      <c r="AR607" s="14"/>
      <c r="AS607" s="14"/>
      <c r="AT607" s="14"/>
      <c r="AU607" s="14"/>
      <c r="AV607" s="14"/>
      <c r="AW607" s="14"/>
      <c r="AX607" s="14"/>
      <c r="AY607" s="14"/>
      <c r="AZ607" s="14"/>
      <c r="BA607" s="14"/>
      <c r="BB607" s="14"/>
      <c r="BC607" s="14"/>
      <c r="BD607" s="14"/>
      <c r="BE607" s="14"/>
      <c r="BF607" s="14"/>
      <c r="BG607" s="14"/>
      <c r="BH607" s="14"/>
      <c r="BI607" s="14"/>
      <c r="BJ607" s="14"/>
      <c r="BK607" s="14"/>
      <c r="BL607" s="14"/>
      <c r="BM607" s="14"/>
      <c r="BN607" s="14"/>
    </row>
    <row r="608" ht="22.5" customHeight="1">
      <c r="A608" s="349" t="s">
        <v>803</v>
      </c>
      <c r="B608" s="350"/>
      <c r="C608" s="262" t="s">
        <v>1290</v>
      </c>
      <c r="D608" s="352"/>
      <c r="E608" s="353" t="s">
        <v>29</v>
      </c>
      <c r="F608" s="354" t="s">
        <v>30</v>
      </c>
      <c r="G608" s="355" t="s">
        <v>718</v>
      </c>
      <c r="H608" s="356" t="s">
        <v>31</v>
      </c>
      <c r="I608" s="356" t="s">
        <v>132</v>
      </c>
      <c r="J608" s="357">
        <v>10000.0</v>
      </c>
      <c r="K608" s="396"/>
      <c r="L608" s="359">
        <v>46210.0</v>
      </c>
      <c r="M608" s="359">
        <v>46216.0</v>
      </c>
      <c r="N608" s="360"/>
      <c r="O608" s="361" t="s">
        <v>34</v>
      </c>
      <c r="P608" s="362"/>
      <c r="Q608" s="388" t="s">
        <v>35</v>
      </c>
      <c r="R608" s="388" t="s">
        <v>133</v>
      </c>
      <c r="S608" s="381" t="s">
        <v>35</v>
      </c>
      <c r="T608" s="381" t="s">
        <v>36</v>
      </c>
      <c r="U608" s="374" t="s">
        <v>1282</v>
      </c>
      <c r="V608" s="430"/>
      <c r="W608" s="395" t="s">
        <v>1291</v>
      </c>
      <c r="X608" s="366"/>
      <c r="Y608" s="366"/>
      <c r="Z608" s="367"/>
      <c r="AA608" s="367"/>
      <c r="AB608" s="13"/>
      <c r="AC608" s="13"/>
      <c r="AD608" s="13"/>
      <c r="AE608" s="13"/>
      <c r="AF608" s="13"/>
      <c r="AG608" s="13"/>
      <c r="AH608" s="13"/>
      <c r="AI608" s="13"/>
      <c r="AJ608" s="13"/>
      <c r="AK608" s="13"/>
      <c r="AL608" s="13"/>
      <c r="AM608" s="14"/>
      <c r="AN608" s="14"/>
      <c r="AO608" s="14"/>
      <c r="AP608" s="14"/>
      <c r="AQ608" s="14"/>
      <c r="AR608" s="14"/>
      <c r="AS608" s="14"/>
      <c r="AT608" s="14"/>
      <c r="AU608" s="14"/>
      <c r="AV608" s="14"/>
      <c r="AW608" s="14"/>
      <c r="AX608" s="14"/>
      <c r="AY608" s="14"/>
      <c r="AZ608" s="14"/>
      <c r="BA608" s="14"/>
      <c r="BB608" s="14"/>
      <c r="BC608" s="14"/>
      <c r="BD608" s="14"/>
      <c r="BE608" s="14"/>
      <c r="BF608" s="14"/>
      <c r="BG608" s="14"/>
      <c r="BH608" s="14"/>
      <c r="BI608" s="14"/>
      <c r="BJ608" s="14"/>
      <c r="BK608" s="14"/>
      <c r="BL608" s="14"/>
      <c r="BM608" s="14"/>
      <c r="BN608" s="14"/>
    </row>
    <row r="609" ht="22.5" customHeight="1">
      <c r="A609" s="349" t="s">
        <v>1292</v>
      </c>
      <c r="B609" s="350"/>
      <c r="C609" s="351" t="s">
        <v>1293</v>
      </c>
      <c r="D609" s="352">
        <v>3808.0</v>
      </c>
      <c r="E609" s="353" t="s">
        <v>51</v>
      </c>
      <c r="F609" s="354" t="s">
        <v>1201</v>
      </c>
      <c r="G609" s="355" t="s">
        <v>1294</v>
      </c>
      <c r="H609" s="356" t="s">
        <v>31</v>
      </c>
      <c r="I609" s="356" t="s">
        <v>98</v>
      </c>
      <c r="J609" s="357">
        <v>500.0</v>
      </c>
      <c r="K609" s="396">
        <v>415.0</v>
      </c>
      <c r="L609" s="359">
        <v>46211.0</v>
      </c>
      <c r="M609" s="359">
        <v>46218.0</v>
      </c>
      <c r="N609" s="360"/>
      <c r="O609" s="361" t="s">
        <v>1295</v>
      </c>
      <c r="P609" s="362"/>
      <c r="Q609" s="388" t="s">
        <v>35</v>
      </c>
      <c r="R609" s="388" t="s">
        <v>133</v>
      </c>
      <c r="S609" s="439"/>
      <c r="T609" s="381" t="s">
        <v>36</v>
      </c>
      <c r="U609" s="374" t="s">
        <v>1296</v>
      </c>
      <c r="V609" s="430"/>
      <c r="W609" s="487" t="s">
        <v>1297</v>
      </c>
      <c r="X609" s="276" t="s">
        <v>1298</v>
      </c>
      <c r="Y609" s="366"/>
      <c r="Z609" s="367"/>
      <c r="AA609" s="367"/>
      <c r="AB609" s="13"/>
      <c r="AC609" s="13"/>
      <c r="AD609" s="13"/>
      <c r="AE609" s="13"/>
      <c r="AF609" s="13"/>
      <c r="AG609" s="13"/>
      <c r="AH609" s="13"/>
      <c r="AI609" s="13"/>
      <c r="AJ609" s="13"/>
      <c r="AK609" s="13"/>
      <c r="AL609" s="13"/>
      <c r="AM609" s="14"/>
      <c r="AN609" s="14"/>
      <c r="AO609" s="14"/>
      <c r="AP609" s="14"/>
      <c r="AQ609" s="14"/>
      <c r="AR609" s="14"/>
      <c r="AS609" s="14"/>
      <c r="AT609" s="14"/>
      <c r="AU609" s="14"/>
      <c r="AV609" s="14"/>
      <c r="AW609" s="14"/>
      <c r="AX609" s="14"/>
      <c r="AY609" s="14"/>
      <c r="AZ609" s="14"/>
      <c r="BA609" s="14"/>
      <c r="BB609" s="14"/>
      <c r="BC609" s="14"/>
      <c r="BD609" s="14"/>
      <c r="BE609" s="14"/>
      <c r="BF609" s="14"/>
      <c r="BG609" s="14"/>
      <c r="BH609" s="14"/>
      <c r="BI609" s="14"/>
      <c r="BJ609" s="14"/>
      <c r="BK609" s="14"/>
      <c r="BL609" s="14"/>
      <c r="BM609" s="14"/>
      <c r="BN609" s="14"/>
    </row>
    <row r="610" ht="22.5" customHeight="1">
      <c r="A610" s="349" t="s">
        <v>155</v>
      </c>
      <c r="B610" s="350"/>
      <c r="C610" s="351" t="s">
        <v>1299</v>
      </c>
      <c r="D610" s="352" t="s">
        <v>1300</v>
      </c>
      <c r="E610" s="353" t="s">
        <v>157</v>
      </c>
      <c r="F610" s="354" t="s">
        <v>30</v>
      </c>
      <c r="G610" s="355" t="s">
        <v>593</v>
      </c>
      <c r="H610" s="356" t="s">
        <v>31</v>
      </c>
      <c r="I610" s="356" t="s">
        <v>98</v>
      </c>
      <c r="J610" s="357" t="s">
        <v>730</v>
      </c>
      <c r="K610" s="479">
        <f>991+1737</f>
        <v>2728</v>
      </c>
      <c r="L610" s="359">
        <v>46211.0</v>
      </c>
      <c r="M610" s="359">
        <v>46217.0</v>
      </c>
      <c r="N610" s="360"/>
      <c r="O610" s="361" t="s">
        <v>70</v>
      </c>
      <c r="P610" s="362"/>
      <c r="Q610" s="353" t="s">
        <v>35</v>
      </c>
      <c r="R610" s="353" t="s">
        <v>133</v>
      </c>
      <c r="S610" s="361" t="s">
        <v>35</v>
      </c>
      <c r="T610" s="361" t="s">
        <v>36</v>
      </c>
      <c r="U610" s="363" t="s">
        <v>1296</v>
      </c>
      <c r="V610" s="437" t="s">
        <v>1301</v>
      </c>
      <c r="W610" s="357" t="s">
        <v>1302</v>
      </c>
      <c r="X610" s="365" t="s">
        <v>160</v>
      </c>
      <c r="Y610" s="366"/>
      <c r="Z610" s="367"/>
      <c r="AA610" s="380" t="s">
        <v>516</v>
      </c>
      <c r="AB610" s="13"/>
      <c r="AC610" s="13"/>
      <c r="AD610" s="13"/>
      <c r="AE610" s="13"/>
      <c r="AF610" s="13"/>
      <c r="AG610" s="13"/>
      <c r="AH610" s="13"/>
      <c r="AI610" s="13"/>
      <c r="AJ610" s="13"/>
      <c r="AK610" s="13"/>
      <c r="AL610" s="13"/>
      <c r="AM610" s="14"/>
      <c r="AN610" s="14"/>
      <c r="AO610" s="14"/>
      <c r="AP610" s="14"/>
      <c r="AQ610" s="14"/>
      <c r="AR610" s="14"/>
      <c r="AS610" s="14"/>
      <c r="AT610" s="14"/>
      <c r="AU610" s="14"/>
      <c r="AV610" s="14"/>
      <c r="AW610" s="14"/>
      <c r="AX610" s="14"/>
      <c r="AY610" s="14"/>
      <c r="AZ610" s="14"/>
      <c r="BA610" s="14"/>
      <c r="BB610" s="14"/>
      <c r="BC610" s="14"/>
      <c r="BD610" s="14"/>
      <c r="BE610" s="14"/>
      <c r="BF610" s="14"/>
      <c r="BG610" s="14"/>
      <c r="BH610" s="14"/>
      <c r="BI610" s="14"/>
      <c r="BJ610" s="14"/>
      <c r="BK610" s="14"/>
      <c r="BL610" s="14"/>
      <c r="BM610" s="14"/>
      <c r="BN610" s="14"/>
    </row>
    <row r="611" ht="22.5" customHeight="1">
      <c r="A611" s="349" t="s">
        <v>155</v>
      </c>
      <c r="B611" s="350"/>
      <c r="C611" s="351" t="s">
        <v>1303</v>
      </c>
      <c r="D611" s="352" t="s">
        <v>1304</v>
      </c>
      <c r="E611" s="353" t="s">
        <v>157</v>
      </c>
      <c r="F611" s="354" t="s">
        <v>30</v>
      </c>
      <c r="G611" s="355" t="s">
        <v>856</v>
      </c>
      <c r="H611" s="356" t="s">
        <v>31</v>
      </c>
      <c r="I611" s="356" t="s">
        <v>98</v>
      </c>
      <c r="J611" s="357" t="s">
        <v>462</v>
      </c>
      <c r="K611" s="396">
        <f>SUM(1134,2023,1973)</f>
        <v>5130</v>
      </c>
      <c r="L611" s="359">
        <v>46211.0</v>
      </c>
      <c r="M611" s="359">
        <v>46217.0</v>
      </c>
      <c r="N611" s="360"/>
      <c r="O611" s="361" t="s">
        <v>70</v>
      </c>
      <c r="P611" s="362"/>
      <c r="Q611" s="353" t="s">
        <v>35</v>
      </c>
      <c r="R611" s="353" t="s">
        <v>133</v>
      </c>
      <c r="S611" s="361" t="s">
        <v>35</v>
      </c>
      <c r="T611" s="361" t="s">
        <v>36</v>
      </c>
      <c r="U611" s="363" t="s">
        <v>1296</v>
      </c>
      <c r="V611" s="437" t="s">
        <v>1301</v>
      </c>
      <c r="W611" s="357" t="s">
        <v>1302</v>
      </c>
      <c r="X611" s="365" t="s">
        <v>160</v>
      </c>
      <c r="Y611" s="366"/>
      <c r="Z611" s="367"/>
      <c r="AA611" s="380" t="s">
        <v>516</v>
      </c>
      <c r="AB611" s="13"/>
      <c r="AC611" s="13"/>
      <c r="AD611" s="13"/>
      <c r="AE611" s="13"/>
      <c r="AF611" s="13"/>
      <c r="AG611" s="13"/>
      <c r="AH611" s="13"/>
      <c r="AI611" s="13"/>
      <c r="AJ611" s="13"/>
      <c r="AK611" s="13"/>
      <c r="AL611" s="13"/>
      <c r="AM611" s="14"/>
      <c r="AN611" s="14"/>
      <c r="AO611" s="14"/>
      <c r="AP611" s="14"/>
      <c r="AQ611" s="14"/>
      <c r="AR611" s="14"/>
      <c r="AS611" s="14"/>
      <c r="AT611" s="14"/>
      <c r="AU611" s="14"/>
      <c r="AV611" s="14"/>
      <c r="AW611" s="14"/>
      <c r="AX611" s="14"/>
      <c r="AY611" s="14"/>
      <c r="AZ611" s="14"/>
      <c r="BA611" s="14"/>
      <c r="BB611" s="14"/>
      <c r="BC611" s="14"/>
      <c r="BD611" s="14"/>
      <c r="BE611" s="14"/>
      <c r="BF611" s="14"/>
      <c r="BG611" s="14"/>
      <c r="BH611" s="14"/>
      <c r="BI611" s="14"/>
      <c r="BJ611" s="14"/>
      <c r="BK611" s="14"/>
      <c r="BL611" s="14"/>
      <c r="BM611" s="14"/>
      <c r="BN611" s="14"/>
    </row>
    <row r="612" ht="22.5" customHeight="1">
      <c r="A612" s="349" t="s">
        <v>155</v>
      </c>
      <c r="B612" s="350"/>
      <c r="C612" s="351" t="s">
        <v>1305</v>
      </c>
      <c r="D612" s="352" t="s">
        <v>1306</v>
      </c>
      <c r="E612" s="353" t="s">
        <v>157</v>
      </c>
      <c r="F612" s="354" t="s">
        <v>30</v>
      </c>
      <c r="G612" s="355" t="s">
        <v>790</v>
      </c>
      <c r="H612" s="356" t="s">
        <v>31</v>
      </c>
      <c r="I612" s="356" t="s">
        <v>98</v>
      </c>
      <c r="J612" s="357" t="s">
        <v>462</v>
      </c>
      <c r="K612" s="479">
        <f>SUM(2762,2712,1483)</f>
        <v>6957</v>
      </c>
      <c r="L612" s="359">
        <v>46211.0</v>
      </c>
      <c r="M612" s="359">
        <v>46217.0</v>
      </c>
      <c r="N612" s="360"/>
      <c r="O612" s="361" t="s">
        <v>70</v>
      </c>
      <c r="P612" s="362"/>
      <c r="Q612" s="353" t="s">
        <v>35</v>
      </c>
      <c r="R612" s="353" t="s">
        <v>133</v>
      </c>
      <c r="S612" s="361" t="s">
        <v>35</v>
      </c>
      <c r="T612" s="361" t="s">
        <v>36</v>
      </c>
      <c r="U612" s="363" t="s">
        <v>1296</v>
      </c>
      <c r="V612" s="437" t="s">
        <v>1301</v>
      </c>
      <c r="W612" s="357" t="s">
        <v>1302</v>
      </c>
      <c r="X612" s="365" t="s">
        <v>160</v>
      </c>
      <c r="Y612" s="366"/>
      <c r="Z612" s="367"/>
      <c r="AA612" s="380" t="s">
        <v>516</v>
      </c>
      <c r="AB612" s="13"/>
      <c r="AC612" s="13"/>
      <c r="AD612" s="13"/>
      <c r="AE612" s="13"/>
      <c r="AF612" s="13"/>
      <c r="AG612" s="13"/>
      <c r="AH612" s="13"/>
      <c r="AI612" s="13"/>
      <c r="AJ612" s="13"/>
      <c r="AK612" s="13"/>
      <c r="AL612" s="13"/>
      <c r="AM612" s="14"/>
      <c r="AN612" s="14"/>
      <c r="AO612" s="14"/>
      <c r="AP612" s="14"/>
      <c r="AQ612" s="14"/>
      <c r="AR612" s="14"/>
      <c r="AS612" s="14"/>
      <c r="AT612" s="14"/>
      <c r="AU612" s="14"/>
      <c r="AV612" s="14"/>
      <c r="AW612" s="14"/>
      <c r="AX612" s="14"/>
      <c r="AY612" s="14"/>
      <c r="AZ612" s="14"/>
      <c r="BA612" s="14"/>
      <c r="BB612" s="14"/>
      <c r="BC612" s="14"/>
      <c r="BD612" s="14"/>
      <c r="BE612" s="14"/>
      <c r="BF612" s="14"/>
      <c r="BG612" s="14"/>
      <c r="BH612" s="14"/>
      <c r="BI612" s="14"/>
      <c r="BJ612" s="14"/>
      <c r="BK612" s="14"/>
      <c r="BL612" s="14"/>
      <c r="BM612" s="14"/>
      <c r="BN612" s="14"/>
    </row>
    <row r="613" ht="22.5" customHeight="1">
      <c r="A613" s="349" t="s">
        <v>1307</v>
      </c>
      <c r="B613" s="350"/>
      <c r="C613" s="351" t="s">
        <v>1308</v>
      </c>
      <c r="D613" s="352">
        <v>3809.0</v>
      </c>
      <c r="E613" s="353" t="s">
        <v>51</v>
      </c>
      <c r="F613" s="354" t="s">
        <v>1309</v>
      </c>
      <c r="G613" s="355" t="s">
        <v>1310</v>
      </c>
      <c r="H613" s="356" t="s">
        <v>31</v>
      </c>
      <c r="I613" s="356" t="s">
        <v>311</v>
      </c>
      <c r="J613" s="357">
        <v>500.0</v>
      </c>
      <c r="K613" s="396">
        <v>242.0</v>
      </c>
      <c r="L613" s="359">
        <v>46212.0</v>
      </c>
      <c r="M613" s="359">
        <v>46216.0</v>
      </c>
      <c r="N613" s="360"/>
      <c r="O613" s="361" t="s">
        <v>70</v>
      </c>
      <c r="P613" s="362"/>
      <c r="Q613" s="353" t="s">
        <v>35</v>
      </c>
      <c r="R613" s="353" t="s">
        <v>133</v>
      </c>
      <c r="S613" s="381" t="s">
        <v>36</v>
      </c>
      <c r="T613" s="381" t="s">
        <v>36</v>
      </c>
      <c r="U613" s="374" t="s">
        <v>1237</v>
      </c>
      <c r="V613" s="430"/>
      <c r="W613" s="488" t="s">
        <v>1311</v>
      </c>
      <c r="X613" s="365"/>
      <c r="Y613" s="366"/>
      <c r="Z613" s="367"/>
      <c r="AA613" s="367"/>
      <c r="AB613" s="13"/>
      <c r="AC613" s="13"/>
      <c r="AD613" s="13"/>
      <c r="AE613" s="13"/>
      <c r="AF613" s="13"/>
      <c r="AG613" s="13"/>
      <c r="AH613" s="13"/>
      <c r="AI613" s="13"/>
      <c r="AJ613" s="13"/>
      <c r="AK613" s="13"/>
      <c r="AL613" s="13"/>
      <c r="AM613" s="14"/>
      <c r="AN613" s="14"/>
      <c r="AO613" s="14"/>
      <c r="AP613" s="14"/>
      <c r="AQ613" s="14"/>
      <c r="AR613" s="14"/>
      <c r="AS613" s="14"/>
      <c r="AT613" s="14"/>
      <c r="AU613" s="14"/>
      <c r="AV613" s="14"/>
      <c r="AW613" s="14"/>
      <c r="AX613" s="14"/>
      <c r="AY613" s="14"/>
      <c r="AZ613" s="14"/>
      <c r="BA613" s="14"/>
      <c r="BB613" s="14"/>
      <c r="BC613" s="14"/>
      <c r="BD613" s="14"/>
      <c r="BE613" s="14"/>
      <c r="BF613" s="14"/>
      <c r="BG613" s="14"/>
      <c r="BH613" s="14"/>
      <c r="BI613" s="14"/>
      <c r="BJ613" s="14"/>
      <c r="BK613" s="14"/>
      <c r="BL613" s="14"/>
      <c r="BM613" s="14"/>
      <c r="BN613" s="14"/>
    </row>
    <row r="614" ht="22.5" customHeight="1">
      <c r="A614" s="349" t="s">
        <v>1307</v>
      </c>
      <c r="B614" s="350"/>
      <c r="C614" s="351" t="s">
        <v>1312</v>
      </c>
      <c r="D614" s="352">
        <v>3810.0</v>
      </c>
      <c r="E614" s="353" t="s">
        <v>51</v>
      </c>
      <c r="F614" s="354" t="s">
        <v>1313</v>
      </c>
      <c r="G614" s="355" t="s">
        <v>1314</v>
      </c>
      <c r="H614" s="356" t="s">
        <v>31</v>
      </c>
      <c r="I614" s="356" t="s">
        <v>261</v>
      </c>
      <c r="J614" s="357">
        <v>500.0</v>
      </c>
      <c r="K614" s="396">
        <v>121.0</v>
      </c>
      <c r="L614" s="359">
        <v>46212.0</v>
      </c>
      <c r="M614" s="359">
        <v>46216.0</v>
      </c>
      <c r="N614" s="360"/>
      <c r="O614" s="361" t="s">
        <v>99</v>
      </c>
      <c r="P614" s="362"/>
      <c r="Q614" s="353" t="s">
        <v>35</v>
      </c>
      <c r="R614" s="353" t="s">
        <v>133</v>
      </c>
      <c r="S614" s="439"/>
      <c r="T614" s="381" t="s">
        <v>36</v>
      </c>
      <c r="U614" s="374" t="s">
        <v>1237</v>
      </c>
      <c r="V614" s="430"/>
      <c r="W614" s="488" t="s">
        <v>1311</v>
      </c>
      <c r="X614" s="366"/>
      <c r="Y614" s="366"/>
      <c r="Z614" s="367"/>
      <c r="AA614" s="367"/>
      <c r="AB614" s="13"/>
      <c r="AC614" s="13"/>
      <c r="AD614" s="13"/>
      <c r="AE614" s="13"/>
      <c r="AF614" s="13"/>
      <c r="AG614" s="13"/>
      <c r="AH614" s="13"/>
      <c r="AI614" s="13"/>
      <c r="AJ614" s="13"/>
      <c r="AK614" s="13"/>
      <c r="AL614" s="13"/>
      <c r="AM614" s="14"/>
      <c r="AN614" s="14"/>
      <c r="AO614" s="14"/>
      <c r="AP614" s="14"/>
      <c r="AQ614" s="14"/>
      <c r="AR614" s="14"/>
      <c r="AS614" s="14"/>
      <c r="AT614" s="14"/>
      <c r="AU614" s="14"/>
      <c r="AV614" s="14"/>
      <c r="AW614" s="14"/>
      <c r="AX614" s="14"/>
      <c r="AY614" s="14"/>
      <c r="AZ614" s="14"/>
      <c r="BA614" s="14"/>
      <c r="BB614" s="14"/>
      <c r="BC614" s="14"/>
      <c r="BD614" s="14"/>
      <c r="BE614" s="14"/>
      <c r="BF614" s="14"/>
      <c r="BG614" s="14"/>
      <c r="BH614" s="14"/>
      <c r="BI614" s="14"/>
      <c r="BJ614" s="14"/>
      <c r="BK614" s="14"/>
      <c r="BL614" s="14"/>
      <c r="BM614" s="14"/>
      <c r="BN614" s="14"/>
    </row>
    <row r="615" ht="22.5" customHeight="1">
      <c r="A615" s="349" t="s">
        <v>1307</v>
      </c>
      <c r="B615" s="350"/>
      <c r="C615" s="351" t="s">
        <v>1315</v>
      </c>
      <c r="D615" s="352">
        <v>3811.0</v>
      </c>
      <c r="E615" s="353" t="s">
        <v>51</v>
      </c>
      <c r="F615" s="354" t="s">
        <v>1313</v>
      </c>
      <c r="G615" s="355" t="s">
        <v>1314</v>
      </c>
      <c r="H615" s="356" t="s">
        <v>31</v>
      </c>
      <c r="I615" s="356" t="s">
        <v>261</v>
      </c>
      <c r="J615" s="357">
        <v>500.0</v>
      </c>
      <c r="K615" s="396">
        <v>121.0</v>
      </c>
      <c r="L615" s="359">
        <v>46212.0</v>
      </c>
      <c r="M615" s="359">
        <v>46216.0</v>
      </c>
      <c r="N615" s="360"/>
      <c r="O615" s="361" t="s">
        <v>99</v>
      </c>
      <c r="P615" s="362"/>
      <c r="Q615" s="353" t="s">
        <v>35</v>
      </c>
      <c r="R615" s="353" t="s">
        <v>133</v>
      </c>
      <c r="S615" s="439"/>
      <c r="T615" s="381" t="s">
        <v>36</v>
      </c>
      <c r="U615" s="374" t="s">
        <v>1237</v>
      </c>
      <c r="V615" s="430"/>
      <c r="W615" s="488" t="s">
        <v>1311</v>
      </c>
      <c r="X615" s="366"/>
      <c r="Y615" s="366"/>
      <c r="Z615" s="367"/>
      <c r="AA615" s="367"/>
      <c r="AB615" s="13"/>
      <c r="AC615" s="13"/>
      <c r="AD615" s="13"/>
      <c r="AE615" s="13"/>
      <c r="AF615" s="13"/>
      <c r="AG615" s="13"/>
      <c r="AH615" s="13"/>
      <c r="AI615" s="13"/>
      <c r="AJ615" s="13"/>
      <c r="AK615" s="13"/>
      <c r="AL615" s="13"/>
      <c r="AM615" s="14"/>
      <c r="AN615" s="14"/>
      <c r="AO615" s="14"/>
      <c r="AP615" s="14"/>
      <c r="AQ615" s="14"/>
      <c r="AR615" s="14"/>
      <c r="AS615" s="14"/>
      <c r="AT615" s="14"/>
      <c r="AU615" s="14"/>
      <c r="AV615" s="14"/>
      <c r="AW615" s="14"/>
      <c r="AX615" s="14"/>
      <c r="AY615" s="14"/>
      <c r="AZ615" s="14"/>
      <c r="BA615" s="14"/>
      <c r="BB615" s="14"/>
      <c r="BC615" s="14"/>
      <c r="BD615" s="14"/>
      <c r="BE615" s="14"/>
      <c r="BF615" s="14"/>
      <c r="BG615" s="14"/>
      <c r="BH615" s="14"/>
      <c r="BI615" s="14"/>
      <c r="BJ615" s="14"/>
      <c r="BK615" s="14"/>
      <c r="BL615" s="14"/>
      <c r="BM615" s="14"/>
      <c r="BN615" s="14"/>
    </row>
    <row r="616" ht="22.5" customHeight="1">
      <c r="A616" s="349" t="s">
        <v>1307</v>
      </c>
      <c r="B616" s="350"/>
      <c r="C616" s="351" t="s">
        <v>1316</v>
      </c>
      <c r="D616" s="352">
        <v>3812.0</v>
      </c>
      <c r="E616" s="353" t="s">
        <v>51</v>
      </c>
      <c r="F616" s="354" t="s">
        <v>1313</v>
      </c>
      <c r="G616" s="355" t="s">
        <v>1314</v>
      </c>
      <c r="H616" s="356" t="s">
        <v>31</v>
      </c>
      <c r="I616" s="356" t="s">
        <v>261</v>
      </c>
      <c r="J616" s="357">
        <v>500.0</v>
      </c>
      <c r="K616" s="396">
        <v>121.0</v>
      </c>
      <c r="L616" s="359">
        <v>46212.0</v>
      </c>
      <c r="M616" s="359">
        <v>46216.0</v>
      </c>
      <c r="N616" s="360"/>
      <c r="O616" s="361" t="s">
        <v>99</v>
      </c>
      <c r="P616" s="362"/>
      <c r="Q616" s="353" t="s">
        <v>35</v>
      </c>
      <c r="R616" s="353" t="s">
        <v>133</v>
      </c>
      <c r="S616" s="439"/>
      <c r="T616" s="381" t="s">
        <v>36</v>
      </c>
      <c r="U616" s="374" t="s">
        <v>1237</v>
      </c>
      <c r="V616" s="430"/>
      <c r="W616" s="489" t="s">
        <v>1317</v>
      </c>
      <c r="X616" s="365" t="s">
        <v>1318</v>
      </c>
      <c r="Y616" s="366"/>
      <c r="Z616" s="367"/>
      <c r="AA616" s="367"/>
      <c r="AB616" s="13"/>
      <c r="AC616" s="13"/>
      <c r="AD616" s="13"/>
      <c r="AE616" s="13"/>
      <c r="AF616" s="13"/>
      <c r="AG616" s="13"/>
      <c r="AH616" s="13"/>
      <c r="AI616" s="13"/>
      <c r="AJ616" s="13"/>
      <c r="AK616" s="13"/>
      <c r="AL616" s="13"/>
      <c r="AM616" s="14"/>
      <c r="AN616" s="14"/>
      <c r="AO616" s="14"/>
      <c r="AP616" s="14"/>
      <c r="AQ616" s="14"/>
      <c r="AR616" s="14"/>
      <c r="AS616" s="14"/>
      <c r="AT616" s="14"/>
      <c r="AU616" s="14"/>
      <c r="AV616" s="14"/>
      <c r="AW616" s="14"/>
      <c r="AX616" s="14"/>
      <c r="AY616" s="14"/>
      <c r="AZ616" s="14"/>
      <c r="BA616" s="14"/>
      <c r="BB616" s="14"/>
      <c r="BC616" s="14"/>
      <c r="BD616" s="14"/>
      <c r="BE616" s="14"/>
      <c r="BF616" s="14"/>
      <c r="BG616" s="14"/>
      <c r="BH616" s="14"/>
      <c r="BI616" s="14"/>
      <c r="BJ616" s="14"/>
      <c r="BK616" s="14"/>
      <c r="BL616" s="14"/>
      <c r="BM616" s="14"/>
      <c r="BN616" s="14"/>
    </row>
    <row r="617" ht="22.5" customHeight="1">
      <c r="A617" s="349" t="s">
        <v>403</v>
      </c>
      <c r="B617" s="350"/>
      <c r="C617" s="351" t="s">
        <v>1319</v>
      </c>
      <c r="D617" s="352">
        <v>3807.0</v>
      </c>
      <c r="E617" s="353" t="s">
        <v>157</v>
      </c>
      <c r="F617" s="354" t="s">
        <v>30</v>
      </c>
      <c r="G617" s="355" t="s">
        <v>1320</v>
      </c>
      <c r="H617" s="356" t="s">
        <v>31</v>
      </c>
      <c r="I617" s="356" t="s">
        <v>261</v>
      </c>
      <c r="J617" s="357">
        <v>40100.0</v>
      </c>
      <c r="K617" s="396">
        <v>566.0</v>
      </c>
      <c r="L617" s="359">
        <v>46212.0</v>
      </c>
      <c r="M617" s="359">
        <v>46216.0</v>
      </c>
      <c r="N617" s="360"/>
      <c r="O617" s="361" t="s">
        <v>99</v>
      </c>
      <c r="P617" s="362"/>
      <c r="Q617" s="353" t="s">
        <v>35</v>
      </c>
      <c r="R617" s="353" t="s">
        <v>133</v>
      </c>
      <c r="S617" s="361" t="s">
        <v>35</v>
      </c>
      <c r="T617" s="361" t="s">
        <v>36</v>
      </c>
      <c r="U617" s="363" t="s">
        <v>1296</v>
      </c>
      <c r="V617" s="430"/>
      <c r="W617" s="357" t="s">
        <v>1321</v>
      </c>
      <c r="X617" s="365" t="s">
        <v>257</v>
      </c>
      <c r="Y617" s="365" t="s">
        <v>516</v>
      </c>
      <c r="Z617" s="380" t="s">
        <v>516</v>
      </c>
      <c r="AA617" s="367"/>
      <c r="AB617" s="13"/>
      <c r="AC617" s="13"/>
      <c r="AD617" s="13"/>
      <c r="AE617" s="13"/>
      <c r="AF617" s="13"/>
      <c r="AG617" s="13"/>
      <c r="AH617" s="13"/>
      <c r="AI617" s="13"/>
      <c r="AJ617" s="13"/>
      <c r="AK617" s="13"/>
      <c r="AL617" s="13"/>
      <c r="AM617" s="14"/>
      <c r="AN617" s="14"/>
      <c r="AO617" s="14"/>
      <c r="AP617" s="14"/>
      <c r="AQ617" s="14"/>
      <c r="AR617" s="14"/>
      <c r="AS617" s="14"/>
      <c r="AT617" s="14"/>
      <c r="AU617" s="14"/>
      <c r="AV617" s="14"/>
      <c r="AW617" s="14"/>
      <c r="AX617" s="14"/>
      <c r="AY617" s="14"/>
      <c r="AZ617" s="14"/>
      <c r="BA617" s="14"/>
      <c r="BB617" s="14"/>
      <c r="BC617" s="14"/>
      <c r="BD617" s="14"/>
      <c r="BE617" s="14"/>
      <c r="BF617" s="14"/>
      <c r="BG617" s="14"/>
      <c r="BH617" s="14"/>
      <c r="BI617" s="14"/>
      <c r="BJ617" s="14"/>
      <c r="BK617" s="14"/>
      <c r="BL617" s="14"/>
      <c r="BM617" s="14"/>
      <c r="BN617" s="14"/>
    </row>
    <row r="618" ht="22.5" customHeight="1">
      <c r="A618" s="349" t="s">
        <v>653</v>
      </c>
      <c r="B618" s="350"/>
      <c r="C618" s="351" t="s">
        <v>1322</v>
      </c>
      <c r="D618" s="352">
        <v>3802.0</v>
      </c>
      <c r="E618" s="353" t="s">
        <v>95</v>
      </c>
      <c r="F618" s="354" t="s">
        <v>30</v>
      </c>
      <c r="G618" s="355" t="s">
        <v>1323</v>
      </c>
      <c r="H618" s="356" t="s">
        <v>31</v>
      </c>
      <c r="I618" s="356" t="s">
        <v>98</v>
      </c>
      <c r="J618" s="357">
        <v>10000.0</v>
      </c>
      <c r="K618" s="396">
        <v>1622.0</v>
      </c>
      <c r="L618" s="359">
        <v>46212.0</v>
      </c>
      <c r="M618" s="359">
        <v>46216.0</v>
      </c>
      <c r="N618" s="360"/>
      <c r="O618" s="361" t="s">
        <v>99</v>
      </c>
      <c r="P618" s="362"/>
      <c r="Q618" s="388" t="s">
        <v>35</v>
      </c>
      <c r="R618" s="388" t="s">
        <v>133</v>
      </c>
      <c r="S618" s="381" t="s">
        <v>35</v>
      </c>
      <c r="T618" s="381" t="s">
        <v>36</v>
      </c>
      <c r="U618" s="374" t="s">
        <v>1296</v>
      </c>
      <c r="V618" s="430"/>
      <c r="W618" s="395" t="s">
        <v>840</v>
      </c>
      <c r="X618" s="365" t="s">
        <v>227</v>
      </c>
      <c r="Y618" s="365" t="s">
        <v>516</v>
      </c>
      <c r="Z618" s="380" t="s">
        <v>516</v>
      </c>
      <c r="AA618" s="380" t="s">
        <v>516</v>
      </c>
      <c r="AB618" s="13"/>
      <c r="AC618" s="13"/>
      <c r="AD618" s="13"/>
      <c r="AE618" s="13"/>
      <c r="AF618" s="13"/>
      <c r="AG618" s="13"/>
      <c r="AH618" s="13"/>
      <c r="AI618" s="13"/>
      <c r="AJ618" s="13"/>
      <c r="AK618" s="13"/>
      <c r="AL618" s="13"/>
      <c r="AM618" s="14"/>
      <c r="AN618" s="14"/>
      <c r="AO618" s="14"/>
      <c r="AP618" s="14"/>
      <c r="AQ618" s="14"/>
      <c r="AR618" s="14"/>
      <c r="AS618" s="14"/>
      <c r="AT618" s="14"/>
      <c r="AU618" s="14"/>
      <c r="AV618" s="14"/>
      <c r="AW618" s="14"/>
      <c r="AX618" s="14"/>
      <c r="AY618" s="14"/>
      <c r="AZ618" s="14"/>
      <c r="BA618" s="14"/>
      <c r="BB618" s="14"/>
      <c r="BC618" s="14"/>
      <c r="BD618" s="14"/>
      <c r="BE618" s="14"/>
      <c r="BF618" s="14"/>
      <c r="BG618" s="14"/>
      <c r="BH618" s="14"/>
      <c r="BI618" s="14"/>
      <c r="BJ618" s="14"/>
      <c r="BK618" s="14"/>
      <c r="BL618" s="14"/>
      <c r="BM618" s="14"/>
      <c r="BN618" s="14"/>
    </row>
    <row r="619" ht="22.5" customHeight="1">
      <c r="A619" s="349" t="s">
        <v>1324</v>
      </c>
      <c r="B619" s="350"/>
      <c r="C619" s="490" t="s">
        <v>1325</v>
      </c>
      <c r="D619" s="447"/>
      <c r="E619" s="353" t="s">
        <v>164</v>
      </c>
      <c r="F619" s="354" t="s">
        <v>30</v>
      </c>
      <c r="G619" s="355" t="s">
        <v>1326</v>
      </c>
      <c r="H619" s="356" t="s">
        <v>31</v>
      </c>
      <c r="I619" s="394"/>
      <c r="J619" s="357" t="s">
        <v>1327</v>
      </c>
      <c r="K619" s="479"/>
      <c r="L619" s="359">
        <v>46212.0</v>
      </c>
      <c r="M619" s="359">
        <v>46223.0</v>
      </c>
      <c r="N619" s="360"/>
      <c r="O619" s="361" t="s">
        <v>99</v>
      </c>
      <c r="P619" s="362"/>
      <c r="Q619" s="388" t="s">
        <v>35</v>
      </c>
      <c r="R619" s="388" t="s">
        <v>133</v>
      </c>
      <c r="S619" s="381" t="s">
        <v>35</v>
      </c>
      <c r="T619" s="439"/>
      <c r="U619" s="374" t="s">
        <v>1282</v>
      </c>
      <c r="V619" s="430"/>
      <c r="W619" s="382"/>
      <c r="X619" s="366"/>
      <c r="Y619" s="365" t="s">
        <v>516</v>
      </c>
      <c r="Z619" s="380" t="s">
        <v>516</v>
      </c>
      <c r="AA619" s="367"/>
      <c r="AB619" s="13"/>
      <c r="AC619" s="13"/>
      <c r="AD619" s="13"/>
      <c r="AE619" s="13"/>
      <c r="AF619" s="13"/>
      <c r="AG619" s="13"/>
      <c r="AH619" s="13"/>
      <c r="AI619" s="13"/>
      <c r="AJ619" s="13"/>
      <c r="AK619" s="13"/>
      <c r="AL619" s="13"/>
      <c r="AM619" s="14"/>
      <c r="AN619" s="14"/>
      <c r="AO619" s="14"/>
      <c r="AP619" s="14"/>
      <c r="AQ619" s="14"/>
      <c r="AR619" s="14"/>
      <c r="AS619" s="14"/>
      <c r="AT619" s="14"/>
      <c r="AU619" s="14"/>
      <c r="AV619" s="14"/>
      <c r="AW619" s="14"/>
      <c r="AX619" s="14"/>
      <c r="AY619" s="14"/>
      <c r="AZ619" s="14"/>
      <c r="BA619" s="14"/>
      <c r="BB619" s="14"/>
      <c r="BC619" s="14"/>
      <c r="BD619" s="14"/>
      <c r="BE619" s="14"/>
      <c r="BF619" s="14"/>
      <c r="BG619" s="14"/>
      <c r="BH619" s="14"/>
      <c r="BI619" s="14"/>
      <c r="BJ619" s="14"/>
      <c r="BK619" s="14"/>
      <c r="BL619" s="14"/>
      <c r="BM619" s="14"/>
      <c r="BN619" s="14"/>
    </row>
    <row r="620" ht="22.5" customHeight="1">
      <c r="A620" s="349" t="s">
        <v>1324</v>
      </c>
      <c r="B620" s="350"/>
      <c r="C620" s="490" t="s">
        <v>1328</v>
      </c>
      <c r="D620" s="447"/>
      <c r="E620" s="353" t="s">
        <v>164</v>
      </c>
      <c r="F620" s="354" t="s">
        <v>30</v>
      </c>
      <c r="G620" s="355" t="s">
        <v>1329</v>
      </c>
      <c r="H620" s="356" t="s">
        <v>31</v>
      </c>
      <c r="I620" s="394"/>
      <c r="J620" s="357" t="s">
        <v>1327</v>
      </c>
      <c r="K620" s="479"/>
      <c r="L620" s="359">
        <v>46212.0</v>
      </c>
      <c r="M620" s="359">
        <v>46223.0</v>
      </c>
      <c r="N620" s="360"/>
      <c r="O620" s="361" t="s">
        <v>99</v>
      </c>
      <c r="P620" s="362"/>
      <c r="Q620" s="388" t="s">
        <v>35</v>
      </c>
      <c r="R620" s="388" t="s">
        <v>133</v>
      </c>
      <c r="S620" s="381" t="s">
        <v>35</v>
      </c>
      <c r="T620" s="439"/>
      <c r="U620" s="374" t="s">
        <v>1282</v>
      </c>
      <c r="V620" s="430"/>
      <c r="W620" s="382"/>
      <c r="X620" s="366"/>
      <c r="Y620" s="365" t="s">
        <v>516</v>
      </c>
      <c r="Z620" s="380" t="s">
        <v>516</v>
      </c>
      <c r="AA620" s="367"/>
      <c r="AB620" s="13"/>
      <c r="AC620" s="13"/>
      <c r="AD620" s="13"/>
      <c r="AE620" s="13"/>
      <c r="AF620" s="13"/>
      <c r="AG620" s="13"/>
      <c r="AH620" s="13"/>
      <c r="AI620" s="13"/>
      <c r="AJ620" s="13"/>
      <c r="AK620" s="13"/>
      <c r="AL620" s="13"/>
      <c r="AM620" s="14"/>
      <c r="AN620" s="14"/>
      <c r="AO620" s="14"/>
      <c r="AP620" s="14"/>
      <c r="AQ620" s="14"/>
      <c r="AR620" s="14"/>
      <c r="AS620" s="14"/>
      <c r="AT620" s="14"/>
      <c r="AU620" s="14"/>
      <c r="AV620" s="14"/>
      <c r="AW620" s="14"/>
      <c r="AX620" s="14"/>
      <c r="AY620" s="14"/>
      <c r="AZ620" s="14"/>
      <c r="BA620" s="14"/>
      <c r="BB620" s="14"/>
      <c r="BC620" s="14"/>
      <c r="BD620" s="14"/>
      <c r="BE620" s="14"/>
      <c r="BF620" s="14"/>
      <c r="BG620" s="14"/>
      <c r="BH620" s="14"/>
      <c r="BI620" s="14"/>
      <c r="BJ620" s="14"/>
      <c r="BK620" s="14"/>
      <c r="BL620" s="14"/>
      <c r="BM620" s="14"/>
      <c r="BN620" s="14"/>
    </row>
    <row r="621" ht="22.5" customHeight="1">
      <c r="A621" s="349" t="s">
        <v>1324</v>
      </c>
      <c r="B621" s="350"/>
      <c r="C621" s="490" t="s">
        <v>1330</v>
      </c>
      <c r="D621" s="447"/>
      <c r="E621" s="353" t="s">
        <v>164</v>
      </c>
      <c r="F621" s="354" t="s">
        <v>30</v>
      </c>
      <c r="G621" s="355" t="s">
        <v>1331</v>
      </c>
      <c r="H621" s="356" t="s">
        <v>31</v>
      </c>
      <c r="I621" s="394"/>
      <c r="J621" s="357" t="s">
        <v>1327</v>
      </c>
      <c r="K621" s="479"/>
      <c r="L621" s="359">
        <v>46212.0</v>
      </c>
      <c r="M621" s="359">
        <v>46223.0</v>
      </c>
      <c r="N621" s="360"/>
      <c r="O621" s="361" t="s">
        <v>99</v>
      </c>
      <c r="P621" s="362"/>
      <c r="Q621" s="388" t="s">
        <v>35</v>
      </c>
      <c r="R621" s="388" t="s">
        <v>133</v>
      </c>
      <c r="S621" s="381" t="s">
        <v>35</v>
      </c>
      <c r="T621" s="439"/>
      <c r="U621" s="374" t="s">
        <v>1282</v>
      </c>
      <c r="V621" s="430"/>
      <c r="W621" s="382"/>
      <c r="X621" s="366"/>
      <c r="Y621" s="365" t="s">
        <v>516</v>
      </c>
      <c r="Z621" s="380" t="s">
        <v>516</v>
      </c>
      <c r="AA621" s="367"/>
      <c r="AB621" s="13"/>
      <c r="AC621" s="13"/>
      <c r="AD621" s="13"/>
      <c r="AE621" s="13"/>
      <c r="AF621" s="13"/>
      <c r="AG621" s="13"/>
      <c r="AH621" s="13"/>
      <c r="AI621" s="13"/>
      <c r="AJ621" s="13"/>
      <c r="AK621" s="13"/>
      <c r="AL621" s="13"/>
      <c r="AM621" s="14"/>
      <c r="AN621" s="14"/>
      <c r="AO621" s="14"/>
      <c r="AP621" s="14"/>
      <c r="AQ621" s="14"/>
      <c r="AR621" s="14"/>
      <c r="AS621" s="14"/>
      <c r="AT621" s="14"/>
      <c r="AU621" s="14"/>
      <c r="AV621" s="14"/>
      <c r="AW621" s="14"/>
      <c r="AX621" s="14"/>
      <c r="AY621" s="14"/>
      <c r="AZ621" s="14"/>
      <c r="BA621" s="14"/>
      <c r="BB621" s="14"/>
      <c r="BC621" s="14"/>
      <c r="BD621" s="14"/>
      <c r="BE621" s="14"/>
      <c r="BF621" s="14"/>
      <c r="BG621" s="14"/>
      <c r="BH621" s="14"/>
      <c r="BI621" s="14"/>
      <c r="BJ621" s="14"/>
      <c r="BK621" s="14"/>
      <c r="BL621" s="14"/>
      <c r="BM621" s="14"/>
      <c r="BN621" s="14"/>
    </row>
    <row r="622" ht="22.5" customHeight="1">
      <c r="A622" s="349" t="s">
        <v>1332</v>
      </c>
      <c r="B622" s="350"/>
      <c r="C622" s="490" t="s">
        <v>1333</v>
      </c>
      <c r="D622" s="447"/>
      <c r="E622" s="353" t="s">
        <v>164</v>
      </c>
      <c r="F622" s="354" t="s">
        <v>30</v>
      </c>
      <c r="G622" s="355" t="s">
        <v>1326</v>
      </c>
      <c r="H622" s="356" t="s">
        <v>31</v>
      </c>
      <c r="I622" s="394"/>
      <c r="J622" s="357" t="s">
        <v>1334</v>
      </c>
      <c r="K622" s="479"/>
      <c r="L622" s="359">
        <v>46212.0</v>
      </c>
      <c r="M622" s="359">
        <v>46223.0</v>
      </c>
      <c r="N622" s="360"/>
      <c r="O622" s="361" t="s">
        <v>99</v>
      </c>
      <c r="P622" s="362"/>
      <c r="Q622" s="388" t="s">
        <v>35</v>
      </c>
      <c r="R622" s="388" t="s">
        <v>133</v>
      </c>
      <c r="S622" s="381" t="s">
        <v>35</v>
      </c>
      <c r="T622" s="439"/>
      <c r="U622" s="374" t="s">
        <v>1282</v>
      </c>
      <c r="V622" s="430"/>
      <c r="W622" s="382"/>
      <c r="X622" s="366"/>
      <c r="Y622" s="365" t="s">
        <v>516</v>
      </c>
      <c r="Z622" s="380" t="s">
        <v>516</v>
      </c>
      <c r="AA622" s="367"/>
      <c r="AB622" s="13"/>
      <c r="AC622" s="13"/>
      <c r="AD622" s="13"/>
      <c r="AE622" s="13"/>
      <c r="AF622" s="13"/>
      <c r="AG622" s="13"/>
      <c r="AH622" s="13"/>
      <c r="AI622" s="13"/>
      <c r="AJ622" s="13"/>
      <c r="AK622" s="13"/>
      <c r="AL622" s="13"/>
      <c r="AM622" s="14"/>
      <c r="AN622" s="14"/>
      <c r="AO622" s="14"/>
      <c r="AP622" s="14"/>
      <c r="AQ622" s="14"/>
      <c r="AR622" s="14"/>
      <c r="AS622" s="14"/>
      <c r="AT622" s="14"/>
      <c r="AU622" s="14"/>
      <c r="AV622" s="14"/>
      <c r="AW622" s="14"/>
      <c r="AX622" s="14"/>
      <c r="AY622" s="14"/>
      <c r="AZ622" s="14"/>
      <c r="BA622" s="14"/>
      <c r="BB622" s="14"/>
      <c r="BC622" s="14"/>
      <c r="BD622" s="14"/>
      <c r="BE622" s="14"/>
      <c r="BF622" s="14"/>
      <c r="BG622" s="14"/>
      <c r="BH622" s="14"/>
      <c r="BI622" s="14"/>
      <c r="BJ622" s="14"/>
      <c r="BK622" s="14"/>
      <c r="BL622" s="14"/>
      <c r="BM622" s="14"/>
      <c r="BN622" s="14"/>
    </row>
    <row r="623" ht="22.5" customHeight="1">
      <c r="A623" s="349" t="s">
        <v>1332</v>
      </c>
      <c r="B623" s="350"/>
      <c r="C623" s="490" t="s">
        <v>1328</v>
      </c>
      <c r="D623" s="447"/>
      <c r="E623" s="353" t="s">
        <v>164</v>
      </c>
      <c r="F623" s="354" t="s">
        <v>30</v>
      </c>
      <c r="G623" s="355" t="s">
        <v>1329</v>
      </c>
      <c r="H623" s="356" t="s">
        <v>31</v>
      </c>
      <c r="I623" s="394"/>
      <c r="J623" s="357" t="s">
        <v>1335</v>
      </c>
      <c r="K623" s="479"/>
      <c r="L623" s="359">
        <v>46212.0</v>
      </c>
      <c r="M623" s="359">
        <v>46223.0</v>
      </c>
      <c r="N623" s="360"/>
      <c r="O623" s="361" t="s">
        <v>99</v>
      </c>
      <c r="P623" s="362"/>
      <c r="Q623" s="388" t="s">
        <v>35</v>
      </c>
      <c r="R623" s="388" t="s">
        <v>133</v>
      </c>
      <c r="S623" s="381" t="s">
        <v>35</v>
      </c>
      <c r="T623" s="439"/>
      <c r="U623" s="374" t="s">
        <v>1282</v>
      </c>
      <c r="V623" s="430"/>
      <c r="W623" s="382"/>
      <c r="X623" s="366"/>
      <c r="Y623" s="365" t="s">
        <v>516</v>
      </c>
      <c r="Z623" s="380" t="s">
        <v>516</v>
      </c>
      <c r="AA623" s="367"/>
      <c r="AB623" s="13"/>
      <c r="AC623" s="13"/>
      <c r="AD623" s="13"/>
      <c r="AE623" s="13"/>
      <c r="AF623" s="13"/>
      <c r="AG623" s="13"/>
      <c r="AH623" s="13"/>
      <c r="AI623" s="13"/>
      <c r="AJ623" s="13"/>
      <c r="AK623" s="13"/>
      <c r="AL623" s="13"/>
      <c r="AM623" s="14"/>
      <c r="AN623" s="14"/>
      <c r="AO623" s="14"/>
      <c r="AP623" s="14"/>
      <c r="AQ623" s="14"/>
      <c r="AR623" s="14"/>
      <c r="AS623" s="14"/>
      <c r="AT623" s="14"/>
      <c r="AU623" s="14"/>
      <c r="AV623" s="14"/>
      <c r="AW623" s="14"/>
      <c r="AX623" s="14"/>
      <c r="AY623" s="14"/>
      <c r="AZ623" s="14"/>
      <c r="BA623" s="14"/>
      <c r="BB623" s="14"/>
      <c r="BC623" s="14"/>
      <c r="BD623" s="14"/>
      <c r="BE623" s="14"/>
      <c r="BF623" s="14"/>
      <c r="BG623" s="14"/>
      <c r="BH623" s="14"/>
      <c r="BI623" s="14"/>
      <c r="BJ623" s="14"/>
      <c r="BK623" s="14"/>
      <c r="BL623" s="14"/>
      <c r="BM623" s="14"/>
      <c r="BN623" s="14"/>
    </row>
    <row r="624" ht="22.5" customHeight="1">
      <c r="A624" s="349" t="s">
        <v>1332</v>
      </c>
      <c r="B624" s="350"/>
      <c r="C624" s="490" t="s">
        <v>1330</v>
      </c>
      <c r="D624" s="447"/>
      <c r="E624" s="353" t="s">
        <v>164</v>
      </c>
      <c r="F624" s="354" t="s">
        <v>30</v>
      </c>
      <c r="G624" s="355" t="s">
        <v>1331</v>
      </c>
      <c r="H624" s="356" t="s">
        <v>31</v>
      </c>
      <c r="I624" s="394"/>
      <c r="J624" s="357" t="s">
        <v>1336</v>
      </c>
      <c r="K624" s="479"/>
      <c r="L624" s="359">
        <v>46212.0</v>
      </c>
      <c r="M624" s="359">
        <v>46223.0</v>
      </c>
      <c r="N624" s="360"/>
      <c r="O624" s="361" t="s">
        <v>99</v>
      </c>
      <c r="P624" s="362"/>
      <c r="Q624" s="388" t="s">
        <v>35</v>
      </c>
      <c r="R624" s="388" t="s">
        <v>133</v>
      </c>
      <c r="S624" s="381" t="s">
        <v>35</v>
      </c>
      <c r="T624" s="439"/>
      <c r="U624" s="374" t="s">
        <v>1282</v>
      </c>
      <c r="V624" s="430"/>
      <c r="W624" s="382"/>
      <c r="X624" s="366"/>
      <c r="Y624" s="365" t="s">
        <v>516</v>
      </c>
      <c r="Z624" s="380" t="s">
        <v>516</v>
      </c>
      <c r="AA624" s="367"/>
      <c r="AB624" s="13"/>
      <c r="AC624" s="13"/>
      <c r="AD624" s="13"/>
      <c r="AE624" s="13"/>
      <c r="AF624" s="13"/>
      <c r="AG624" s="13"/>
      <c r="AH624" s="13"/>
      <c r="AI624" s="13"/>
      <c r="AJ624" s="13"/>
      <c r="AK624" s="13"/>
      <c r="AL624" s="13"/>
      <c r="AM624" s="14"/>
      <c r="AN624" s="14"/>
      <c r="AO624" s="14"/>
      <c r="AP624" s="14"/>
      <c r="AQ624" s="14"/>
      <c r="AR624" s="14"/>
      <c r="AS624" s="14"/>
      <c r="AT624" s="14"/>
      <c r="AU624" s="14"/>
      <c r="AV624" s="14"/>
      <c r="AW624" s="14"/>
      <c r="AX624" s="14"/>
      <c r="AY624" s="14"/>
      <c r="AZ624" s="14"/>
      <c r="BA624" s="14"/>
      <c r="BB624" s="14"/>
      <c r="BC624" s="14"/>
      <c r="BD624" s="14"/>
      <c r="BE624" s="14"/>
      <c r="BF624" s="14"/>
      <c r="BG624" s="14"/>
      <c r="BH624" s="14"/>
      <c r="BI624" s="14"/>
      <c r="BJ624" s="14"/>
      <c r="BK624" s="14"/>
      <c r="BL624" s="14"/>
      <c r="BM624" s="14"/>
      <c r="BN624" s="14"/>
    </row>
    <row r="625" ht="22.5" customHeight="1">
      <c r="A625" s="349" t="s">
        <v>1332</v>
      </c>
      <c r="B625" s="350"/>
      <c r="C625" s="490" t="s">
        <v>1337</v>
      </c>
      <c r="D625" s="447"/>
      <c r="E625" s="353" t="s">
        <v>164</v>
      </c>
      <c r="F625" s="354" t="s">
        <v>30</v>
      </c>
      <c r="G625" s="355" t="s">
        <v>1326</v>
      </c>
      <c r="H625" s="356" t="s">
        <v>31</v>
      </c>
      <c r="I625" s="394"/>
      <c r="J625" s="357" t="s">
        <v>1334</v>
      </c>
      <c r="K625" s="479"/>
      <c r="L625" s="359">
        <v>46212.0</v>
      </c>
      <c r="M625" s="359">
        <v>46223.0</v>
      </c>
      <c r="N625" s="360"/>
      <c r="O625" s="361" t="s">
        <v>99</v>
      </c>
      <c r="P625" s="362"/>
      <c r="Q625" s="388" t="s">
        <v>35</v>
      </c>
      <c r="R625" s="388" t="s">
        <v>133</v>
      </c>
      <c r="S625" s="381" t="s">
        <v>35</v>
      </c>
      <c r="T625" s="439"/>
      <c r="U625" s="374" t="s">
        <v>1282</v>
      </c>
      <c r="V625" s="430"/>
      <c r="W625" s="382"/>
      <c r="X625" s="366"/>
      <c r="Y625" s="365" t="s">
        <v>516</v>
      </c>
      <c r="Z625" s="380" t="s">
        <v>516</v>
      </c>
      <c r="AA625" s="367"/>
      <c r="AB625" s="13"/>
      <c r="AC625" s="13"/>
      <c r="AD625" s="13"/>
      <c r="AE625" s="13"/>
      <c r="AF625" s="13"/>
      <c r="AG625" s="13"/>
      <c r="AH625" s="13"/>
      <c r="AI625" s="13"/>
      <c r="AJ625" s="13"/>
      <c r="AK625" s="13"/>
      <c r="AL625" s="13"/>
      <c r="AM625" s="14"/>
      <c r="AN625" s="14"/>
      <c r="AO625" s="14"/>
      <c r="AP625" s="14"/>
      <c r="AQ625" s="14"/>
      <c r="AR625" s="14"/>
      <c r="AS625" s="14"/>
      <c r="AT625" s="14"/>
      <c r="AU625" s="14"/>
      <c r="AV625" s="14"/>
      <c r="AW625" s="14"/>
      <c r="AX625" s="14"/>
      <c r="AY625" s="14"/>
      <c r="AZ625" s="14"/>
      <c r="BA625" s="14"/>
      <c r="BB625" s="14"/>
      <c r="BC625" s="14"/>
      <c r="BD625" s="14"/>
      <c r="BE625" s="14"/>
      <c r="BF625" s="14"/>
      <c r="BG625" s="14"/>
      <c r="BH625" s="14"/>
      <c r="BI625" s="14"/>
      <c r="BJ625" s="14"/>
      <c r="BK625" s="14"/>
      <c r="BL625" s="14"/>
      <c r="BM625" s="14"/>
      <c r="BN625" s="14"/>
    </row>
    <row r="626" ht="22.5" customHeight="1">
      <c r="A626" s="349" t="s">
        <v>1332</v>
      </c>
      <c r="B626" s="350"/>
      <c r="C626" s="490" t="s">
        <v>1338</v>
      </c>
      <c r="D626" s="447"/>
      <c r="E626" s="353" t="s">
        <v>164</v>
      </c>
      <c r="F626" s="354" t="s">
        <v>30</v>
      </c>
      <c r="G626" s="355" t="s">
        <v>1326</v>
      </c>
      <c r="H626" s="356" t="s">
        <v>31</v>
      </c>
      <c r="I626" s="394"/>
      <c r="J626" s="357" t="s">
        <v>1334</v>
      </c>
      <c r="K626" s="479"/>
      <c r="L626" s="359">
        <v>46212.0</v>
      </c>
      <c r="M626" s="359">
        <v>46223.0</v>
      </c>
      <c r="N626" s="360"/>
      <c r="O626" s="361" t="s">
        <v>99</v>
      </c>
      <c r="P626" s="362"/>
      <c r="Q626" s="388" t="s">
        <v>35</v>
      </c>
      <c r="R626" s="388" t="s">
        <v>133</v>
      </c>
      <c r="S626" s="381" t="s">
        <v>35</v>
      </c>
      <c r="T626" s="439"/>
      <c r="U626" s="374" t="s">
        <v>1282</v>
      </c>
      <c r="V626" s="430"/>
      <c r="W626" s="382"/>
      <c r="X626" s="366"/>
      <c r="Y626" s="365" t="s">
        <v>516</v>
      </c>
      <c r="Z626" s="380" t="s">
        <v>516</v>
      </c>
      <c r="AA626" s="367"/>
      <c r="AB626" s="13"/>
      <c r="AC626" s="13"/>
      <c r="AD626" s="13"/>
      <c r="AE626" s="13"/>
      <c r="AF626" s="13"/>
      <c r="AG626" s="13"/>
      <c r="AH626" s="13"/>
      <c r="AI626" s="13"/>
      <c r="AJ626" s="13"/>
      <c r="AK626" s="13"/>
      <c r="AL626" s="13"/>
      <c r="AM626" s="14"/>
      <c r="AN626" s="14"/>
      <c r="AO626" s="14"/>
      <c r="AP626" s="14"/>
      <c r="AQ626" s="14"/>
      <c r="AR626" s="14"/>
      <c r="AS626" s="14"/>
      <c r="AT626" s="14"/>
      <c r="AU626" s="14"/>
      <c r="AV626" s="14"/>
      <c r="AW626" s="14"/>
      <c r="AX626" s="14"/>
      <c r="AY626" s="14"/>
      <c r="AZ626" s="14"/>
      <c r="BA626" s="14"/>
      <c r="BB626" s="14"/>
      <c r="BC626" s="14"/>
      <c r="BD626" s="14"/>
      <c r="BE626" s="14"/>
      <c r="BF626" s="14"/>
      <c r="BG626" s="14"/>
      <c r="BH626" s="14"/>
      <c r="BI626" s="14"/>
      <c r="BJ626" s="14"/>
      <c r="BK626" s="14"/>
      <c r="BL626" s="14"/>
      <c r="BM626" s="14"/>
      <c r="BN626" s="14"/>
    </row>
    <row r="627" ht="22.5" customHeight="1">
      <c r="A627" s="349" t="s">
        <v>1332</v>
      </c>
      <c r="B627" s="350"/>
      <c r="C627" s="490" t="s">
        <v>1339</v>
      </c>
      <c r="D627" s="447"/>
      <c r="E627" s="353" t="s">
        <v>164</v>
      </c>
      <c r="F627" s="354" t="s">
        <v>30</v>
      </c>
      <c r="G627" s="355" t="s">
        <v>786</v>
      </c>
      <c r="H627" s="356" t="s">
        <v>31</v>
      </c>
      <c r="I627" s="394"/>
      <c r="J627" s="357" t="s">
        <v>1340</v>
      </c>
      <c r="K627" s="479"/>
      <c r="L627" s="359">
        <v>46212.0</v>
      </c>
      <c r="M627" s="359">
        <v>46223.0</v>
      </c>
      <c r="N627" s="360"/>
      <c r="O627" s="361" t="s">
        <v>99</v>
      </c>
      <c r="P627" s="362"/>
      <c r="Q627" s="388" t="s">
        <v>35</v>
      </c>
      <c r="R627" s="388" t="s">
        <v>133</v>
      </c>
      <c r="S627" s="381" t="s">
        <v>35</v>
      </c>
      <c r="T627" s="439"/>
      <c r="U627" s="374" t="s">
        <v>1282</v>
      </c>
      <c r="V627" s="430"/>
      <c r="W627" s="382"/>
      <c r="X627" s="366"/>
      <c r="Y627" s="365" t="s">
        <v>516</v>
      </c>
      <c r="Z627" s="380" t="s">
        <v>516</v>
      </c>
      <c r="AA627" s="367"/>
      <c r="AB627" s="13"/>
      <c r="AC627" s="13"/>
      <c r="AD627" s="13"/>
      <c r="AE627" s="13"/>
      <c r="AF627" s="13"/>
      <c r="AG627" s="13"/>
      <c r="AH627" s="13"/>
      <c r="AI627" s="13"/>
      <c r="AJ627" s="13"/>
      <c r="AK627" s="13"/>
      <c r="AL627" s="13"/>
      <c r="AM627" s="14"/>
      <c r="AN627" s="14"/>
      <c r="AO627" s="14"/>
      <c r="AP627" s="14"/>
      <c r="AQ627" s="14"/>
      <c r="AR627" s="14"/>
      <c r="AS627" s="14"/>
      <c r="AT627" s="14"/>
      <c r="AU627" s="14"/>
      <c r="AV627" s="14"/>
      <c r="AW627" s="14"/>
      <c r="AX627" s="14"/>
      <c r="AY627" s="14"/>
      <c r="AZ627" s="14"/>
      <c r="BA627" s="14"/>
      <c r="BB627" s="14"/>
      <c r="BC627" s="14"/>
      <c r="BD627" s="14"/>
      <c r="BE627" s="14"/>
      <c r="BF627" s="14"/>
      <c r="BG627" s="14"/>
      <c r="BH627" s="14"/>
      <c r="BI627" s="14"/>
      <c r="BJ627" s="14"/>
      <c r="BK627" s="14"/>
      <c r="BL627" s="14"/>
      <c r="BM627" s="14"/>
      <c r="BN627" s="14"/>
    </row>
    <row r="628" ht="22.5" customHeight="1">
      <c r="A628" s="349" t="s">
        <v>1332</v>
      </c>
      <c r="B628" s="350"/>
      <c r="C628" s="490" t="s">
        <v>1341</v>
      </c>
      <c r="D628" s="447"/>
      <c r="E628" s="353" t="s">
        <v>164</v>
      </c>
      <c r="F628" s="354" t="s">
        <v>30</v>
      </c>
      <c r="G628" s="355" t="s">
        <v>1342</v>
      </c>
      <c r="H628" s="356" t="s">
        <v>31</v>
      </c>
      <c r="I628" s="394"/>
      <c r="J628" s="357" t="s">
        <v>1014</v>
      </c>
      <c r="K628" s="479"/>
      <c r="L628" s="359">
        <v>46212.0</v>
      </c>
      <c r="M628" s="359">
        <v>46223.0</v>
      </c>
      <c r="N628" s="360"/>
      <c r="O628" s="361" t="s">
        <v>99</v>
      </c>
      <c r="P628" s="362"/>
      <c r="Q628" s="388" t="s">
        <v>35</v>
      </c>
      <c r="R628" s="388" t="s">
        <v>133</v>
      </c>
      <c r="S628" s="381" t="s">
        <v>35</v>
      </c>
      <c r="T628" s="439"/>
      <c r="U628" s="374" t="s">
        <v>1282</v>
      </c>
      <c r="V628" s="430"/>
      <c r="W628" s="382"/>
      <c r="X628" s="366"/>
      <c r="Y628" s="365" t="s">
        <v>516</v>
      </c>
      <c r="Z628" s="380" t="s">
        <v>516</v>
      </c>
      <c r="AA628" s="367"/>
      <c r="AB628" s="13"/>
      <c r="AC628" s="13"/>
      <c r="AD628" s="13"/>
      <c r="AE628" s="13"/>
      <c r="AF628" s="13"/>
      <c r="AG628" s="13"/>
      <c r="AH628" s="13"/>
      <c r="AI628" s="13"/>
      <c r="AJ628" s="13"/>
      <c r="AK628" s="13"/>
      <c r="AL628" s="13"/>
      <c r="AM628" s="14"/>
      <c r="AN628" s="14"/>
      <c r="AO628" s="14"/>
      <c r="AP628" s="14"/>
      <c r="AQ628" s="14"/>
      <c r="AR628" s="14"/>
      <c r="AS628" s="14"/>
      <c r="AT628" s="14"/>
      <c r="AU628" s="14"/>
      <c r="AV628" s="14"/>
      <c r="AW628" s="14"/>
      <c r="AX628" s="14"/>
      <c r="AY628" s="14"/>
      <c r="AZ628" s="14"/>
      <c r="BA628" s="14"/>
      <c r="BB628" s="14"/>
      <c r="BC628" s="14"/>
      <c r="BD628" s="14"/>
      <c r="BE628" s="14"/>
      <c r="BF628" s="14"/>
      <c r="BG628" s="14"/>
      <c r="BH628" s="14"/>
      <c r="BI628" s="14"/>
      <c r="BJ628" s="14"/>
      <c r="BK628" s="14"/>
      <c r="BL628" s="14"/>
      <c r="BM628" s="14"/>
      <c r="BN628" s="14"/>
    </row>
    <row r="629" ht="22.5" customHeight="1">
      <c r="A629" s="349" t="s">
        <v>1332</v>
      </c>
      <c r="B629" s="350"/>
      <c r="C629" s="490" t="s">
        <v>1343</v>
      </c>
      <c r="D629" s="447"/>
      <c r="E629" s="353" t="s">
        <v>164</v>
      </c>
      <c r="F629" s="354" t="s">
        <v>30</v>
      </c>
      <c r="G629" s="355" t="s">
        <v>1342</v>
      </c>
      <c r="H629" s="356" t="s">
        <v>31</v>
      </c>
      <c r="I629" s="394"/>
      <c r="J629" s="357" t="s">
        <v>1014</v>
      </c>
      <c r="K629" s="479"/>
      <c r="L629" s="359">
        <v>46212.0</v>
      </c>
      <c r="M629" s="359">
        <v>46223.0</v>
      </c>
      <c r="N629" s="360"/>
      <c r="O629" s="361" t="s">
        <v>99</v>
      </c>
      <c r="P629" s="362"/>
      <c r="Q629" s="388" t="s">
        <v>35</v>
      </c>
      <c r="R629" s="388" t="s">
        <v>133</v>
      </c>
      <c r="S629" s="381" t="s">
        <v>35</v>
      </c>
      <c r="T629" s="439"/>
      <c r="U629" s="374" t="s">
        <v>1282</v>
      </c>
      <c r="V629" s="430"/>
      <c r="W629" s="382"/>
      <c r="X629" s="366"/>
      <c r="Y629" s="365" t="s">
        <v>1344</v>
      </c>
      <c r="Z629" s="380" t="s">
        <v>516</v>
      </c>
      <c r="AA629" s="367"/>
      <c r="AB629" s="13"/>
      <c r="AC629" s="13"/>
      <c r="AD629" s="13"/>
      <c r="AE629" s="13"/>
      <c r="AF629" s="13"/>
      <c r="AG629" s="13"/>
      <c r="AH629" s="13"/>
      <c r="AI629" s="13"/>
      <c r="AJ629" s="13"/>
      <c r="AK629" s="13"/>
      <c r="AL629" s="13"/>
      <c r="AM629" s="14"/>
      <c r="AN629" s="14"/>
      <c r="AO629" s="14"/>
      <c r="AP629" s="14"/>
      <c r="AQ629" s="14"/>
      <c r="AR629" s="14"/>
      <c r="AS629" s="14"/>
      <c r="AT629" s="14"/>
      <c r="AU629" s="14"/>
      <c r="AV629" s="14"/>
      <c r="AW629" s="14"/>
      <c r="AX629" s="14"/>
      <c r="AY629" s="14"/>
      <c r="AZ629" s="14"/>
      <c r="BA629" s="14"/>
      <c r="BB629" s="14"/>
      <c r="BC629" s="14"/>
      <c r="BD629" s="14"/>
      <c r="BE629" s="14"/>
      <c r="BF629" s="14"/>
      <c r="BG629" s="14"/>
      <c r="BH629" s="14"/>
      <c r="BI629" s="14"/>
      <c r="BJ629" s="14"/>
      <c r="BK629" s="14"/>
      <c r="BL629" s="14"/>
      <c r="BM629" s="14"/>
      <c r="BN629" s="14"/>
    </row>
    <row r="630" ht="22.5" customHeight="1">
      <c r="A630" s="349" t="s">
        <v>1332</v>
      </c>
      <c r="B630" s="350"/>
      <c r="C630" s="490" t="s">
        <v>1345</v>
      </c>
      <c r="D630" s="447"/>
      <c r="E630" s="353" t="s">
        <v>164</v>
      </c>
      <c r="F630" s="354" t="s">
        <v>30</v>
      </c>
      <c r="G630" s="355" t="s">
        <v>1326</v>
      </c>
      <c r="H630" s="356" t="s">
        <v>31</v>
      </c>
      <c r="I630" s="394"/>
      <c r="J630" s="357" t="s">
        <v>1340</v>
      </c>
      <c r="K630" s="479"/>
      <c r="L630" s="359">
        <v>46212.0</v>
      </c>
      <c r="M630" s="359">
        <v>46223.0</v>
      </c>
      <c r="N630" s="360"/>
      <c r="O630" s="361" t="s">
        <v>99</v>
      </c>
      <c r="P630" s="362"/>
      <c r="Q630" s="388" t="s">
        <v>35</v>
      </c>
      <c r="R630" s="388" t="s">
        <v>133</v>
      </c>
      <c r="S630" s="381" t="s">
        <v>35</v>
      </c>
      <c r="T630" s="439"/>
      <c r="U630" s="374" t="s">
        <v>1282</v>
      </c>
      <c r="V630" s="430"/>
      <c r="W630" s="382"/>
      <c r="X630" s="366"/>
      <c r="Y630" s="365" t="s">
        <v>516</v>
      </c>
      <c r="Z630" s="380" t="s">
        <v>516</v>
      </c>
      <c r="AA630" s="367"/>
      <c r="AB630" s="13"/>
      <c r="AC630" s="13"/>
      <c r="AD630" s="13"/>
      <c r="AE630" s="13"/>
      <c r="AF630" s="13"/>
      <c r="AG630" s="13"/>
      <c r="AH630" s="13"/>
      <c r="AI630" s="13"/>
      <c r="AJ630" s="13"/>
      <c r="AK630" s="13"/>
      <c r="AL630" s="13"/>
      <c r="AM630" s="14"/>
      <c r="AN630" s="14"/>
      <c r="AO630" s="14"/>
      <c r="AP630" s="14"/>
      <c r="AQ630" s="14"/>
      <c r="AR630" s="14"/>
      <c r="AS630" s="14"/>
      <c r="AT630" s="14"/>
      <c r="AU630" s="14"/>
      <c r="AV630" s="14"/>
      <c r="AW630" s="14"/>
      <c r="AX630" s="14"/>
      <c r="AY630" s="14"/>
      <c r="AZ630" s="14"/>
      <c r="BA630" s="14"/>
      <c r="BB630" s="14"/>
      <c r="BC630" s="14"/>
      <c r="BD630" s="14"/>
      <c r="BE630" s="14"/>
      <c r="BF630" s="14"/>
      <c r="BG630" s="14"/>
      <c r="BH630" s="14"/>
      <c r="BI630" s="14"/>
      <c r="BJ630" s="14"/>
      <c r="BK630" s="14"/>
      <c r="BL630" s="14"/>
      <c r="BM630" s="14"/>
      <c r="BN630" s="14"/>
    </row>
    <row r="631" ht="22.5" customHeight="1">
      <c r="A631" s="349" t="s">
        <v>1332</v>
      </c>
      <c r="B631" s="350"/>
      <c r="C631" s="490" t="s">
        <v>1346</v>
      </c>
      <c r="D631" s="447"/>
      <c r="E631" s="353" t="s">
        <v>164</v>
      </c>
      <c r="F631" s="354" t="s">
        <v>30</v>
      </c>
      <c r="G631" s="355" t="s">
        <v>1326</v>
      </c>
      <c r="H631" s="356" t="s">
        <v>31</v>
      </c>
      <c r="I631" s="394"/>
      <c r="J631" s="357" t="s">
        <v>1334</v>
      </c>
      <c r="K631" s="479"/>
      <c r="L631" s="359">
        <v>46212.0</v>
      </c>
      <c r="M631" s="359">
        <v>46223.0</v>
      </c>
      <c r="N631" s="360"/>
      <c r="O631" s="361" t="s">
        <v>99</v>
      </c>
      <c r="P631" s="362"/>
      <c r="Q631" s="388" t="s">
        <v>35</v>
      </c>
      <c r="R631" s="388" t="s">
        <v>133</v>
      </c>
      <c r="S631" s="381" t="s">
        <v>35</v>
      </c>
      <c r="T631" s="439"/>
      <c r="U631" s="374" t="s">
        <v>1282</v>
      </c>
      <c r="V631" s="430"/>
      <c r="W631" s="382"/>
      <c r="X631" s="366"/>
      <c r="Y631" s="365" t="s">
        <v>516</v>
      </c>
      <c r="Z631" s="380" t="s">
        <v>516</v>
      </c>
      <c r="AA631" s="367"/>
      <c r="AB631" s="13"/>
      <c r="AC631" s="13"/>
      <c r="AD631" s="13"/>
      <c r="AE631" s="13"/>
      <c r="AF631" s="13"/>
      <c r="AG631" s="13"/>
      <c r="AH631" s="13"/>
      <c r="AI631" s="13"/>
      <c r="AJ631" s="13"/>
      <c r="AK631" s="13"/>
      <c r="AL631" s="13"/>
      <c r="AM631" s="14"/>
      <c r="AN631" s="14"/>
      <c r="AO631" s="14"/>
      <c r="AP631" s="14"/>
      <c r="AQ631" s="14"/>
      <c r="AR631" s="14"/>
      <c r="AS631" s="14"/>
      <c r="AT631" s="14"/>
      <c r="AU631" s="14"/>
      <c r="AV631" s="14"/>
      <c r="AW631" s="14"/>
      <c r="AX631" s="14"/>
      <c r="AY631" s="14"/>
      <c r="AZ631" s="14"/>
      <c r="BA631" s="14"/>
      <c r="BB631" s="14"/>
      <c r="BC631" s="14"/>
      <c r="BD631" s="14"/>
      <c r="BE631" s="14"/>
      <c r="BF631" s="14"/>
      <c r="BG631" s="14"/>
      <c r="BH631" s="14"/>
      <c r="BI631" s="14"/>
      <c r="BJ631" s="14"/>
      <c r="BK631" s="14"/>
      <c r="BL631" s="14"/>
      <c r="BM631" s="14"/>
      <c r="BN631" s="14"/>
    </row>
    <row r="632" ht="22.5" customHeight="1">
      <c r="A632" s="349" t="s">
        <v>1332</v>
      </c>
      <c r="B632" s="350"/>
      <c r="C632" s="490" t="s">
        <v>1347</v>
      </c>
      <c r="D632" s="447"/>
      <c r="E632" s="353" t="s">
        <v>164</v>
      </c>
      <c r="F632" s="354" t="s">
        <v>30</v>
      </c>
      <c r="G632" s="355" t="s">
        <v>1326</v>
      </c>
      <c r="H632" s="356" t="s">
        <v>31</v>
      </c>
      <c r="I632" s="394"/>
      <c r="J632" s="357" t="s">
        <v>1340</v>
      </c>
      <c r="K632" s="479"/>
      <c r="L632" s="359">
        <v>46212.0</v>
      </c>
      <c r="M632" s="359">
        <v>46223.0</v>
      </c>
      <c r="N632" s="360"/>
      <c r="O632" s="361" t="s">
        <v>99</v>
      </c>
      <c r="P632" s="362"/>
      <c r="Q632" s="388" t="s">
        <v>35</v>
      </c>
      <c r="R632" s="388" t="s">
        <v>133</v>
      </c>
      <c r="S632" s="381" t="s">
        <v>35</v>
      </c>
      <c r="T632" s="439"/>
      <c r="U632" s="374" t="s">
        <v>1282</v>
      </c>
      <c r="V632" s="430"/>
      <c r="W632" s="382"/>
      <c r="X632" s="366"/>
      <c r="Y632" s="365" t="s">
        <v>516</v>
      </c>
      <c r="Z632" s="380" t="s">
        <v>516</v>
      </c>
      <c r="AA632" s="367"/>
      <c r="AB632" s="13"/>
      <c r="AC632" s="13"/>
      <c r="AD632" s="13"/>
      <c r="AE632" s="13"/>
      <c r="AF632" s="13"/>
      <c r="AG632" s="13"/>
      <c r="AH632" s="13"/>
      <c r="AI632" s="13"/>
      <c r="AJ632" s="13"/>
      <c r="AK632" s="13"/>
      <c r="AL632" s="13"/>
      <c r="AM632" s="14"/>
      <c r="AN632" s="14"/>
      <c r="AO632" s="14"/>
      <c r="AP632" s="14"/>
      <c r="AQ632" s="14"/>
      <c r="AR632" s="14"/>
      <c r="AS632" s="14"/>
      <c r="AT632" s="14"/>
      <c r="AU632" s="14"/>
      <c r="AV632" s="14"/>
      <c r="AW632" s="14"/>
      <c r="AX632" s="14"/>
      <c r="AY632" s="14"/>
      <c r="AZ632" s="14"/>
      <c r="BA632" s="14"/>
      <c r="BB632" s="14"/>
      <c r="BC632" s="14"/>
      <c r="BD632" s="14"/>
      <c r="BE632" s="14"/>
      <c r="BF632" s="14"/>
      <c r="BG632" s="14"/>
      <c r="BH632" s="14"/>
      <c r="BI632" s="14"/>
      <c r="BJ632" s="14"/>
      <c r="BK632" s="14"/>
      <c r="BL632" s="14"/>
      <c r="BM632" s="14"/>
      <c r="BN632" s="14"/>
    </row>
    <row r="633" ht="22.5" customHeight="1">
      <c r="A633" s="349" t="s">
        <v>1332</v>
      </c>
      <c r="B633" s="350"/>
      <c r="C633" s="490" t="s">
        <v>1348</v>
      </c>
      <c r="D633" s="447"/>
      <c r="E633" s="353" t="s">
        <v>164</v>
      </c>
      <c r="F633" s="354" t="s">
        <v>30</v>
      </c>
      <c r="G633" s="355" t="s">
        <v>1326</v>
      </c>
      <c r="H633" s="356" t="s">
        <v>31</v>
      </c>
      <c r="I633" s="394"/>
      <c r="J633" s="357" t="s">
        <v>1349</v>
      </c>
      <c r="K633" s="479"/>
      <c r="L633" s="359">
        <v>46212.0</v>
      </c>
      <c r="M633" s="359">
        <v>46223.0</v>
      </c>
      <c r="N633" s="360"/>
      <c r="O633" s="361" t="s">
        <v>99</v>
      </c>
      <c r="P633" s="362"/>
      <c r="Q633" s="388" t="s">
        <v>35</v>
      </c>
      <c r="R633" s="388" t="s">
        <v>133</v>
      </c>
      <c r="S633" s="381" t="s">
        <v>35</v>
      </c>
      <c r="T633" s="439"/>
      <c r="U633" s="374" t="s">
        <v>1282</v>
      </c>
      <c r="V633" s="430"/>
      <c r="W633" s="382"/>
      <c r="X633" s="366"/>
      <c r="Y633" s="365" t="s">
        <v>516</v>
      </c>
      <c r="Z633" s="380" t="s">
        <v>516</v>
      </c>
      <c r="AA633" s="367"/>
      <c r="AB633" s="13"/>
      <c r="AC633" s="13"/>
      <c r="AD633" s="13"/>
      <c r="AE633" s="13"/>
      <c r="AF633" s="13"/>
      <c r="AG633" s="13"/>
      <c r="AH633" s="13"/>
      <c r="AI633" s="13"/>
      <c r="AJ633" s="13"/>
      <c r="AK633" s="13"/>
      <c r="AL633" s="13"/>
      <c r="AM633" s="14"/>
      <c r="AN633" s="14"/>
      <c r="AO633" s="14"/>
      <c r="AP633" s="14"/>
      <c r="AQ633" s="14"/>
      <c r="AR633" s="14"/>
      <c r="AS633" s="14"/>
      <c r="AT633" s="14"/>
      <c r="AU633" s="14"/>
      <c r="AV633" s="14"/>
      <c r="AW633" s="14"/>
      <c r="AX633" s="14"/>
      <c r="AY633" s="14"/>
      <c r="AZ633" s="14"/>
      <c r="BA633" s="14"/>
      <c r="BB633" s="14"/>
      <c r="BC633" s="14"/>
      <c r="BD633" s="14"/>
      <c r="BE633" s="14"/>
      <c r="BF633" s="14"/>
      <c r="BG633" s="14"/>
      <c r="BH633" s="14"/>
      <c r="BI633" s="14"/>
      <c r="BJ633" s="14"/>
      <c r="BK633" s="14"/>
      <c r="BL633" s="14"/>
      <c r="BM633" s="14"/>
      <c r="BN633" s="14"/>
    </row>
    <row r="634" ht="22.5" customHeight="1">
      <c r="A634" s="349" t="s">
        <v>1332</v>
      </c>
      <c r="B634" s="350"/>
      <c r="C634" s="490" t="s">
        <v>1350</v>
      </c>
      <c r="D634" s="447"/>
      <c r="E634" s="353" t="s">
        <v>164</v>
      </c>
      <c r="F634" s="354" t="s">
        <v>30</v>
      </c>
      <c r="G634" s="355" t="s">
        <v>1351</v>
      </c>
      <c r="H634" s="356" t="s">
        <v>31</v>
      </c>
      <c r="I634" s="394"/>
      <c r="J634" s="357" t="s">
        <v>1340</v>
      </c>
      <c r="K634" s="479"/>
      <c r="L634" s="359">
        <v>46212.0</v>
      </c>
      <c r="M634" s="359">
        <v>46223.0</v>
      </c>
      <c r="N634" s="360"/>
      <c r="O634" s="361" t="s">
        <v>99</v>
      </c>
      <c r="P634" s="362"/>
      <c r="Q634" s="388" t="s">
        <v>35</v>
      </c>
      <c r="R634" s="388" t="s">
        <v>133</v>
      </c>
      <c r="S634" s="381" t="s">
        <v>35</v>
      </c>
      <c r="T634" s="439"/>
      <c r="U634" s="374" t="s">
        <v>1282</v>
      </c>
      <c r="V634" s="430"/>
      <c r="W634" s="382"/>
      <c r="X634" s="366"/>
      <c r="Y634" s="365" t="s">
        <v>516</v>
      </c>
      <c r="Z634" s="380" t="s">
        <v>516</v>
      </c>
      <c r="AA634" s="367"/>
      <c r="AB634" s="13"/>
      <c r="AC634" s="13"/>
      <c r="AD634" s="13"/>
      <c r="AE634" s="13"/>
      <c r="AF634" s="13"/>
      <c r="AG634" s="13"/>
      <c r="AH634" s="13"/>
      <c r="AI634" s="13"/>
      <c r="AJ634" s="13"/>
      <c r="AK634" s="13"/>
      <c r="AL634" s="13"/>
      <c r="AM634" s="14"/>
      <c r="AN634" s="14"/>
      <c r="AO634" s="14"/>
      <c r="AP634" s="14"/>
      <c r="AQ634" s="14"/>
      <c r="AR634" s="14"/>
      <c r="AS634" s="14"/>
      <c r="AT634" s="14"/>
      <c r="AU634" s="14"/>
      <c r="AV634" s="14"/>
      <c r="AW634" s="14"/>
      <c r="AX634" s="14"/>
      <c r="AY634" s="14"/>
      <c r="AZ634" s="14"/>
      <c r="BA634" s="14"/>
      <c r="BB634" s="14"/>
      <c r="BC634" s="14"/>
      <c r="BD634" s="14"/>
      <c r="BE634" s="14"/>
      <c r="BF634" s="14"/>
      <c r="BG634" s="14"/>
      <c r="BH634" s="14"/>
      <c r="BI634" s="14"/>
      <c r="BJ634" s="14"/>
      <c r="BK634" s="14"/>
      <c r="BL634" s="14"/>
      <c r="BM634" s="14"/>
      <c r="BN634" s="14"/>
    </row>
    <row r="635" ht="22.5" customHeight="1">
      <c r="A635" s="349" t="s">
        <v>1332</v>
      </c>
      <c r="B635" s="350"/>
      <c r="C635" s="490" t="s">
        <v>1325</v>
      </c>
      <c r="D635" s="447"/>
      <c r="E635" s="353" t="s">
        <v>164</v>
      </c>
      <c r="F635" s="354" t="s">
        <v>30</v>
      </c>
      <c r="G635" s="355" t="s">
        <v>1326</v>
      </c>
      <c r="H635" s="356" t="s">
        <v>31</v>
      </c>
      <c r="I635" s="394"/>
      <c r="J635" s="357" t="s">
        <v>1352</v>
      </c>
      <c r="K635" s="479"/>
      <c r="L635" s="359">
        <v>46212.0</v>
      </c>
      <c r="M635" s="359">
        <v>46223.0</v>
      </c>
      <c r="N635" s="360"/>
      <c r="O635" s="361" t="s">
        <v>99</v>
      </c>
      <c r="P635" s="362"/>
      <c r="Q635" s="388" t="s">
        <v>35</v>
      </c>
      <c r="R635" s="388" t="s">
        <v>133</v>
      </c>
      <c r="S635" s="381" t="s">
        <v>35</v>
      </c>
      <c r="T635" s="439"/>
      <c r="U635" s="374" t="s">
        <v>1282</v>
      </c>
      <c r="V635" s="430"/>
      <c r="W635" s="382"/>
      <c r="X635" s="366"/>
      <c r="Y635" s="365" t="s">
        <v>516</v>
      </c>
      <c r="Z635" s="380" t="s">
        <v>516</v>
      </c>
      <c r="AA635" s="367"/>
      <c r="AB635" s="13"/>
      <c r="AC635" s="13"/>
      <c r="AD635" s="13"/>
      <c r="AE635" s="13"/>
      <c r="AF635" s="13"/>
      <c r="AG635" s="13"/>
      <c r="AH635" s="13"/>
      <c r="AI635" s="13"/>
      <c r="AJ635" s="13"/>
      <c r="AK635" s="13"/>
      <c r="AL635" s="13"/>
      <c r="AM635" s="14"/>
      <c r="AN635" s="14"/>
      <c r="AO635" s="14"/>
      <c r="AP635" s="14"/>
      <c r="AQ635" s="14"/>
      <c r="AR635" s="14"/>
      <c r="AS635" s="14"/>
      <c r="AT635" s="14"/>
      <c r="AU635" s="14"/>
      <c r="AV635" s="14"/>
      <c r="AW635" s="14"/>
      <c r="AX635" s="14"/>
      <c r="AY635" s="14"/>
      <c r="AZ635" s="14"/>
      <c r="BA635" s="14"/>
      <c r="BB635" s="14"/>
      <c r="BC635" s="14"/>
      <c r="BD635" s="14"/>
      <c r="BE635" s="14"/>
      <c r="BF635" s="14"/>
      <c r="BG635" s="14"/>
      <c r="BH635" s="14"/>
      <c r="BI635" s="14"/>
      <c r="BJ635" s="14"/>
      <c r="BK635" s="14"/>
      <c r="BL635" s="14"/>
      <c r="BM635" s="14"/>
      <c r="BN635" s="14"/>
    </row>
    <row r="636" ht="22.5" customHeight="1">
      <c r="A636" s="349" t="s">
        <v>1332</v>
      </c>
      <c r="B636" s="350"/>
      <c r="C636" s="490" t="s">
        <v>1353</v>
      </c>
      <c r="D636" s="447"/>
      <c r="E636" s="353" t="s">
        <v>164</v>
      </c>
      <c r="F636" s="354" t="s">
        <v>30</v>
      </c>
      <c r="G636" s="355" t="s">
        <v>1354</v>
      </c>
      <c r="H636" s="356" t="s">
        <v>31</v>
      </c>
      <c r="I636" s="394"/>
      <c r="J636" s="357" t="s">
        <v>698</v>
      </c>
      <c r="K636" s="479"/>
      <c r="L636" s="359">
        <v>46212.0</v>
      </c>
      <c r="M636" s="359">
        <v>46223.0</v>
      </c>
      <c r="N636" s="360"/>
      <c r="O636" s="361" t="s">
        <v>54</v>
      </c>
      <c r="P636" s="362"/>
      <c r="Q636" s="388" t="s">
        <v>35</v>
      </c>
      <c r="R636" s="388" t="s">
        <v>133</v>
      </c>
      <c r="S636" s="381" t="s">
        <v>35</v>
      </c>
      <c r="T636" s="439"/>
      <c r="U636" s="374" t="s">
        <v>1282</v>
      </c>
      <c r="V636" s="430"/>
      <c r="W636" s="382"/>
      <c r="X636" s="366"/>
      <c r="Y636" s="365" t="s">
        <v>516</v>
      </c>
      <c r="Z636" s="380" t="s">
        <v>516</v>
      </c>
      <c r="AA636" s="367"/>
      <c r="AB636" s="13"/>
      <c r="AC636" s="13"/>
      <c r="AD636" s="13"/>
      <c r="AE636" s="13"/>
      <c r="AF636" s="13"/>
      <c r="AG636" s="13"/>
      <c r="AH636" s="13"/>
      <c r="AI636" s="13"/>
      <c r="AJ636" s="13"/>
      <c r="AK636" s="13"/>
      <c r="AL636" s="13"/>
      <c r="AM636" s="14"/>
      <c r="AN636" s="14"/>
      <c r="AO636" s="14"/>
      <c r="AP636" s="14"/>
      <c r="AQ636" s="14"/>
      <c r="AR636" s="14"/>
      <c r="AS636" s="14"/>
      <c r="AT636" s="14"/>
      <c r="AU636" s="14"/>
      <c r="AV636" s="14"/>
      <c r="AW636" s="14"/>
      <c r="AX636" s="14"/>
      <c r="AY636" s="14"/>
      <c r="AZ636" s="14"/>
      <c r="BA636" s="14"/>
      <c r="BB636" s="14"/>
      <c r="BC636" s="14"/>
      <c r="BD636" s="14"/>
      <c r="BE636" s="14"/>
      <c r="BF636" s="14"/>
      <c r="BG636" s="14"/>
      <c r="BH636" s="14"/>
      <c r="BI636" s="14"/>
      <c r="BJ636" s="14"/>
      <c r="BK636" s="14"/>
      <c r="BL636" s="14"/>
      <c r="BM636" s="14"/>
      <c r="BN636" s="14"/>
    </row>
    <row r="637" ht="22.5" customHeight="1">
      <c r="A637" s="349" t="s">
        <v>1332</v>
      </c>
      <c r="B637" s="350"/>
      <c r="C637" s="490" t="s">
        <v>1355</v>
      </c>
      <c r="D637" s="447"/>
      <c r="E637" s="353" t="s">
        <v>164</v>
      </c>
      <c r="F637" s="354" t="s">
        <v>30</v>
      </c>
      <c r="G637" s="355" t="s">
        <v>1354</v>
      </c>
      <c r="H637" s="356" t="s">
        <v>31</v>
      </c>
      <c r="I637" s="394"/>
      <c r="J637" s="357" t="s">
        <v>207</v>
      </c>
      <c r="K637" s="479"/>
      <c r="L637" s="359">
        <v>46212.0</v>
      </c>
      <c r="M637" s="359">
        <v>46223.0</v>
      </c>
      <c r="N637" s="360"/>
      <c r="O637" s="361" t="s">
        <v>54</v>
      </c>
      <c r="P637" s="362"/>
      <c r="Q637" s="388" t="s">
        <v>35</v>
      </c>
      <c r="R637" s="388" t="s">
        <v>133</v>
      </c>
      <c r="S637" s="381" t="s">
        <v>35</v>
      </c>
      <c r="T637" s="439"/>
      <c r="U637" s="374" t="s">
        <v>1282</v>
      </c>
      <c r="V637" s="430"/>
      <c r="W637" s="382"/>
      <c r="X637" s="366"/>
      <c r="Y637" s="365" t="s">
        <v>516</v>
      </c>
      <c r="Z637" s="380" t="s">
        <v>516</v>
      </c>
      <c r="AA637" s="367"/>
      <c r="AB637" s="13"/>
      <c r="AC637" s="13"/>
      <c r="AD637" s="13"/>
      <c r="AE637" s="13"/>
      <c r="AF637" s="13"/>
      <c r="AG637" s="13"/>
      <c r="AH637" s="13"/>
      <c r="AI637" s="13"/>
      <c r="AJ637" s="13"/>
      <c r="AK637" s="13"/>
      <c r="AL637" s="13"/>
      <c r="AM637" s="14"/>
      <c r="AN637" s="14"/>
      <c r="AO637" s="14"/>
      <c r="AP637" s="14"/>
      <c r="AQ637" s="14"/>
      <c r="AR637" s="14"/>
      <c r="AS637" s="14"/>
      <c r="AT637" s="14"/>
      <c r="AU637" s="14"/>
      <c r="AV637" s="14"/>
      <c r="AW637" s="14"/>
      <c r="AX637" s="14"/>
      <c r="AY637" s="14"/>
      <c r="AZ637" s="14"/>
      <c r="BA637" s="14"/>
      <c r="BB637" s="14"/>
      <c r="BC637" s="14"/>
      <c r="BD637" s="14"/>
      <c r="BE637" s="14"/>
      <c r="BF637" s="14"/>
      <c r="BG637" s="14"/>
      <c r="BH637" s="14"/>
      <c r="BI637" s="14"/>
      <c r="BJ637" s="14"/>
      <c r="BK637" s="14"/>
      <c r="BL637" s="14"/>
      <c r="BM637" s="14"/>
      <c r="BN637" s="14"/>
    </row>
    <row r="638" ht="22.5" customHeight="1">
      <c r="A638" s="349" t="s">
        <v>509</v>
      </c>
      <c r="B638" s="350"/>
      <c r="C638" s="490" t="s">
        <v>1140</v>
      </c>
      <c r="D638" s="447"/>
      <c r="E638" s="353" t="s">
        <v>95</v>
      </c>
      <c r="F638" s="354" t="s">
        <v>72</v>
      </c>
      <c r="G638" s="355" t="s">
        <v>291</v>
      </c>
      <c r="H638" s="394"/>
      <c r="I638" s="394"/>
      <c r="J638" s="491" t="s">
        <v>77</v>
      </c>
      <c r="K638" s="479"/>
      <c r="L638" s="359">
        <v>46213.0</v>
      </c>
      <c r="M638" s="359">
        <v>46226.0</v>
      </c>
      <c r="N638" s="360"/>
      <c r="O638" s="361" t="s">
        <v>99</v>
      </c>
      <c r="P638" s="362"/>
      <c r="Q638" s="353" t="s">
        <v>35</v>
      </c>
      <c r="R638" s="353" t="s">
        <v>133</v>
      </c>
      <c r="S638" s="361" t="s">
        <v>36</v>
      </c>
      <c r="T638" s="361" t="s">
        <v>36</v>
      </c>
      <c r="U638" s="363" t="s">
        <v>1286</v>
      </c>
      <c r="V638" s="430"/>
      <c r="W638" s="492" t="s">
        <v>1356</v>
      </c>
      <c r="X638" s="366"/>
      <c r="Y638" s="366"/>
      <c r="Z638" s="367"/>
      <c r="AA638" s="367"/>
      <c r="AB638" s="13"/>
      <c r="AC638" s="13"/>
      <c r="AD638" s="13"/>
      <c r="AE638" s="13"/>
      <c r="AF638" s="13"/>
      <c r="AG638" s="13"/>
      <c r="AH638" s="13"/>
      <c r="AI638" s="13"/>
      <c r="AJ638" s="13"/>
      <c r="AK638" s="13"/>
      <c r="AL638" s="13"/>
      <c r="AM638" s="14"/>
      <c r="AN638" s="14"/>
      <c r="AO638" s="14"/>
      <c r="AP638" s="14"/>
      <c r="AQ638" s="14"/>
      <c r="AR638" s="14"/>
      <c r="AS638" s="14"/>
      <c r="AT638" s="14"/>
      <c r="AU638" s="14"/>
      <c r="AV638" s="14"/>
      <c r="AW638" s="14"/>
      <c r="AX638" s="14"/>
      <c r="AY638" s="14"/>
      <c r="AZ638" s="14"/>
      <c r="BA638" s="14"/>
      <c r="BB638" s="14"/>
      <c r="BC638" s="14"/>
      <c r="BD638" s="14"/>
      <c r="BE638" s="14"/>
      <c r="BF638" s="14"/>
      <c r="BG638" s="14"/>
      <c r="BH638" s="14"/>
      <c r="BI638" s="14"/>
      <c r="BJ638" s="14"/>
      <c r="BK638" s="14"/>
      <c r="BL638" s="14"/>
      <c r="BM638" s="14"/>
      <c r="BN638" s="14"/>
    </row>
    <row r="639" ht="22.5" customHeight="1">
      <c r="A639" s="349" t="s">
        <v>509</v>
      </c>
      <c r="B639" s="350"/>
      <c r="C639" s="490" t="s">
        <v>1357</v>
      </c>
      <c r="D639" s="447"/>
      <c r="E639" s="353" t="s">
        <v>95</v>
      </c>
      <c r="F639" s="354" t="s">
        <v>72</v>
      </c>
      <c r="G639" s="355" t="s">
        <v>291</v>
      </c>
      <c r="H639" s="394"/>
      <c r="I639" s="394"/>
      <c r="J639" s="491" t="s">
        <v>77</v>
      </c>
      <c r="K639" s="479"/>
      <c r="L639" s="359">
        <v>46213.0</v>
      </c>
      <c r="M639" s="359">
        <v>46226.0</v>
      </c>
      <c r="N639" s="360"/>
      <c r="O639" s="361" t="s">
        <v>99</v>
      </c>
      <c r="P639" s="362"/>
      <c r="Q639" s="353" t="s">
        <v>35</v>
      </c>
      <c r="R639" s="353" t="s">
        <v>133</v>
      </c>
      <c r="S639" s="361" t="s">
        <v>36</v>
      </c>
      <c r="T639" s="361" t="s">
        <v>36</v>
      </c>
      <c r="U639" s="363" t="s">
        <v>1286</v>
      </c>
      <c r="V639" s="430"/>
      <c r="W639" s="492" t="s">
        <v>1358</v>
      </c>
      <c r="X639" s="366"/>
      <c r="Y639" s="366"/>
      <c r="Z639" s="367"/>
      <c r="AA639" s="367"/>
      <c r="AB639" s="13"/>
      <c r="AC639" s="13"/>
      <c r="AD639" s="13"/>
      <c r="AE639" s="13"/>
      <c r="AF639" s="13"/>
      <c r="AG639" s="13"/>
      <c r="AH639" s="13"/>
      <c r="AI639" s="13"/>
      <c r="AJ639" s="13"/>
      <c r="AK639" s="13"/>
      <c r="AL639" s="13"/>
      <c r="AM639" s="14"/>
      <c r="AN639" s="14"/>
      <c r="AO639" s="14"/>
      <c r="AP639" s="14"/>
      <c r="AQ639" s="14"/>
      <c r="AR639" s="14"/>
      <c r="AS639" s="14"/>
      <c r="AT639" s="14"/>
      <c r="AU639" s="14"/>
      <c r="AV639" s="14"/>
      <c r="AW639" s="14"/>
      <c r="AX639" s="14"/>
      <c r="AY639" s="14"/>
      <c r="AZ639" s="14"/>
      <c r="BA639" s="14"/>
      <c r="BB639" s="14"/>
      <c r="BC639" s="14"/>
      <c r="BD639" s="14"/>
      <c r="BE639" s="14"/>
      <c r="BF639" s="14"/>
      <c r="BG639" s="14"/>
      <c r="BH639" s="14"/>
      <c r="BI639" s="14"/>
      <c r="BJ639" s="14"/>
      <c r="BK639" s="14"/>
      <c r="BL639" s="14"/>
      <c r="BM639" s="14"/>
      <c r="BN639" s="14"/>
    </row>
    <row r="640" ht="22.5" customHeight="1">
      <c r="A640" s="349" t="s">
        <v>509</v>
      </c>
      <c r="B640" s="350"/>
      <c r="C640" s="490" t="s">
        <v>1145</v>
      </c>
      <c r="D640" s="447"/>
      <c r="E640" s="353" t="s">
        <v>95</v>
      </c>
      <c r="F640" s="354" t="s">
        <v>72</v>
      </c>
      <c r="G640" s="355" t="s">
        <v>291</v>
      </c>
      <c r="H640" s="394"/>
      <c r="I640" s="394"/>
      <c r="J640" s="491" t="s">
        <v>77</v>
      </c>
      <c r="K640" s="479"/>
      <c r="L640" s="359">
        <v>46213.0</v>
      </c>
      <c r="M640" s="359">
        <v>46226.0</v>
      </c>
      <c r="N640" s="360"/>
      <c r="O640" s="361" t="s">
        <v>99</v>
      </c>
      <c r="P640" s="362"/>
      <c r="Q640" s="353" t="s">
        <v>35</v>
      </c>
      <c r="R640" s="353" t="s">
        <v>133</v>
      </c>
      <c r="S640" s="361" t="s">
        <v>36</v>
      </c>
      <c r="T640" s="361" t="s">
        <v>36</v>
      </c>
      <c r="U640" s="363" t="s">
        <v>1286</v>
      </c>
      <c r="V640" s="430"/>
      <c r="W640" s="492" t="s">
        <v>1359</v>
      </c>
      <c r="X640" s="366"/>
      <c r="Y640" s="366"/>
      <c r="Z640" s="367"/>
      <c r="AA640" s="367"/>
      <c r="AB640" s="13"/>
      <c r="AC640" s="13"/>
      <c r="AD640" s="13"/>
      <c r="AE640" s="13"/>
      <c r="AF640" s="13"/>
      <c r="AG640" s="13"/>
      <c r="AH640" s="13"/>
      <c r="AI640" s="13"/>
      <c r="AJ640" s="13"/>
      <c r="AK640" s="13"/>
      <c r="AL640" s="13"/>
      <c r="AM640" s="14"/>
      <c r="AN640" s="14"/>
      <c r="AO640" s="14"/>
      <c r="AP640" s="14"/>
      <c r="AQ640" s="14"/>
      <c r="AR640" s="14"/>
      <c r="AS640" s="14"/>
      <c r="AT640" s="14"/>
      <c r="AU640" s="14"/>
      <c r="AV640" s="14"/>
      <c r="AW640" s="14"/>
      <c r="AX640" s="14"/>
      <c r="AY640" s="14"/>
      <c r="AZ640" s="14"/>
      <c r="BA640" s="14"/>
      <c r="BB640" s="14"/>
      <c r="BC640" s="14"/>
      <c r="BD640" s="14"/>
      <c r="BE640" s="14"/>
      <c r="BF640" s="14"/>
      <c r="BG640" s="14"/>
      <c r="BH640" s="14"/>
      <c r="BI640" s="14"/>
      <c r="BJ640" s="14"/>
      <c r="BK640" s="14"/>
      <c r="BL640" s="14"/>
      <c r="BM640" s="14"/>
      <c r="BN640" s="14"/>
    </row>
    <row r="641" ht="22.5" customHeight="1">
      <c r="A641" s="349" t="s">
        <v>509</v>
      </c>
      <c r="B641" s="350"/>
      <c r="C641" s="490" t="s">
        <v>1360</v>
      </c>
      <c r="D641" s="447"/>
      <c r="E641" s="353" t="s">
        <v>95</v>
      </c>
      <c r="F641" s="354" t="s">
        <v>72</v>
      </c>
      <c r="G641" s="355" t="s">
        <v>291</v>
      </c>
      <c r="H641" s="394"/>
      <c r="I641" s="394"/>
      <c r="J641" s="491" t="s">
        <v>197</v>
      </c>
      <c r="K641" s="479"/>
      <c r="L641" s="359">
        <v>46213.0</v>
      </c>
      <c r="M641" s="359">
        <v>46226.0</v>
      </c>
      <c r="N641" s="360"/>
      <c r="O641" s="361" t="s">
        <v>99</v>
      </c>
      <c r="P641" s="362"/>
      <c r="Q641" s="353" t="s">
        <v>35</v>
      </c>
      <c r="R641" s="353" t="s">
        <v>133</v>
      </c>
      <c r="S641" s="361" t="s">
        <v>36</v>
      </c>
      <c r="T641" s="361" t="s">
        <v>36</v>
      </c>
      <c r="U641" s="363" t="s">
        <v>1286</v>
      </c>
      <c r="V641" s="430"/>
      <c r="W641" s="492" t="s">
        <v>1361</v>
      </c>
      <c r="X641" s="366"/>
      <c r="Y641" s="366"/>
      <c r="Z641" s="367"/>
      <c r="AA641" s="367"/>
      <c r="AB641" s="13"/>
      <c r="AC641" s="13"/>
      <c r="AD641" s="13"/>
      <c r="AE641" s="13"/>
      <c r="AF641" s="13"/>
      <c r="AG641" s="13"/>
      <c r="AH641" s="13"/>
      <c r="AI641" s="13"/>
      <c r="AJ641" s="13"/>
      <c r="AK641" s="13"/>
      <c r="AL641" s="13"/>
      <c r="AM641" s="14"/>
      <c r="AN641" s="14"/>
      <c r="AO641" s="14"/>
      <c r="AP641" s="14"/>
      <c r="AQ641" s="14"/>
      <c r="AR641" s="14"/>
      <c r="AS641" s="14"/>
      <c r="AT641" s="14"/>
      <c r="AU641" s="14"/>
      <c r="AV641" s="14"/>
      <c r="AW641" s="14"/>
      <c r="AX641" s="14"/>
      <c r="AY641" s="14"/>
      <c r="AZ641" s="14"/>
      <c r="BA641" s="14"/>
      <c r="BB641" s="14"/>
      <c r="BC641" s="14"/>
      <c r="BD641" s="14"/>
      <c r="BE641" s="14"/>
      <c r="BF641" s="14"/>
      <c r="BG641" s="14"/>
      <c r="BH641" s="14"/>
      <c r="BI641" s="14"/>
      <c r="BJ641" s="14"/>
      <c r="BK641" s="14"/>
      <c r="BL641" s="14"/>
      <c r="BM641" s="14"/>
      <c r="BN641" s="14"/>
    </row>
    <row r="642" ht="22.5" customHeight="1">
      <c r="A642" s="349" t="s">
        <v>509</v>
      </c>
      <c r="B642" s="350"/>
      <c r="C642" s="490" t="s">
        <v>1362</v>
      </c>
      <c r="D642" s="447"/>
      <c r="E642" s="353" t="s">
        <v>95</v>
      </c>
      <c r="F642" s="354" t="s">
        <v>72</v>
      </c>
      <c r="G642" s="355" t="s">
        <v>291</v>
      </c>
      <c r="H642" s="394"/>
      <c r="I642" s="394"/>
      <c r="J642" s="491" t="s">
        <v>197</v>
      </c>
      <c r="K642" s="479"/>
      <c r="L642" s="359">
        <v>46213.0</v>
      </c>
      <c r="M642" s="359">
        <v>46226.0</v>
      </c>
      <c r="N642" s="360"/>
      <c r="O642" s="361" t="s">
        <v>99</v>
      </c>
      <c r="P642" s="362"/>
      <c r="Q642" s="353" t="s">
        <v>35</v>
      </c>
      <c r="R642" s="353" t="s">
        <v>133</v>
      </c>
      <c r="S642" s="361" t="s">
        <v>36</v>
      </c>
      <c r="T642" s="361" t="s">
        <v>36</v>
      </c>
      <c r="U642" s="363" t="s">
        <v>1286</v>
      </c>
      <c r="V642" s="430"/>
      <c r="W642" s="492" t="s">
        <v>1363</v>
      </c>
      <c r="X642" s="366"/>
      <c r="Y642" s="366"/>
      <c r="Z642" s="367"/>
      <c r="AA642" s="367"/>
      <c r="AB642" s="13"/>
      <c r="AC642" s="13"/>
      <c r="AD642" s="13"/>
      <c r="AE642" s="13"/>
      <c r="AF642" s="13"/>
      <c r="AG642" s="13"/>
      <c r="AH642" s="13"/>
      <c r="AI642" s="13"/>
      <c r="AJ642" s="13"/>
      <c r="AK642" s="13"/>
      <c r="AL642" s="13"/>
      <c r="AM642" s="14"/>
      <c r="AN642" s="14"/>
      <c r="AO642" s="14"/>
      <c r="AP642" s="14"/>
      <c r="AQ642" s="14"/>
      <c r="AR642" s="14"/>
      <c r="AS642" s="14"/>
      <c r="AT642" s="14"/>
      <c r="AU642" s="14"/>
      <c r="AV642" s="14"/>
      <c r="AW642" s="14"/>
      <c r="AX642" s="14"/>
      <c r="AY642" s="14"/>
      <c r="AZ642" s="14"/>
      <c r="BA642" s="14"/>
      <c r="BB642" s="14"/>
      <c r="BC642" s="14"/>
      <c r="BD642" s="14"/>
      <c r="BE642" s="14"/>
      <c r="BF642" s="14"/>
      <c r="BG642" s="14"/>
      <c r="BH642" s="14"/>
      <c r="BI642" s="14"/>
      <c r="BJ642" s="14"/>
      <c r="BK642" s="14"/>
      <c r="BL642" s="14"/>
      <c r="BM642" s="14"/>
      <c r="BN642" s="14"/>
    </row>
    <row r="643" ht="22.5" customHeight="1">
      <c r="A643" s="349" t="s">
        <v>509</v>
      </c>
      <c r="B643" s="350"/>
      <c r="C643" s="490" t="s">
        <v>1364</v>
      </c>
      <c r="D643" s="447"/>
      <c r="E643" s="353" t="s">
        <v>95</v>
      </c>
      <c r="F643" s="354" t="s">
        <v>72</v>
      </c>
      <c r="G643" s="355" t="s">
        <v>291</v>
      </c>
      <c r="H643" s="394"/>
      <c r="I643" s="394"/>
      <c r="J643" s="491" t="s">
        <v>1365</v>
      </c>
      <c r="K643" s="479"/>
      <c r="L643" s="359">
        <v>46213.0</v>
      </c>
      <c r="M643" s="359">
        <v>46226.0</v>
      </c>
      <c r="N643" s="360"/>
      <c r="O643" s="361" t="s">
        <v>99</v>
      </c>
      <c r="P643" s="362"/>
      <c r="Q643" s="353" t="s">
        <v>35</v>
      </c>
      <c r="R643" s="353" t="s">
        <v>133</v>
      </c>
      <c r="S643" s="361" t="s">
        <v>36</v>
      </c>
      <c r="T643" s="361" t="s">
        <v>36</v>
      </c>
      <c r="U643" s="363" t="s">
        <v>1286</v>
      </c>
      <c r="V643" s="430"/>
      <c r="W643" s="492" t="s">
        <v>1366</v>
      </c>
      <c r="X643" s="366"/>
      <c r="Y643" s="366"/>
      <c r="Z643" s="367"/>
      <c r="AA643" s="367"/>
      <c r="AB643" s="13"/>
      <c r="AC643" s="13"/>
      <c r="AD643" s="13"/>
      <c r="AE643" s="13"/>
      <c r="AF643" s="13"/>
      <c r="AG643" s="13"/>
      <c r="AH643" s="13"/>
      <c r="AI643" s="13"/>
      <c r="AJ643" s="13"/>
      <c r="AK643" s="13"/>
      <c r="AL643" s="13"/>
      <c r="AM643" s="14"/>
      <c r="AN643" s="14"/>
      <c r="AO643" s="14"/>
      <c r="AP643" s="14"/>
      <c r="AQ643" s="14"/>
      <c r="AR643" s="14"/>
      <c r="AS643" s="14"/>
      <c r="AT643" s="14"/>
      <c r="AU643" s="14"/>
      <c r="AV643" s="14"/>
      <c r="AW643" s="14"/>
      <c r="AX643" s="14"/>
      <c r="AY643" s="14"/>
      <c r="AZ643" s="14"/>
      <c r="BA643" s="14"/>
      <c r="BB643" s="14"/>
      <c r="BC643" s="14"/>
      <c r="BD643" s="14"/>
      <c r="BE643" s="14"/>
      <c r="BF643" s="14"/>
      <c r="BG643" s="14"/>
      <c r="BH643" s="14"/>
      <c r="BI643" s="14"/>
      <c r="BJ643" s="14"/>
      <c r="BK643" s="14"/>
      <c r="BL643" s="14"/>
      <c r="BM643" s="14"/>
      <c r="BN643" s="14"/>
    </row>
    <row r="644" ht="22.5" customHeight="1">
      <c r="A644" s="349" t="s">
        <v>509</v>
      </c>
      <c r="B644" s="350"/>
      <c r="C644" s="490" t="s">
        <v>1367</v>
      </c>
      <c r="D644" s="447"/>
      <c r="E644" s="353" t="s">
        <v>95</v>
      </c>
      <c r="F644" s="354" t="s">
        <v>72</v>
      </c>
      <c r="G644" s="355" t="s">
        <v>291</v>
      </c>
      <c r="H644" s="394"/>
      <c r="I644" s="394"/>
      <c r="J644" s="491" t="s">
        <v>197</v>
      </c>
      <c r="K644" s="479"/>
      <c r="L644" s="359">
        <v>46213.0</v>
      </c>
      <c r="M644" s="359">
        <v>46226.0</v>
      </c>
      <c r="N644" s="360"/>
      <c r="O644" s="361" t="s">
        <v>99</v>
      </c>
      <c r="P644" s="362"/>
      <c r="Q644" s="353" t="s">
        <v>35</v>
      </c>
      <c r="R644" s="353" t="s">
        <v>133</v>
      </c>
      <c r="S644" s="361" t="s">
        <v>36</v>
      </c>
      <c r="T644" s="361" t="s">
        <v>36</v>
      </c>
      <c r="U644" s="363" t="s">
        <v>1286</v>
      </c>
      <c r="V644" s="430"/>
      <c r="W644" s="492" t="s">
        <v>1368</v>
      </c>
      <c r="X644" s="366"/>
      <c r="Y644" s="366"/>
      <c r="Z644" s="367"/>
      <c r="AA644" s="367"/>
      <c r="AB644" s="13"/>
      <c r="AC644" s="13"/>
      <c r="AD644" s="13"/>
      <c r="AE644" s="13"/>
      <c r="AF644" s="13"/>
      <c r="AG644" s="13"/>
      <c r="AH644" s="13"/>
      <c r="AI644" s="13"/>
      <c r="AJ644" s="13"/>
      <c r="AK644" s="13"/>
      <c r="AL644" s="13"/>
      <c r="AM644" s="14"/>
      <c r="AN644" s="14"/>
      <c r="AO644" s="14"/>
      <c r="AP644" s="14"/>
      <c r="AQ644" s="14"/>
      <c r="AR644" s="14"/>
      <c r="AS644" s="14"/>
      <c r="AT644" s="14"/>
      <c r="AU644" s="14"/>
      <c r="AV644" s="14"/>
      <c r="AW644" s="14"/>
      <c r="AX644" s="14"/>
      <c r="AY644" s="14"/>
      <c r="AZ644" s="14"/>
      <c r="BA644" s="14"/>
      <c r="BB644" s="14"/>
      <c r="BC644" s="14"/>
      <c r="BD644" s="14"/>
      <c r="BE644" s="14"/>
      <c r="BF644" s="14"/>
      <c r="BG644" s="14"/>
      <c r="BH644" s="14"/>
      <c r="BI644" s="14"/>
      <c r="BJ644" s="14"/>
      <c r="BK644" s="14"/>
      <c r="BL644" s="14"/>
      <c r="BM644" s="14"/>
      <c r="BN644" s="14"/>
    </row>
    <row r="645" ht="22.5" customHeight="1">
      <c r="A645" s="349" t="s">
        <v>509</v>
      </c>
      <c r="B645" s="350"/>
      <c r="C645" s="490" t="s">
        <v>1369</v>
      </c>
      <c r="D645" s="447"/>
      <c r="E645" s="353" t="s">
        <v>95</v>
      </c>
      <c r="F645" s="354" t="s">
        <v>72</v>
      </c>
      <c r="G645" s="355" t="s">
        <v>291</v>
      </c>
      <c r="H645" s="394"/>
      <c r="I645" s="394"/>
      <c r="J645" s="491" t="s">
        <v>77</v>
      </c>
      <c r="K645" s="479"/>
      <c r="L645" s="359">
        <v>46213.0</v>
      </c>
      <c r="M645" s="359">
        <v>46226.0</v>
      </c>
      <c r="N645" s="360"/>
      <c r="O645" s="361" t="s">
        <v>99</v>
      </c>
      <c r="P645" s="362"/>
      <c r="Q645" s="353" t="s">
        <v>35</v>
      </c>
      <c r="R645" s="353" t="s">
        <v>133</v>
      </c>
      <c r="S645" s="361" t="s">
        <v>36</v>
      </c>
      <c r="T645" s="361" t="s">
        <v>36</v>
      </c>
      <c r="U645" s="363" t="s">
        <v>1286</v>
      </c>
      <c r="V645" s="430"/>
      <c r="W645" s="492" t="s">
        <v>1370</v>
      </c>
      <c r="X645" s="366"/>
      <c r="Y645" s="366"/>
      <c r="Z645" s="367"/>
      <c r="AA645" s="367"/>
      <c r="AB645" s="13"/>
      <c r="AC645" s="13"/>
      <c r="AD645" s="13"/>
      <c r="AE645" s="13"/>
      <c r="AF645" s="13"/>
      <c r="AG645" s="13"/>
      <c r="AH645" s="13"/>
      <c r="AI645" s="13"/>
      <c r="AJ645" s="13"/>
      <c r="AK645" s="13"/>
      <c r="AL645" s="13"/>
      <c r="AM645" s="14"/>
      <c r="AN645" s="14"/>
      <c r="AO645" s="14"/>
      <c r="AP645" s="14"/>
      <c r="AQ645" s="14"/>
      <c r="AR645" s="14"/>
      <c r="AS645" s="14"/>
      <c r="AT645" s="14"/>
      <c r="AU645" s="14"/>
      <c r="AV645" s="14"/>
      <c r="AW645" s="14"/>
      <c r="AX645" s="14"/>
      <c r="AY645" s="14"/>
      <c r="AZ645" s="14"/>
      <c r="BA645" s="14"/>
      <c r="BB645" s="14"/>
      <c r="BC645" s="14"/>
      <c r="BD645" s="14"/>
      <c r="BE645" s="14"/>
      <c r="BF645" s="14"/>
      <c r="BG645" s="14"/>
      <c r="BH645" s="14"/>
      <c r="BI645" s="14"/>
      <c r="BJ645" s="14"/>
      <c r="BK645" s="14"/>
      <c r="BL645" s="14"/>
      <c r="BM645" s="14"/>
      <c r="BN645" s="14"/>
    </row>
    <row r="646" ht="22.5" customHeight="1">
      <c r="A646" s="349" t="s">
        <v>509</v>
      </c>
      <c r="B646" s="350"/>
      <c r="C646" s="490" t="s">
        <v>1371</v>
      </c>
      <c r="D646" s="447"/>
      <c r="E646" s="353" t="s">
        <v>95</v>
      </c>
      <c r="F646" s="354" t="s">
        <v>72</v>
      </c>
      <c r="G646" s="355" t="s">
        <v>291</v>
      </c>
      <c r="H646" s="394"/>
      <c r="I646" s="394"/>
      <c r="J646" s="491" t="s">
        <v>187</v>
      </c>
      <c r="K646" s="479"/>
      <c r="L646" s="359">
        <v>46213.0</v>
      </c>
      <c r="M646" s="359">
        <v>46226.0</v>
      </c>
      <c r="N646" s="360"/>
      <c r="O646" s="361" t="s">
        <v>99</v>
      </c>
      <c r="P646" s="362"/>
      <c r="Q646" s="353" t="s">
        <v>35</v>
      </c>
      <c r="R646" s="353" t="s">
        <v>133</v>
      </c>
      <c r="S646" s="361" t="s">
        <v>36</v>
      </c>
      <c r="T646" s="361" t="s">
        <v>36</v>
      </c>
      <c r="U646" s="363" t="s">
        <v>1286</v>
      </c>
      <c r="V646" s="430"/>
      <c r="W646" s="492" t="s">
        <v>1372</v>
      </c>
      <c r="X646" s="366"/>
      <c r="Y646" s="366"/>
      <c r="Z646" s="367"/>
      <c r="AA646" s="367"/>
      <c r="AB646" s="13"/>
      <c r="AC646" s="13"/>
      <c r="AD646" s="13"/>
      <c r="AE646" s="13"/>
      <c r="AF646" s="13"/>
      <c r="AG646" s="13"/>
      <c r="AH646" s="13"/>
      <c r="AI646" s="13"/>
      <c r="AJ646" s="13"/>
      <c r="AK646" s="13"/>
      <c r="AL646" s="13"/>
      <c r="AM646" s="14"/>
      <c r="AN646" s="14"/>
      <c r="AO646" s="14"/>
      <c r="AP646" s="14"/>
      <c r="AQ646" s="14"/>
      <c r="AR646" s="14"/>
      <c r="AS646" s="14"/>
      <c r="AT646" s="14"/>
      <c r="AU646" s="14"/>
      <c r="AV646" s="14"/>
      <c r="AW646" s="14"/>
      <c r="AX646" s="14"/>
      <c r="AY646" s="14"/>
      <c r="AZ646" s="14"/>
      <c r="BA646" s="14"/>
      <c r="BB646" s="14"/>
      <c r="BC646" s="14"/>
      <c r="BD646" s="14"/>
      <c r="BE646" s="14"/>
      <c r="BF646" s="14"/>
      <c r="BG646" s="14"/>
      <c r="BH646" s="14"/>
      <c r="BI646" s="14"/>
      <c r="BJ646" s="14"/>
      <c r="BK646" s="14"/>
      <c r="BL646" s="14"/>
      <c r="BM646" s="14"/>
      <c r="BN646" s="14"/>
    </row>
    <row r="647" ht="22.5" customHeight="1">
      <c r="A647" s="349" t="s">
        <v>509</v>
      </c>
      <c r="B647" s="350"/>
      <c r="C647" s="490" t="s">
        <v>1373</v>
      </c>
      <c r="D647" s="447"/>
      <c r="E647" s="353" t="s">
        <v>95</v>
      </c>
      <c r="F647" s="354" t="s">
        <v>72</v>
      </c>
      <c r="G647" s="355" t="s">
        <v>291</v>
      </c>
      <c r="H647" s="394"/>
      <c r="I647" s="394"/>
      <c r="J647" s="491" t="s">
        <v>77</v>
      </c>
      <c r="K647" s="479"/>
      <c r="L647" s="359">
        <v>46213.0</v>
      </c>
      <c r="M647" s="359">
        <v>46226.0</v>
      </c>
      <c r="N647" s="360"/>
      <c r="O647" s="361" t="s">
        <v>99</v>
      </c>
      <c r="P647" s="362"/>
      <c r="Q647" s="353" t="s">
        <v>35</v>
      </c>
      <c r="R647" s="353" t="s">
        <v>133</v>
      </c>
      <c r="S647" s="361" t="s">
        <v>36</v>
      </c>
      <c r="T647" s="361" t="s">
        <v>36</v>
      </c>
      <c r="U647" s="363" t="s">
        <v>1286</v>
      </c>
      <c r="V647" s="430"/>
      <c r="W647" s="492" t="s">
        <v>1374</v>
      </c>
      <c r="X647" s="366"/>
      <c r="Y647" s="366"/>
      <c r="Z647" s="367"/>
      <c r="AA647" s="367"/>
      <c r="AB647" s="13"/>
      <c r="AC647" s="13"/>
      <c r="AD647" s="13"/>
      <c r="AE647" s="13"/>
      <c r="AF647" s="13"/>
      <c r="AG647" s="13"/>
      <c r="AH647" s="13"/>
      <c r="AI647" s="13"/>
      <c r="AJ647" s="13"/>
      <c r="AK647" s="13"/>
      <c r="AL647" s="13"/>
      <c r="AM647" s="14"/>
      <c r="AN647" s="14"/>
      <c r="AO647" s="14"/>
      <c r="AP647" s="14"/>
      <c r="AQ647" s="14"/>
      <c r="AR647" s="14"/>
      <c r="AS647" s="14"/>
      <c r="AT647" s="14"/>
      <c r="AU647" s="14"/>
      <c r="AV647" s="14"/>
      <c r="AW647" s="14"/>
      <c r="AX647" s="14"/>
      <c r="AY647" s="14"/>
      <c r="AZ647" s="14"/>
      <c r="BA647" s="14"/>
      <c r="BB647" s="14"/>
      <c r="BC647" s="14"/>
      <c r="BD647" s="14"/>
      <c r="BE647" s="14"/>
      <c r="BF647" s="14"/>
      <c r="BG647" s="14"/>
      <c r="BH647" s="14"/>
      <c r="BI647" s="14"/>
      <c r="BJ647" s="14"/>
      <c r="BK647" s="14"/>
      <c r="BL647" s="14"/>
      <c r="BM647" s="14"/>
      <c r="BN647" s="14"/>
    </row>
    <row r="648" ht="22.5" customHeight="1">
      <c r="A648" s="349" t="s">
        <v>509</v>
      </c>
      <c r="B648" s="350"/>
      <c r="C648" s="490" t="s">
        <v>1375</v>
      </c>
      <c r="D648" s="447"/>
      <c r="E648" s="353" t="s">
        <v>95</v>
      </c>
      <c r="F648" s="354" t="s">
        <v>72</v>
      </c>
      <c r="G648" s="355" t="s">
        <v>291</v>
      </c>
      <c r="H648" s="394"/>
      <c r="I648" s="394"/>
      <c r="J648" s="491" t="s">
        <v>207</v>
      </c>
      <c r="K648" s="479"/>
      <c r="L648" s="359">
        <v>46213.0</v>
      </c>
      <c r="M648" s="359">
        <v>46226.0</v>
      </c>
      <c r="N648" s="360"/>
      <c r="O648" s="361" t="s">
        <v>99</v>
      </c>
      <c r="P648" s="362"/>
      <c r="Q648" s="353" t="s">
        <v>35</v>
      </c>
      <c r="R648" s="353" t="s">
        <v>133</v>
      </c>
      <c r="S648" s="361" t="s">
        <v>36</v>
      </c>
      <c r="T648" s="361" t="s">
        <v>36</v>
      </c>
      <c r="U648" s="363" t="s">
        <v>1286</v>
      </c>
      <c r="V648" s="430"/>
      <c r="W648" s="492" t="s">
        <v>1376</v>
      </c>
      <c r="X648" s="366"/>
      <c r="Y648" s="366"/>
      <c r="Z648" s="367"/>
      <c r="AA648" s="367"/>
      <c r="AB648" s="13"/>
      <c r="AC648" s="13"/>
      <c r="AD648" s="13"/>
      <c r="AE648" s="13"/>
      <c r="AF648" s="13"/>
      <c r="AG648" s="13"/>
      <c r="AH648" s="13"/>
      <c r="AI648" s="13"/>
      <c r="AJ648" s="13"/>
      <c r="AK648" s="13"/>
      <c r="AL648" s="13"/>
      <c r="AM648" s="14"/>
      <c r="AN648" s="14"/>
      <c r="AO648" s="14"/>
      <c r="AP648" s="14"/>
      <c r="AQ648" s="14"/>
      <c r="AR648" s="14"/>
      <c r="AS648" s="14"/>
      <c r="AT648" s="14"/>
      <c r="AU648" s="14"/>
      <c r="AV648" s="14"/>
      <c r="AW648" s="14"/>
      <c r="AX648" s="14"/>
      <c r="AY648" s="14"/>
      <c r="AZ648" s="14"/>
      <c r="BA648" s="14"/>
      <c r="BB648" s="14"/>
      <c r="BC648" s="14"/>
      <c r="BD648" s="14"/>
      <c r="BE648" s="14"/>
      <c r="BF648" s="14"/>
      <c r="BG648" s="14"/>
      <c r="BH648" s="14"/>
      <c r="BI648" s="14"/>
      <c r="BJ648" s="14"/>
      <c r="BK648" s="14"/>
      <c r="BL648" s="14"/>
      <c r="BM648" s="14"/>
      <c r="BN648" s="14"/>
    </row>
    <row r="649" ht="22.5" customHeight="1">
      <c r="A649" s="349" t="s">
        <v>509</v>
      </c>
      <c r="B649" s="350"/>
      <c r="C649" s="490" t="s">
        <v>1377</v>
      </c>
      <c r="D649" s="447"/>
      <c r="E649" s="353" t="s">
        <v>95</v>
      </c>
      <c r="F649" s="354" t="s">
        <v>72</v>
      </c>
      <c r="G649" s="355" t="s">
        <v>291</v>
      </c>
      <c r="H649" s="394"/>
      <c r="I649" s="394"/>
      <c r="J649" s="491" t="s">
        <v>197</v>
      </c>
      <c r="K649" s="479"/>
      <c r="L649" s="359">
        <v>46213.0</v>
      </c>
      <c r="M649" s="359">
        <v>46226.0</v>
      </c>
      <c r="N649" s="360"/>
      <c r="O649" s="361" t="s">
        <v>99</v>
      </c>
      <c r="P649" s="362"/>
      <c r="Q649" s="353" t="s">
        <v>35</v>
      </c>
      <c r="R649" s="353" t="s">
        <v>133</v>
      </c>
      <c r="S649" s="361" t="s">
        <v>36</v>
      </c>
      <c r="T649" s="361" t="s">
        <v>36</v>
      </c>
      <c r="U649" s="363" t="s">
        <v>1286</v>
      </c>
      <c r="V649" s="430"/>
      <c r="W649" s="492" t="s">
        <v>1378</v>
      </c>
      <c r="X649" s="366"/>
      <c r="Y649" s="366"/>
      <c r="Z649" s="367"/>
      <c r="AA649" s="367"/>
      <c r="AB649" s="13"/>
      <c r="AC649" s="13"/>
      <c r="AD649" s="13"/>
      <c r="AE649" s="13"/>
      <c r="AF649" s="13"/>
      <c r="AG649" s="13"/>
      <c r="AH649" s="13"/>
      <c r="AI649" s="13"/>
      <c r="AJ649" s="13"/>
      <c r="AK649" s="13"/>
      <c r="AL649" s="13"/>
      <c r="AM649" s="14"/>
      <c r="AN649" s="14"/>
      <c r="AO649" s="14"/>
      <c r="AP649" s="14"/>
      <c r="AQ649" s="14"/>
      <c r="AR649" s="14"/>
      <c r="AS649" s="14"/>
      <c r="AT649" s="14"/>
      <c r="AU649" s="14"/>
      <c r="AV649" s="14"/>
      <c r="AW649" s="14"/>
      <c r="AX649" s="14"/>
      <c r="AY649" s="14"/>
      <c r="AZ649" s="14"/>
      <c r="BA649" s="14"/>
      <c r="BB649" s="14"/>
      <c r="BC649" s="14"/>
      <c r="BD649" s="14"/>
      <c r="BE649" s="14"/>
      <c r="BF649" s="14"/>
      <c r="BG649" s="14"/>
      <c r="BH649" s="14"/>
      <c r="BI649" s="14"/>
      <c r="BJ649" s="14"/>
      <c r="BK649" s="14"/>
      <c r="BL649" s="14"/>
      <c r="BM649" s="14"/>
      <c r="BN649" s="14"/>
    </row>
    <row r="650" ht="22.5" customHeight="1">
      <c r="A650" s="349" t="s">
        <v>509</v>
      </c>
      <c r="B650" s="350"/>
      <c r="C650" s="490" t="s">
        <v>1379</v>
      </c>
      <c r="D650" s="447"/>
      <c r="E650" s="353" t="s">
        <v>95</v>
      </c>
      <c r="F650" s="354" t="s">
        <v>72</v>
      </c>
      <c r="G650" s="355" t="s">
        <v>286</v>
      </c>
      <c r="H650" s="394"/>
      <c r="I650" s="394"/>
      <c r="J650" s="271" t="s">
        <v>1380</v>
      </c>
      <c r="K650" s="479"/>
      <c r="L650" s="359">
        <v>46213.0</v>
      </c>
      <c r="M650" s="359">
        <v>46226.0</v>
      </c>
      <c r="N650" s="360"/>
      <c r="O650" s="361" t="s">
        <v>99</v>
      </c>
      <c r="P650" s="362"/>
      <c r="Q650" s="353" t="s">
        <v>35</v>
      </c>
      <c r="R650" s="353" t="s">
        <v>133</v>
      </c>
      <c r="S650" s="361" t="s">
        <v>36</v>
      </c>
      <c r="T650" s="361" t="s">
        <v>36</v>
      </c>
      <c r="U650" s="363" t="s">
        <v>1286</v>
      </c>
      <c r="V650" s="430"/>
      <c r="W650" s="492" t="s">
        <v>1381</v>
      </c>
      <c r="X650" s="366"/>
      <c r="Y650" s="366"/>
      <c r="Z650" s="367"/>
      <c r="AA650" s="367"/>
      <c r="AB650" s="13"/>
      <c r="AC650" s="13"/>
      <c r="AD650" s="13"/>
      <c r="AE650" s="13"/>
      <c r="AF650" s="13"/>
      <c r="AG650" s="13"/>
      <c r="AH650" s="13"/>
      <c r="AI650" s="13"/>
      <c r="AJ650" s="13"/>
      <c r="AK650" s="13"/>
      <c r="AL650" s="13"/>
      <c r="AM650" s="14"/>
      <c r="AN650" s="14"/>
      <c r="AO650" s="14"/>
      <c r="AP650" s="14"/>
      <c r="AQ650" s="14"/>
      <c r="AR650" s="14"/>
      <c r="AS650" s="14"/>
      <c r="AT650" s="14"/>
      <c r="AU650" s="14"/>
      <c r="AV650" s="14"/>
      <c r="AW650" s="14"/>
      <c r="AX650" s="14"/>
      <c r="AY650" s="14"/>
      <c r="AZ650" s="14"/>
      <c r="BA650" s="14"/>
      <c r="BB650" s="14"/>
      <c r="BC650" s="14"/>
      <c r="BD650" s="14"/>
      <c r="BE650" s="14"/>
      <c r="BF650" s="14"/>
      <c r="BG650" s="14"/>
      <c r="BH650" s="14"/>
      <c r="BI650" s="14"/>
      <c r="BJ650" s="14"/>
      <c r="BK650" s="14"/>
      <c r="BL650" s="14"/>
      <c r="BM650" s="14"/>
      <c r="BN650" s="14"/>
    </row>
    <row r="651" ht="22.5" customHeight="1">
      <c r="A651" s="349" t="s">
        <v>509</v>
      </c>
      <c r="B651" s="350"/>
      <c r="C651" s="490" t="s">
        <v>1382</v>
      </c>
      <c r="D651" s="447"/>
      <c r="E651" s="353" t="s">
        <v>95</v>
      </c>
      <c r="F651" s="354" t="s">
        <v>72</v>
      </c>
      <c r="G651" s="355" t="s">
        <v>291</v>
      </c>
      <c r="H651" s="394"/>
      <c r="I651" s="394"/>
      <c r="J651" s="491" t="s">
        <v>197</v>
      </c>
      <c r="K651" s="479"/>
      <c r="L651" s="359">
        <v>46213.0</v>
      </c>
      <c r="M651" s="359">
        <v>46226.0</v>
      </c>
      <c r="N651" s="360"/>
      <c r="O651" s="361" t="s">
        <v>99</v>
      </c>
      <c r="P651" s="362"/>
      <c r="Q651" s="353" t="s">
        <v>35</v>
      </c>
      <c r="R651" s="353" t="s">
        <v>133</v>
      </c>
      <c r="S651" s="361" t="s">
        <v>36</v>
      </c>
      <c r="T651" s="361" t="s">
        <v>36</v>
      </c>
      <c r="U651" s="363" t="s">
        <v>1286</v>
      </c>
      <c r="V651" s="430"/>
      <c r="W651" s="492" t="s">
        <v>1383</v>
      </c>
      <c r="X651" s="366"/>
      <c r="Y651" s="366"/>
      <c r="Z651" s="367"/>
      <c r="AA651" s="367"/>
      <c r="AB651" s="13"/>
      <c r="AC651" s="13"/>
      <c r="AD651" s="13"/>
      <c r="AE651" s="13"/>
      <c r="AF651" s="13"/>
      <c r="AG651" s="13"/>
      <c r="AH651" s="13"/>
      <c r="AI651" s="13"/>
      <c r="AJ651" s="13"/>
      <c r="AK651" s="13"/>
      <c r="AL651" s="13"/>
      <c r="AM651" s="14"/>
      <c r="AN651" s="14"/>
      <c r="AO651" s="14"/>
      <c r="AP651" s="14"/>
      <c r="AQ651" s="14"/>
      <c r="AR651" s="14"/>
      <c r="AS651" s="14"/>
      <c r="AT651" s="14"/>
      <c r="AU651" s="14"/>
      <c r="AV651" s="14"/>
      <c r="AW651" s="14"/>
      <c r="AX651" s="14"/>
      <c r="AY651" s="14"/>
      <c r="AZ651" s="14"/>
      <c r="BA651" s="14"/>
      <c r="BB651" s="14"/>
      <c r="BC651" s="14"/>
      <c r="BD651" s="14"/>
      <c r="BE651" s="14"/>
      <c r="BF651" s="14"/>
      <c r="BG651" s="14"/>
      <c r="BH651" s="14"/>
      <c r="BI651" s="14"/>
      <c r="BJ651" s="14"/>
      <c r="BK651" s="14"/>
      <c r="BL651" s="14"/>
      <c r="BM651" s="14"/>
      <c r="BN651" s="14"/>
    </row>
    <row r="652" ht="22.5" customHeight="1">
      <c r="A652" s="349" t="s">
        <v>509</v>
      </c>
      <c r="B652" s="350"/>
      <c r="C652" s="490" t="s">
        <v>1384</v>
      </c>
      <c r="D652" s="447"/>
      <c r="E652" s="353" t="s">
        <v>95</v>
      </c>
      <c r="F652" s="354" t="s">
        <v>72</v>
      </c>
      <c r="G652" s="355" t="s">
        <v>291</v>
      </c>
      <c r="H652" s="394"/>
      <c r="I652" s="394"/>
      <c r="J652" s="491" t="s">
        <v>77</v>
      </c>
      <c r="K652" s="479"/>
      <c r="L652" s="359">
        <v>46213.0</v>
      </c>
      <c r="M652" s="359">
        <v>46226.0</v>
      </c>
      <c r="N652" s="360"/>
      <c r="O652" s="361" t="s">
        <v>99</v>
      </c>
      <c r="P652" s="362"/>
      <c r="Q652" s="353" t="s">
        <v>35</v>
      </c>
      <c r="R652" s="353" t="s">
        <v>133</v>
      </c>
      <c r="S652" s="361" t="s">
        <v>36</v>
      </c>
      <c r="T652" s="361" t="s">
        <v>36</v>
      </c>
      <c r="U652" s="363" t="s">
        <v>1286</v>
      </c>
      <c r="V652" s="430"/>
      <c r="W652" s="492" t="s">
        <v>1385</v>
      </c>
      <c r="X652" s="366"/>
      <c r="Y652" s="366"/>
      <c r="Z652" s="367"/>
      <c r="AA652" s="367"/>
      <c r="AB652" s="13"/>
      <c r="AC652" s="13"/>
      <c r="AD652" s="13"/>
      <c r="AE652" s="13"/>
      <c r="AF652" s="13"/>
      <c r="AG652" s="13"/>
      <c r="AH652" s="13"/>
      <c r="AI652" s="13"/>
      <c r="AJ652" s="13"/>
      <c r="AK652" s="13"/>
      <c r="AL652" s="13"/>
      <c r="AM652" s="14"/>
      <c r="AN652" s="14"/>
      <c r="AO652" s="14"/>
      <c r="AP652" s="14"/>
      <c r="AQ652" s="14"/>
      <c r="AR652" s="14"/>
      <c r="AS652" s="14"/>
      <c r="AT652" s="14"/>
      <c r="AU652" s="14"/>
      <c r="AV652" s="14"/>
      <c r="AW652" s="14"/>
      <c r="AX652" s="14"/>
      <c r="AY652" s="14"/>
      <c r="AZ652" s="14"/>
      <c r="BA652" s="14"/>
      <c r="BB652" s="14"/>
      <c r="BC652" s="14"/>
      <c r="BD652" s="14"/>
      <c r="BE652" s="14"/>
      <c r="BF652" s="14"/>
      <c r="BG652" s="14"/>
      <c r="BH652" s="14"/>
      <c r="BI652" s="14"/>
      <c r="BJ652" s="14"/>
      <c r="BK652" s="14"/>
      <c r="BL652" s="14"/>
      <c r="BM652" s="14"/>
      <c r="BN652" s="14"/>
    </row>
    <row r="653" ht="22.5" customHeight="1">
      <c r="A653" s="349" t="s">
        <v>509</v>
      </c>
      <c r="B653" s="350"/>
      <c r="C653" s="490" t="s">
        <v>1386</v>
      </c>
      <c r="D653" s="447"/>
      <c r="E653" s="353" t="s">
        <v>95</v>
      </c>
      <c r="F653" s="354" t="s">
        <v>72</v>
      </c>
      <c r="G653" s="355" t="s">
        <v>291</v>
      </c>
      <c r="H653" s="394"/>
      <c r="I653" s="394"/>
      <c r="J653" s="491" t="s">
        <v>207</v>
      </c>
      <c r="K653" s="479"/>
      <c r="L653" s="359">
        <v>46213.0</v>
      </c>
      <c r="M653" s="359">
        <v>46226.0</v>
      </c>
      <c r="N653" s="360"/>
      <c r="O653" s="361" t="s">
        <v>99</v>
      </c>
      <c r="P653" s="362"/>
      <c r="Q653" s="353" t="s">
        <v>35</v>
      </c>
      <c r="R653" s="353" t="s">
        <v>133</v>
      </c>
      <c r="S653" s="361" t="s">
        <v>36</v>
      </c>
      <c r="T653" s="361" t="s">
        <v>36</v>
      </c>
      <c r="U653" s="363" t="s">
        <v>1286</v>
      </c>
      <c r="V653" s="430"/>
      <c r="W653" s="492" t="s">
        <v>1387</v>
      </c>
      <c r="X653" s="366"/>
      <c r="Y653" s="366"/>
      <c r="Z653" s="367"/>
      <c r="AA653" s="367"/>
      <c r="AB653" s="13"/>
      <c r="AC653" s="13"/>
      <c r="AD653" s="13"/>
      <c r="AE653" s="13"/>
      <c r="AF653" s="13"/>
      <c r="AG653" s="13"/>
      <c r="AH653" s="13"/>
      <c r="AI653" s="13"/>
      <c r="AJ653" s="13"/>
      <c r="AK653" s="13"/>
      <c r="AL653" s="13"/>
      <c r="AM653" s="14"/>
      <c r="AN653" s="14"/>
      <c r="AO653" s="14"/>
      <c r="AP653" s="14"/>
      <c r="AQ653" s="14"/>
      <c r="AR653" s="14"/>
      <c r="AS653" s="14"/>
      <c r="AT653" s="14"/>
      <c r="AU653" s="14"/>
      <c r="AV653" s="14"/>
      <c r="AW653" s="14"/>
      <c r="AX653" s="14"/>
      <c r="AY653" s="14"/>
      <c r="AZ653" s="14"/>
      <c r="BA653" s="14"/>
      <c r="BB653" s="14"/>
      <c r="BC653" s="14"/>
      <c r="BD653" s="14"/>
      <c r="BE653" s="14"/>
      <c r="BF653" s="14"/>
      <c r="BG653" s="14"/>
      <c r="BH653" s="14"/>
      <c r="BI653" s="14"/>
      <c r="BJ653" s="14"/>
      <c r="BK653" s="14"/>
      <c r="BL653" s="14"/>
      <c r="BM653" s="14"/>
      <c r="BN653" s="14"/>
    </row>
    <row r="654" ht="22.5" customHeight="1">
      <c r="A654" s="349" t="s">
        <v>509</v>
      </c>
      <c r="B654" s="350"/>
      <c r="C654" s="490" t="s">
        <v>1388</v>
      </c>
      <c r="D654" s="447"/>
      <c r="E654" s="353" t="s">
        <v>95</v>
      </c>
      <c r="F654" s="354" t="s">
        <v>72</v>
      </c>
      <c r="G654" s="355" t="s">
        <v>291</v>
      </c>
      <c r="H654" s="394"/>
      <c r="I654" s="394"/>
      <c r="J654" s="491" t="s">
        <v>187</v>
      </c>
      <c r="K654" s="479"/>
      <c r="L654" s="359">
        <v>46213.0</v>
      </c>
      <c r="M654" s="359">
        <v>46226.0</v>
      </c>
      <c r="N654" s="360"/>
      <c r="O654" s="361" t="s">
        <v>99</v>
      </c>
      <c r="P654" s="362"/>
      <c r="Q654" s="353" t="s">
        <v>35</v>
      </c>
      <c r="R654" s="353" t="s">
        <v>133</v>
      </c>
      <c r="S654" s="361" t="s">
        <v>36</v>
      </c>
      <c r="T654" s="361" t="s">
        <v>36</v>
      </c>
      <c r="U654" s="363" t="s">
        <v>1286</v>
      </c>
      <c r="V654" s="430"/>
      <c r="W654" s="492" t="s">
        <v>1389</v>
      </c>
      <c r="X654" s="366"/>
      <c r="Y654" s="366"/>
      <c r="Z654" s="367"/>
      <c r="AA654" s="367"/>
      <c r="AB654" s="13"/>
      <c r="AC654" s="13"/>
      <c r="AD654" s="13"/>
      <c r="AE654" s="13"/>
      <c r="AF654" s="13"/>
      <c r="AG654" s="13"/>
      <c r="AH654" s="13"/>
      <c r="AI654" s="13"/>
      <c r="AJ654" s="13"/>
      <c r="AK654" s="13"/>
      <c r="AL654" s="13"/>
      <c r="AM654" s="14"/>
      <c r="AN654" s="14"/>
      <c r="AO654" s="14"/>
      <c r="AP654" s="14"/>
      <c r="AQ654" s="14"/>
      <c r="AR654" s="14"/>
      <c r="AS654" s="14"/>
      <c r="AT654" s="14"/>
      <c r="AU654" s="14"/>
      <c r="AV654" s="14"/>
      <c r="AW654" s="14"/>
      <c r="AX654" s="14"/>
      <c r="AY654" s="14"/>
      <c r="AZ654" s="14"/>
      <c r="BA654" s="14"/>
      <c r="BB654" s="14"/>
      <c r="BC654" s="14"/>
      <c r="BD654" s="14"/>
      <c r="BE654" s="14"/>
      <c r="BF654" s="14"/>
      <c r="BG654" s="14"/>
      <c r="BH654" s="14"/>
      <c r="BI654" s="14"/>
      <c r="BJ654" s="14"/>
      <c r="BK654" s="14"/>
      <c r="BL654" s="14"/>
      <c r="BM654" s="14"/>
      <c r="BN654" s="14"/>
    </row>
    <row r="655" ht="22.5" customHeight="1">
      <c r="A655" s="349" t="s">
        <v>509</v>
      </c>
      <c r="B655" s="350"/>
      <c r="C655" s="490" t="s">
        <v>1390</v>
      </c>
      <c r="D655" s="447"/>
      <c r="E655" s="353" t="s">
        <v>95</v>
      </c>
      <c r="F655" s="354" t="s">
        <v>72</v>
      </c>
      <c r="G655" s="355" t="s">
        <v>291</v>
      </c>
      <c r="H655" s="394"/>
      <c r="I655" s="394"/>
      <c r="J655" s="491" t="s">
        <v>187</v>
      </c>
      <c r="K655" s="479"/>
      <c r="L655" s="359">
        <v>46213.0</v>
      </c>
      <c r="M655" s="359">
        <v>46226.0</v>
      </c>
      <c r="N655" s="360"/>
      <c r="O655" s="361" t="s">
        <v>99</v>
      </c>
      <c r="P655" s="362"/>
      <c r="Q655" s="353" t="s">
        <v>35</v>
      </c>
      <c r="R655" s="353" t="s">
        <v>133</v>
      </c>
      <c r="S655" s="361" t="s">
        <v>36</v>
      </c>
      <c r="T655" s="361" t="s">
        <v>36</v>
      </c>
      <c r="U655" s="363" t="s">
        <v>1286</v>
      </c>
      <c r="V655" s="430"/>
      <c r="W655" s="492" t="s">
        <v>1391</v>
      </c>
      <c r="X655" s="366"/>
      <c r="Y655" s="366"/>
      <c r="Z655" s="367"/>
      <c r="AA655" s="367"/>
      <c r="AB655" s="13"/>
      <c r="AC655" s="13"/>
      <c r="AD655" s="13"/>
      <c r="AE655" s="13"/>
      <c r="AF655" s="13"/>
      <c r="AG655" s="13"/>
      <c r="AH655" s="13"/>
      <c r="AI655" s="13"/>
      <c r="AJ655" s="13"/>
      <c r="AK655" s="13"/>
      <c r="AL655" s="13"/>
      <c r="AM655" s="14"/>
      <c r="AN655" s="14"/>
      <c r="AO655" s="14"/>
      <c r="AP655" s="14"/>
      <c r="AQ655" s="14"/>
      <c r="AR655" s="14"/>
      <c r="AS655" s="14"/>
      <c r="AT655" s="14"/>
      <c r="AU655" s="14"/>
      <c r="AV655" s="14"/>
      <c r="AW655" s="14"/>
      <c r="AX655" s="14"/>
      <c r="AY655" s="14"/>
      <c r="AZ655" s="14"/>
      <c r="BA655" s="14"/>
      <c r="BB655" s="14"/>
      <c r="BC655" s="14"/>
      <c r="BD655" s="14"/>
      <c r="BE655" s="14"/>
      <c r="BF655" s="14"/>
      <c r="BG655" s="14"/>
      <c r="BH655" s="14"/>
      <c r="BI655" s="14"/>
      <c r="BJ655" s="14"/>
      <c r="BK655" s="14"/>
      <c r="BL655" s="14"/>
      <c r="BM655" s="14"/>
      <c r="BN655" s="14"/>
    </row>
    <row r="656" ht="22.5" customHeight="1">
      <c r="A656" s="349" t="s">
        <v>509</v>
      </c>
      <c r="B656" s="350"/>
      <c r="C656" s="490" t="s">
        <v>1392</v>
      </c>
      <c r="D656" s="447"/>
      <c r="E656" s="353" t="s">
        <v>95</v>
      </c>
      <c r="F656" s="354" t="s">
        <v>72</v>
      </c>
      <c r="G656" s="355" t="s">
        <v>291</v>
      </c>
      <c r="H656" s="394"/>
      <c r="I656" s="394"/>
      <c r="J656" s="491" t="s">
        <v>197</v>
      </c>
      <c r="K656" s="479"/>
      <c r="L656" s="359">
        <v>46213.0</v>
      </c>
      <c r="M656" s="359">
        <v>46226.0</v>
      </c>
      <c r="N656" s="360"/>
      <c r="O656" s="361" t="s">
        <v>99</v>
      </c>
      <c r="P656" s="362"/>
      <c r="Q656" s="353" t="s">
        <v>35</v>
      </c>
      <c r="R656" s="353" t="s">
        <v>133</v>
      </c>
      <c r="S656" s="361" t="s">
        <v>36</v>
      </c>
      <c r="T656" s="361" t="s">
        <v>36</v>
      </c>
      <c r="U656" s="363" t="s">
        <v>1286</v>
      </c>
      <c r="V656" s="430"/>
      <c r="W656" s="492" t="s">
        <v>1393</v>
      </c>
      <c r="X656" s="366"/>
      <c r="Y656" s="366"/>
      <c r="Z656" s="367"/>
      <c r="AA656" s="367"/>
      <c r="AB656" s="13"/>
      <c r="AC656" s="13"/>
      <c r="AD656" s="13"/>
      <c r="AE656" s="13"/>
      <c r="AF656" s="13"/>
      <c r="AG656" s="13"/>
      <c r="AH656" s="13"/>
      <c r="AI656" s="13"/>
      <c r="AJ656" s="13"/>
      <c r="AK656" s="13"/>
      <c r="AL656" s="13"/>
      <c r="AM656" s="14"/>
      <c r="AN656" s="14"/>
      <c r="AO656" s="14"/>
      <c r="AP656" s="14"/>
      <c r="AQ656" s="14"/>
      <c r="AR656" s="14"/>
      <c r="AS656" s="14"/>
      <c r="AT656" s="14"/>
      <c r="AU656" s="14"/>
      <c r="AV656" s="14"/>
      <c r="AW656" s="14"/>
      <c r="AX656" s="14"/>
      <c r="AY656" s="14"/>
      <c r="AZ656" s="14"/>
      <c r="BA656" s="14"/>
      <c r="BB656" s="14"/>
      <c r="BC656" s="14"/>
      <c r="BD656" s="14"/>
      <c r="BE656" s="14"/>
      <c r="BF656" s="14"/>
      <c r="BG656" s="14"/>
      <c r="BH656" s="14"/>
      <c r="BI656" s="14"/>
      <c r="BJ656" s="14"/>
      <c r="BK656" s="14"/>
      <c r="BL656" s="14"/>
      <c r="BM656" s="14"/>
      <c r="BN656" s="14"/>
    </row>
    <row r="657" ht="22.5" customHeight="1">
      <c r="A657" s="349" t="s">
        <v>509</v>
      </c>
      <c r="B657" s="350"/>
      <c r="C657" s="490" t="s">
        <v>1394</v>
      </c>
      <c r="D657" s="447"/>
      <c r="E657" s="353" t="s">
        <v>95</v>
      </c>
      <c r="F657" s="354" t="s">
        <v>72</v>
      </c>
      <c r="G657" s="355" t="s">
        <v>291</v>
      </c>
      <c r="H657" s="394"/>
      <c r="I657" s="394"/>
      <c r="J657" s="491" t="s">
        <v>77</v>
      </c>
      <c r="K657" s="479"/>
      <c r="L657" s="359">
        <v>46213.0</v>
      </c>
      <c r="M657" s="359">
        <v>46226.0</v>
      </c>
      <c r="N657" s="360"/>
      <c r="O657" s="361" t="s">
        <v>99</v>
      </c>
      <c r="P657" s="362"/>
      <c r="Q657" s="353" t="s">
        <v>35</v>
      </c>
      <c r="R657" s="353" t="s">
        <v>133</v>
      </c>
      <c r="S657" s="361" t="s">
        <v>36</v>
      </c>
      <c r="T657" s="361" t="s">
        <v>36</v>
      </c>
      <c r="U657" s="363" t="s">
        <v>1286</v>
      </c>
      <c r="V657" s="430"/>
      <c r="W657" s="492" t="s">
        <v>1395</v>
      </c>
      <c r="X657" s="366"/>
      <c r="Y657" s="366"/>
      <c r="Z657" s="367"/>
      <c r="AA657" s="367"/>
      <c r="AB657" s="13"/>
      <c r="AC657" s="13"/>
      <c r="AD657" s="13"/>
      <c r="AE657" s="13"/>
      <c r="AF657" s="13"/>
      <c r="AG657" s="13"/>
      <c r="AH657" s="13"/>
      <c r="AI657" s="13"/>
      <c r="AJ657" s="13"/>
      <c r="AK657" s="13"/>
      <c r="AL657" s="13"/>
      <c r="AM657" s="14"/>
      <c r="AN657" s="14"/>
      <c r="AO657" s="14"/>
      <c r="AP657" s="14"/>
      <c r="AQ657" s="14"/>
      <c r="AR657" s="14"/>
      <c r="AS657" s="14"/>
      <c r="AT657" s="14"/>
      <c r="AU657" s="14"/>
      <c r="AV657" s="14"/>
      <c r="AW657" s="14"/>
      <c r="AX657" s="14"/>
      <c r="AY657" s="14"/>
      <c r="AZ657" s="14"/>
      <c r="BA657" s="14"/>
      <c r="BB657" s="14"/>
      <c r="BC657" s="14"/>
      <c r="BD657" s="14"/>
      <c r="BE657" s="14"/>
      <c r="BF657" s="14"/>
      <c r="BG657" s="14"/>
      <c r="BH657" s="14"/>
      <c r="BI657" s="14"/>
      <c r="BJ657" s="14"/>
      <c r="BK657" s="14"/>
      <c r="BL657" s="14"/>
      <c r="BM657" s="14"/>
      <c r="BN657" s="14"/>
    </row>
    <row r="658" ht="22.5" customHeight="1">
      <c r="A658" s="349" t="s">
        <v>509</v>
      </c>
      <c r="B658" s="350"/>
      <c r="C658" s="490" t="s">
        <v>1396</v>
      </c>
      <c r="D658" s="447"/>
      <c r="E658" s="353" t="s">
        <v>95</v>
      </c>
      <c r="F658" s="354" t="s">
        <v>72</v>
      </c>
      <c r="G658" s="355" t="s">
        <v>291</v>
      </c>
      <c r="H658" s="394"/>
      <c r="I658" s="394"/>
      <c r="J658" s="491" t="s">
        <v>207</v>
      </c>
      <c r="K658" s="479"/>
      <c r="L658" s="359">
        <v>46213.0</v>
      </c>
      <c r="M658" s="359">
        <v>46226.0</v>
      </c>
      <c r="N658" s="360"/>
      <c r="O658" s="361" t="s">
        <v>99</v>
      </c>
      <c r="P658" s="362"/>
      <c r="Q658" s="353" t="s">
        <v>35</v>
      </c>
      <c r="R658" s="353" t="s">
        <v>133</v>
      </c>
      <c r="S658" s="361" t="s">
        <v>36</v>
      </c>
      <c r="T658" s="361" t="s">
        <v>36</v>
      </c>
      <c r="U658" s="363" t="s">
        <v>1286</v>
      </c>
      <c r="V658" s="430"/>
      <c r="W658" s="492" t="s">
        <v>1397</v>
      </c>
      <c r="X658" s="366"/>
      <c r="Y658" s="366"/>
      <c r="Z658" s="367"/>
      <c r="AA658" s="367"/>
      <c r="AB658" s="13"/>
      <c r="AC658" s="13"/>
      <c r="AD658" s="13"/>
      <c r="AE658" s="13"/>
      <c r="AF658" s="13"/>
      <c r="AG658" s="13"/>
      <c r="AH658" s="13"/>
      <c r="AI658" s="13"/>
      <c r="AJ658" s="13"/>
      <c r="AK658" s="13"/>
      <c r="AL658" s="13"/>
      <c r="AM658" s="14"/>
      <c r="AN658" s="14"/>
      <c r="AO658" s="14"/>
      <c r="AP658" s="14"/>
      <c r="AQ658" s="14"/>
      <c r="AR658" s="14"/>
      <c r="AS658" s="14"/>
      <c r="AT658" s="14"/>
      <c r="AU658" s="14"/>
      <c r="AV658" s="14"/>
      <c r="AW658" s="14"/>
      <c r="AX658" s="14"/>
      <c r="AY658" s="14"/>
      <c r="AZ658" s="14"/>
      <c r="BA658" s="14"/>
      <c r="BB658" s="14"/>
      <c r="BC658" s="14"/>
      <c r="BD658" s="14"/>
      <c r="BE658" s="14"/>
      <c r="BF658" s="14"/>
      <c r="BG658" s="14"/>
      <c r="BH658" s="14"/>
      <c r="BI658" s="14"/>
      <c r="BJ658" s="14"/>
      <c r="BK658" s="14"/>
      <c r="BL658" s="14"/>
      <c r="BM658" s="14"/>
      <c r="BN658" s="14"/>
    </row>
    <row r="659" ht="22.5" customHeight="1">
      <c r="A659" s="349" t="s">
        <v>155</v>
      </c>
      <c r="B659" s="350"/>
      <c r="C659" s="351" t="s">
        <v>1398</v>
      </c>
      <c r="D659" s="447"/>
      <c r="E659" s="353" t="s">
        <v>157</v>
      </c>
      <c r="F659" s="354" t="s">
        <v>30</v>
      </c>
      <c r="G659" s="355" t="s">
        <v>1399</v>
      </c>
      <c r="H659" s="356" t="s">
        <v>31</v>
      </c>
      <c r="I659" s="356" t="s">
        <v>98</v>
      </c>
      <c r="J659" s="357">
        <v>3000.0</v>
      </c>
      <c r="K659" s="479"/>
      <c r="L659" s="359">
        <v>46213.0</v>
      </c>
      <c r="M659" s="359">
        <v>46217.0</v>
      </c>
      <c r="N659" s="360"/>
      <c r="O659" s="361" t="s">
        <v>731</v>
      </c>
      <c r="P659" s="362"/>
      <c r="Q659" s="353" t="s">
        <v>35</v>
      </c>
      <c r="R659" s="353" t="s">
        <v>133</v>
      </c>
      <c r="S659" s="361" t="s">
        <v>35</v>
      </c>
      <c r="T659" s="361" t="s">
        <v>36</v>
      </c>
      <c r="U659" s="363" t="s">
        <v>1286</v>
      </c>
      <c r="V659" s="430"/>
      <c r="W659" s="357" t="s">
        <v>1019</v>
      </c>
      <c r="X659" s="365" t="s">
        <v>160</v>
      </c>
      <c r="Y659" s="365"/>
      <c r="Z659" s="367"/>
      <c r="AA659" s="380" t="s">
        <v>516</v>
      </c>
      <c r="AB659" s="13"/>
      <c r="AC659" s="13"/>
      <c r="AD659" s="13"/>
      <c r="AE659" s="13"/>
      <c r="AF659" s="13"/>
      <c r="AG659" s="13"/>
      <c r="AH659" s="13"/>
      <c r="AI659" s="13"/>
      <c r="AJ659" s="13"/>
      <c r="AK659" s="13"/>
      <c r="AL659" s="13"/>
      <c r="AM659" s="14"/>
      <c r="AN659" s="14"/>
      <c r="AO659" s="14"/>
      <c r="AP659" s="14"/>
      <c r="AQ659" s="14"/>
      <c r="AR659" s="14"/>
      <c r="AS659" s="14"/>
      <c r="AT659" s="14"/>
      <c r="AU659" s="14"/>
      <c r="AV659" s="14"/>
      <c r="AW659" s="14"/>
      <c r="AX659" s="14"/>
      <c r="AY659" s="14"/>
      <c r="AZ659" s="14"/>
      <c r="BA659" s="14"/>
      <c r="BB659" s="14"/>
      <c r="BC659" s="14"/>
      <c r="BD659" s="14"/>
      <c r="BE659" s="14"/>
      <c r="BF659" s="14"/>
      <c r="BG659" s="14"/>
      <c r="BH659" s="14"/>
      <c r="BI659" s="14"/>
      <c r="BJ659" s="14"/>
      <c r="BK659" s="14"/>
      <c r="BL659" s="14"/>
      <c r="BM659" s="14"/>
      <c r="BN659" s="14"/>
    </row>
    <row r="660" ht="22.5" customHeight="1">
      <c r="A660" s="349" t="s">
        <v>155</v>
      </c>
      <c r="B660" s="350"/>
      <c r="C660" s="351" t="s">
        <v>1400</v>
      </c>
      <c r="D660" s="447"/>
      <c r="E660" s="353" t="s">
        <v>157</v>
      </c>
      <c r="F660" s="354" t="s">
        <v>72</v>
      </c>
      <c r="G660" s="355" t="s">
        <v>790</v>
      </c>
      <c r="H660" s="356" t="s">
        <v>31</v>
      </c>
      <c r="I660" s="356" t="s">
        <v>98</v>
      </c>
      <c r="J660" s="357">
        <v>3000.0</v>
      </c>
      <c r="K660" s="479"/>
      <c r="L660" s="359">
        <v>46213.0</v>
      </c>
      <c r="M660" s="359">
        <v>46217.0</v>
      </c>
      <c r="N660" s="360"/>
      <c r="O660" s="361" t="s">
        <v>731</v>
      </c>
      <c r="P660" s="362"/>
      <c r="Q660" s="353" t="s">
        <v>35</v>
      </c>
      <c r="R660" s="353" t="s">
        <v>133</v>
      </c>
      <c r="S660" s="361" t="s">
        <v>35</v>
      </c>
      <c r="T660" s="361" t="s">
        <v>36</v>
      </c>
      <c r="U660" s="363" t="s">
        <v>1286</v>
      </c>
      <c r="V660" s="430"/>
      <c r="W660" s="357" t="s">
        <v>1019</v>
      </c>
      <c r="X660" s="365" t="s">
        <v>160</v>
      </c>
      <c r="Y660" s="365"/>
      <c r="Z660" s="367"/>
      <c r="AA660" s="380" t="s">
        <v>516</v>
      </c>
      <c r="AB660" s="13"/>
      <c r="AC660" s="13"/>
      <c r="AD660" s="13"/>
      <c r="AE660" s="13"/>
      <c r="AF660" s="13"/>
      <c r="AG660" s="13"/>
      <c r="AH660" s="13"/>
      <c r="AI660" s="13"/>
      <c r="AJ660" s="13"/>
      <c r="AK660" s="13"/>
      <c r="AL660" s="13"/>
      <c r="AM660" s="14"/>
      <c r="AN660" s="14"/>
      <c r="AO660" s="14"/>
      <c r="AP660" s="14"/>
      <c r="AQ660" s="14"/>
      <c r="AR660" s="14"/>
      <c r="AS660" s="14"/>
      <c r="AT660" s="14"/>
      <c r="AU660" s="14"/>
      <c r="AV660" s="14"/>
      <c r="AW660" s="14"/>
      <c r="AX660" s="14"/>
      <c r="AY660" s="14"/>
      <c r="AZ660" s="14"/>
      <c r="BA660" s="14"/>
      <c r="BB660" s="14"/>
      <c r="BC660" s="14"/>
      <c r="BD660" s="14"/>
      <c r="BE660" s="14"/>
      <c r="BF660" s="14"/>
      <c r="BG660" s="14"/>
      <c r="BH660" s="14"/>
      <c r="BI660" s="14"/>
      <c r="BJ660" s="14"/>
      <c r="BK660" s="14"/>
      <c r="BL660" s="14"/>
      <c r="BM660" s="14"/>
      <c r="BN660" s="14"/>
    </row>
    <row r="661" ht="22.5" customHeight="1">
      <c r="A661" s="349" t="s">
        <v>1401</v>
      </c>
      <c r="B661" s="350"/>
      <c r="C661" s="351" t="s">
        <v>1402</v>
      </c>
      <c r="D661" s="447"/>
      <c r="E661" s="353" t="s">
        <v>29</v>
      </c>
      <c r="F661" s="354" t="s">
        <v>72</v>
      </c>
      <c r="G661" s="355" t="s">
        <v>223</v>
      </c>
      <c r="H661" s="356" t="s">
        <v>31</v>
      </c>
      <c r="I661" s="356" t="s">
        <v>261</v>
      </c>
      <c r="J661" s="357">
        <v>80000.0</v>
      </c>
      <c r="K661" s="479"/>
      <c r="L661" s="359">
        <v>46213.0</v>
      </c>
      <c r="M661" s="359">
        <v>46217.0</v>
      </c>
      <c r="N661" s="360"/>
      <c r="O661" s="361" t="s">
        <v>99</v>
      </c>
      <c r="P661" s="362"/>
      <c r="Q661" s="387"/>
      <c r="R661" s="387"/>
      <c r="S661" s="381" t="s">
        <v>36</v>
      </c>
      <c r="T661" s="381" t="s">
        <v>36</v>
      </c>
      <c r="U661" s="374" t="s">
        <v>1403</v>
      </c>
      <c r="V661" s="430"/>
      <c r="W661" s="382"/>
      <c r="X661" s="365" t="s">
        <v>1404</v>
      </c>
      <c r="Y661" s="366"/>
      <c r="Z661" s="367"/>
      <c r="AA661" s="367"/>
      <c r="AB661" s="13"/>
      <c r="AC661" s="13"/>
      <c r="AD661" s="13"/>
      <c r="AE661" s="13"/>
      <c r="AF661" s="13"/>
      <c r="AG661" s="13"/>
      <c r="AH661" s="13"/>
      <c r="AI661" s="13"/>
      <c r="AJ661" s="13"/>
      <c r="AK661" s="13"/>
      <c r="AL661" s="13"/>
      <c r="AM661" s="14"/>
      <c r="AN661" s="14"/>
      <c r="AO661" s="14"/>
      <c r="AP661" s="14"/>
      <c r="AQ661" s="14"/>
      <c r="AR661" s="14"/>
      <c r="AS661" s="14"/>
      <c r="AT661" s="14"/>
      <c r="AU661" s="14"/>
      <c r="AV661" s="14"/>
      <c r="AW661" s="14"/>
      <c r="AX661" s="14"/>
      <c r="AY661" s="14"/>
      <c r="AZ661" s="14"/>
      <c r="BA661" s="14"/>
      <c r="BB661" s="14"/>
      <c r="BC661" s="14"/>
      <c r="BD661" s="14"/>
      <c r="BE661" s="14"/>
      <c r="BF661" s="14"/>
      <c r="BG661" s="14"/>
      <c r="BH661" s="14"/>
      <c r="BI661" s="14"/>
      <c r="BJ661" s="14"/>
      <c r="BK661" s="14"/>
      <c r="BL661" s="14"/>
      <c r="BM661" s="14"/>
      <c r="BN661" s="14"/>
    </row>
    <row r="662" ht="22.5" customHeight="1">
      <c r="A662" s="349" t="s">
        <v>1401</v>
      </c>
      <c r="B662" s="350"/>
      <c r="C662" s="351" t="s">
        <v>1405</v>
      </c>
      <c r="D662" s="447"/>
      <c r="E662" s="353" t="s">
        <v>29</v>
      </c>
      <c r="F662" s="354" t="s">
        <v>72</v>
      </c>
      <c r="G662" s="355" t="s">
        <v>219</v>
      </c>
      <c r="H662" s="356" t="s">
        <v>31</v>
      </c>
      <c r="I662" s="356" t="s">
        <v>311</v>
      </c>
      <c r="J662" s="357">
        <v>65000.0</v>
      </c>
      <c r="K662" s="479"/>
      <c r="L662" s="359">
        <v>46213.0</v>
      </c>
      <c r="M662" s="359">
        <v>46217.0</v>
      </c>
      <c r="N662" s="360"/>
      <c r="O662" s="361" t="s">
        <v>99</v>
      </c>
      <c r="P662" s="362"/>
      <c r="Q662" s="387"/>
      <c r="R662" s="387"/>
      <c r="S662" s="381" t="s">
        <v>36</v>
      </c>
      <c r="T662" s="381" t="s">
        <v>36</v>
      </c>
      <c r="U662" s="374" t="s">
        <v>1403</v>
      </c>
      <c r="V662" s="430"/>
      <c r="W662" s="382"/>
      <c r="X662" s="365" t="s">
        <v>1404</v>
      </c>
      <c r="Y662" s="366"/>
      <c r="Z662" s="367"/>
      <c r="AA662" s="367"/>
      <c r="AB662" s="13"/>
      <c r="AC662" s="13"/>
      <c r="AD662" s="13"/>
      <c r="AE662" s="13"/>
      <c r="AF662" s="13"/>
      <c r="AG662" s="13"/>
      <c r="AH662" s="13"/>
      <c r="AI662" s="13"/>
      <c r="AJ662" s="13"/>
      <c r="AK662" s="13"/>
      <c r="AL662" s="13"/>
      <c r="AM662" s="14"/>
      <c r="AN662" s="14"/>
      <c r="AO662" s="14"/>
      <c r="AP662" s="14"/>
      <c r="AQ662" s="14"/>
      <c r="AR662" s="14"/>
      <c r="AS662" s="14"/>
      <c r="AT662" s="14"/>
      <c r="AU662" s="14"/>
      <c r="AV662" s="14"/>
      <c r="AW662" s="14"/>
      <c r="AX662" s="14"/>
      <c r="AY662" s="14"/>
      <c r="AZ662" s="14"/>
      <c r="BA662" s="14"/>
      <c r="BB662" s="14"/>
      <c r="BC662" s="14"/>
      <c r="BD662" s="14"/>
      <c r="BE662" s="14"/>
      <c r="BF662" s="14"/>
      <c r="BG662" s="14"/>
      <c r="BH662" s="14"/>
      <c r="BI662" s="14"/>
      <c r="BJ662" s="14"/>
      <c r="BK662" s="14"/>
      <c r="BL662" s="14"/>
      <c r="BM662" s="14"/>
      <c r="BN662" s="14"/>
    </row>
    <row r="663" ht="22.5" customHeight="1">
      <c r="A663" s="349" t="s">
        <v>1401</v>
      </c>
      <c r="B663" s="350"/>
      <c r="C663" s="351" t="s">
        <v>1406</v>
      </c>
      <c r="D663" s="447"/>
      <c r="E663" s="353" t="s">
        <v>29</v>
      </c>
      <c r="F663" s="354" t="s">
        <v>30</v>
      </c>
      <c r="G663" s="355" t="s">
        <v>1407</v>
      </c>
      <c r="H663" s="356" t="s">
        <v>31</v>
      </c>
      <c r="I663" s="356" t="s">
        <v>311</v>
      </c>
      <c r="J663" s="357">
        <v>20000.0</v>
      </c>
      <c r="K663" s="479"/>
      <c r="L663" s="359">
        <v>46213.0</v>
      </c>
      <c r="M663" s="359">
        <v>46217.0</v>
      </c>
      <c r="N663" s="360"/>
      <c r="O663" s="361" t="s">
        <v>99</v>
      </c>
      <c r="P663" s="362"/>
      <c r="Q663" s="387"/>
      <c r="R663" s="387"/>
      <c r="S663" s="381" t="s">
        <v>36</v>
      </c>
      <c r="T663" s="381" t="s">
        <v>36</v>
      </c>
      <c r="U663" s="374" t="s">
        <v>1403</v>
      </c>
      <c r="V663" s="430"/>
      <c r="W663" s="382"/>
      <c r="X663" s="365" t="s">
        <v>1404</v>
      </c>
      <c r="Y663" s="366"/>
      <c r="Z663" s="367"/>
      <c r="AA663" s="367"/>
      <c r="AB663" s="13"/>
      <c r="AC663" s="13"/>
      <c r="AD663" s="13"/>
      <c r="AE663" s="13"/>
      <c r="AF663" s="13"/>
      <c r="AG663" s="13"/>
      <c r="AH663" s="13"/>
      <c r="AI663" s="13"/>
      <c r="AJ663" s="13"/>
      <c r="AK663" s="13"/>
      <c r="AL663" s="13"/>
      <c r="AM663" s="14"/>
      <c r="AN663" s="14"/>
      <c r="AO663" s="14"/>
      <c r="AP663" s="14"/>
      <c r="AQ663" s="14"/>
      <c r="AR663" s="14"/>
      <c r="AS663" s="14"/>
      <c r="AT663" s="14"/>
      <c r="AU663" s="14"/>
      <c r="AV663" s="14"/>
      <c r="AW663" s="14"/>
      <c r="AX663" s="14"/>
      <c r="AY663" s="14"/>
      <c r="AZ663" s="14"/>
      <c r="BA663" s="14"/>
      <c r="BB663" s="14"/>
      <c r="BC663" s="14"/>
      <c r="BD663" s="14"/>
      <c r="BE663" s="14"/>
      <c r="BF663" s="14"/>
      <c r="BG663" s="14"/>
      <c r="BH663" s="14"/>
      <c r="BI663" s="14"/>
      <c r="BJ663" s="14"/>
      <c r="BK663" s="14"/>
      <c r="BL663" s="14"/>
      <c r="BM663" s="14"/>
      <c r="BN663" s="14"/>
    </row>
    <row r="664" ht="22.5" customHeight="1">
      <c r="A664" s="349" t="s">
        <v>744</v>
      </c>
      <c r="B664" s="350"/>
      <c r="C664" s="351" t="s">
        <v>1408</v>
      </c>
      <c r="D664" s="447"/>
      <c r="E664" s="353" t="s">
        <v>95</v>
      </c>
      <c r="F664" s="354" t="s">
        <v>72</v>
      </c>
      <c r="G664" s="355" t="s">
        <v>490</v>
      </c>
      <c r="H664" s="356" t="s">
        <v>31</v>
      </c>
      <c r="I664" s="394"/>
      <c r="J664" s="357">
        <v>5000.0</v>
      </c>
      <c r="K664" s="479"/>
      <c r="L664" s="359">
        <v>46213.0</v>
      </c>
      <c r="M664" s="359">
        <v>46216.0</v>
      </c>
      <c r="N664" s="360"/>
      <c r="O664" s="361" t="s">
        <v>661</v>
      </c>
      <c r="P664" s="362"/>
      <c r="Q664" s="353" t="s">
        <v>35</v>
      </c>
      <c r="R664" s="353" t="s">
        <v>133</v>
      </c>
      <c r="S664" s="361" t="s">
        <v>36</v>
      </c>
      <c r="T664" s="361" t="s">
        <v>36</v>
      </c>
      <c r="U664" s="363" t="s">
        <v>1286</v>
      </c>
      <c r="V664" s="430"/>
      <c r="W664" s="382"/>
      <c r="X664" s="366"/>
      <c r="Y664" s="366"/>
      <c r="Z664" s="367"/>
      <c r="AA664" s="367"/>
      <c r="AB664" s="13"/>
      <c r="AC664" s="13"/>
      <c r="AD664" s="13"/>
      <c r="AE664" s="13"/>
      <c r="AF664" s="13"/>
      <c r="AG664" s="13"/>
      <c r="AH664" s="13"/>
      <c r="AI664" s="13"/>
      <c r="AJ664" s="13"/>
      <c r="AK664" s="13"/>
      <c r="AL664" s="13"/>
      <c r="AM664" s="14"/>
      <c r="AN664" s="14"/>
      <c r="AO664" s="14"/>
      <c r="AP664" s="14"/>
      <c r="AQ664" s="14"/>
      <c r="AR664" s="14"/>
      <c r="AS664" s="14"/>
      <c r="AT664" s="14"/>
      <c r="AU664" s="14"/>
      <c r="AV664" s="14"/>
      <c r="AW664" s="14"/>
      <c r="AX664" s="14"/>
      <c r="AY664" s="14"/>
      <c r="AZ664" s="14"/>
      <c r="BA664" s="14"/>
      <c r="BB664" s="14"/>
      <c r="BC664" s="14"/>
      <c r="BD664" s="14"/>
      <c r="BE664" s="14"/>
      <c r="BF664" s="14"/>
      <c r="BG664" s="14"/>
      <c r="BH664" s="14"/>
      <c r="BI664" s="14"/>
      <c r="BJ664" s="14"/>
      <c r="BK664" s="14"/>
      <c r="BL664" s="14"/>
      <c r="BM664" s="14"/>
      <c r="BN664" s="14"/>
    </row>
    <row r="665" ht="22.5" customHeight="1">
      <c r="A665" s="349" t="s">
        <v>744</v>
      </c>
      <c r="B665" s="350"/>
      <c r="C665" s="351" t="s">
        <v>1409</v>
      </c>
      <c r="D665" s="447"/>
      <c r="E665" s="353" t="s">
        <v>95</v>
      </c>
      <c r="F665" s="354" t="s">
        <v>72</v>
      </c>
      <c r="G665" s="355" t="s">
        <v>128</v>
      </c>
      <c r="H665" s="356" t="s">
        <v>31</v>
      </c>
      <c r="I665" s="394"/>
      <c r="J665" s="357">
        <v>10000.0</v>
      </c>
      <c r="K665" s="479"/>
      <c r="L665" s="359">
        <v>46213.0</v>
      </c>
      <c r="M665" s="359">
        <v>46216.0</v>
      </c>
      <c r="N665" s="360"/>
      <c r="O665" s="361" t="s">
        <v>661</v>
      </c>
      <c r="P665" s="362"/>
      <c r="Q665" s="353" t="s">
        <v>35</v>
      </c>
      <c r="R665" s="353" t="s">
        <v>133</v>
      </c>
      <c r="S665" s="361" t="s">
        <v>36</v>
      </c>
      <c r="T665" s="361" t="s">
        <v>36</v>
      </c>
      <c r="U665" s="363" t="s">
        <v>1286</v>
      </c>
      <c r="V665" s="430"/>
      <c r="W665" s="382"/>
      <c r="X665" s="366"/>
      <c r="Y665" s="366"/>
      <c r="Z665" s="367"/>
      <c r="AA665" s="367"/>
      <c r="AB665" s="13"/>
      <c r="AC665" s="13"/>
      <c r="AD665" s="13"/>
      <c r="AE665" s="13"/>
      <c r="AF665" s="13"/>
      <c r="AG665" s="13"/>
      <c r="AH665" s="13"/>
      <c r="AI665" s="13"/>
      <c r="AJ665" s="13"/>
      <c r="AK665" s="13"/>
      <c r="AL665" s="13"/>
      <c r="AM665" s="14"/>
      <c r="AN665" s="14"/>
      <c r="AO665" s="14"/>
      <c r="AP665" s="14"/>
      <c r="AQ665" s="14"/>
      <c r="AR665" s="14"/>
      <c r="AS665" s="14"/>
      <c r="AT665" s="14"/>
      <c r="AU665" s="14"/>
      <c r="AV665" s="14"/>
      <c r="AW665" s="14"/>
      <c r="AX665" s="14"/>
      <c r="AY665" s="14"/>
      <c r="AZ665" s="14"/>
      <c r="BA665" s="14"/>
      <c r="BB665" s="14"/>
      <c r="BC665" s="14"/>
      <c r="BD665" s="14"/>
      <c r="BE665" s="14"/>
      <c r="BF665" s="14"/>
      <c r="BG665" s="14"/>
      <c r="BH665" s="14"/>
      <c r="BI665" s="14"/>
      <c r="BJ665" s="14"/>
      <c r="BK665" s="14"/>
      <c r="BL665" s="14"/>
      <c r="BM665" s="14"/>
      <c r="BN665" s="14"/>
    </row>
    <row r="666" ht="22.5" customHeight="1">
      <c r="A666" s="493"/>
      <c r="B666" s="350"/>
      <c r="C666" s="351"/>
      <c r="D666" s="447"/>
      <c r="E666" s="494"/>
      <c r="F666" s="495"/>
      <c r="G666" s="434"/>
      <c r="H666" s="394"/>
      <c r="I666" s="394"/>
      <c r="J666" s="477"/>
      <c r="K666" s="479"/>
      <c r="L666" s="496"/>
      <c r="M666" s="496"/>
      <c r="N666" s="360"/>
      <c r="O666" s="497"/>
      <c r="P666" s="362"/>
      <c r="Q666" s="387"/>
      <c r="R666" s="387"/>
      <c r="S666" s="439"/>
      <c r="T666" s="439"/>
      <c r="U666" s="498"/>
      <c r="V666" s="430"/>
      <c r="W666" s="382"/>
      <c r="X666" s="366"/>
      <c r="Y666" s="366"/>
      <c r="Z666" s="367"/>
      <c r="AA666" s="367"/>
      <c r="AB666" s="13"/>
      <c r="AC666" s="13"/>
      <c r="AD666" s="13"/>
      <c r="AE666" s="13"/>
      <c r="AF666" s="13"/>
      <c r="AG666" s="13"/>
      <c r="AH666" s="13"/>
      <c r="AI666" s="13"/>
      <c r="AJ666" s="13"/>
      <c r="AK666" s="13"/>
      <c r="AL666" s="13"/>
      <c r="AM666" s="14"/>
      <c r="AN666" s="14"/>
      <c r="AO666" s="14"/>
      <c r="AP666" s="14"/>
      <c r="AQ666" s="14"/>
      <c r="AR666" s="14"/>
      <c r="AS666" s="14"/>
      <c r="AT666" s="14"/>
      <c r="AU666" s="14"/>
      <c r="AV666" s="14"/>
      <c r="AW666" s="14"/>
      <c r="AX666" s="14"/>
      <c r="AY666" s="14"/>
      <c r="AZ666" s="14"/>
      <c r="BA666" s="14"/>
      <c r="BB666" s="14"/>
      <c r="BC666" s="14"/>
      <c r="BD666" s="14"/>
      <c r="BE666" s="14"/>
      <c r="BF666" s="14"/>
      <c r="BG666" s="14"/>
      <c r="BH666" s="14"/>
      <c r="BI666" s="14"/>
      <c r="BJ666" s="14"/>
      <c r="BK666" s="14"/>
      <c r="BL666" s="14"/>
      <c r="BM666" s="14"/>
      <c r="BN666" s="14"/>
    </row>
    <row r="667" ht="22.5" customHeight="1">
      <c r="A667" s="493"/>
      <c r="B667" s="350"/>
      <c r="C667" s="351"/>
      <c r="D667" s="447"/>
      <c r="E667" s="494"/>
      <c r="F667" s="495"/>
      <c r="G667" s="434"/>
      <c r="H667" s="394"/>
      <c r="I667" s="394"/>
      <c r="J667" s="477"/>
      <c r="K667" s="479"/>
      <c r="L667" s="496"/>
      <c r="M667" s="496"/>
      <c r="N667" s="360"/>
      <c r="O667" s="497"/>
      <c r="P667" s="362"/>
      <c r="Q667" s="387"/>
      <c r="R667" s="387"/>
      <c r="S667" s="439"/>
      <c r="T667" s="439"/>
      <c r="U667" s="498"/>
      <c r="V667" s="430"/>
      <c r="W667" s="382"/>
      <c r="X667" s="366"/>
      <c r="Y667" s="366"/>
      <c r="Z667" s="367"/>
      <c r="AA667" s="367"/>
      <c r="AB667" s="13"/>
      <c r="AC667" s="13"/>
      <c r="AD667" s="13"/>
      <c r="AE667" s="13"/>
      <c r="AF667" s="13"/>
      <c r="AG667" s="13"/>
      <c r="AH667" s="13"/>
      <c r="AI667" s="13"/>
      <c r="AJ667" s="13"/>
      <c r="AK667" s="13"/>
      <c r="AL667" s="13"/>
      <c r="AM667" s="14"/>
      <c r="AN667" s="14"/>
      <c r="AO667" s="14"/>
      <c r="AP667" s="14"/>
      <c r="AQ667" s="14"/>
      <c r="AR667" s="14"/>
      <c r="AS667" s="14"/>
      <c r="AT667" s="14"/>
      <c r="AU667" s="14"/>
      <c r="AV667" s="14"/>
      <c r="AW667" s="14"/>
      <c r="AX667" s="14"/>
      <c r="AY667" s="14"/>
      <c r="AZ667" s="14"/>
      <c r="BA667" s="14"/>
      <c r="BB667" s="14"/>
      <c r="BC667" s="14"/>
      <c r="BD667" s="14"/>
      <c r="BE667" s="14"/>
      <c r="BF667" s="14"/>
      <c r="BG667" s="14"/>
      <c r="BH667" s="14"/>
      <c r="BI667" s="14"/>
      <c r="BJ667" s="14"/>
      <c r="BK667" s="14"/>
      <c r="BL667" s="14"/>
      <c r="BM667" s="14"/>
      <c r="BN667" s="14"/>
    </row>
    <row r="668" ht="22.5" customHeight="1">
      <c r="A668" s="493"/>
      <c r="B668" s="350"/>
      <c r="C668" s="351"/>
      <c r="D668" s="447"/>
      <c r="E668" s="494"/>
      <c r="F668" s="495"/>
      <c r="G668" s="434"/>
      <c r="H668" s="394"/>
      <c r="I668" s="394"/>
      <c r="J668" s="477"/>
      <c r="K668" s="479"/>
      <c r="L668" s="496"/>
      <c r="M668" s="496"/>
      <c r="N668" s="360"/>
      <c r="O668" s="497"/>
      <c r="P668" s="362"/>
      <c r="Q668" s="387"/>
      <c r="R668" s="387"/>
      <c r="S668" s="439"/>
      <c r="T668" s="439"/>
      <c r="U668" s="498"/>
      <c r="V668" s="430"/>
      <c r="W668" s="382"/>
      <c r="X668" s="366"/>
      <c r="Y668" s="366"/>
      <c r="Z668" s="367"/>
      <c r="AA668" s="367"/>
      <c r="AB668" s="13"/>
      <c r="AC668" s="13"/>
      <c r="AD668" s="13"/>
      <c r="AE668" s="13"/>
      <c r="AF668" s="13"/>
      <c r="AG668" s="13"/>
      <c r="AH668" s="13"/>
      <c r="AI668" s="13"/>
      <c r="AJ668" s="13"/>
      <c r="AK668" s="13"/>
      <c r="AL668" s="13"/>
      <c r="AM668" s="14"/>
      <c r="AN668" s="14"/>
      <c r="AO668" s="14"/>
      <c r="AP668" s="14"/>
      <c r="AQ668" s="14"/>
      <c r="AR668" s="14"/>
      <c r="AS668" s="14"/>
      <c r="AT668" s="14"/>
      <c r="AU668" s="14"/>
      <c r="AV668" s="14"/>
      <c r="AW668" s="14"/>
      <c r="AX668" s="14"/>
      <c r="AY668" s="14"/>
      <c r="AZ668" s="14"/>
      <c r="BA668" s="14"/>
      <c r="BB668" s="14"/>
      <c r="BC668" s="14"/>
      <c r="BD668" s="14"/>
      <c r="BE668" s="14"/>
      <c r="BF668" s="14"/>
      <c r="BG668" s="14"/>
      <c r="BH668" s="14"/>
      <c r="BI668" s="14"/>
      <c r="BJ668" s="14"/>
      <c r="BK668" s="14"/>
      <c r="BL668" s="14"/>
      <c r="BM668" s="14"/>
      <c r="BN668" s="14"/>
    </row>
    <row r="669" ht="22.5" customHeight="1">
      <c r="A669" s="493"/>
      <c r="B669" s="350"/>
      <c r="C669" s="351"/>
      <c r="D669" s="447"/>
      <c r="E669" s="494"/>
      <c r="F669" s="495"/>
      <c r="G669" s="434"/>
      <c r="H669" s="394"/>
      <c r="I669" s="394"/>
      <c r="J669" s="477"/>
      <c r="K669" s="479"/>
      <c r="L669" s="496"/>
      <c r="M669" s="496"/>
      <c r="N669" s="360"/>
      <c r="O669" s="497"/>
      <c r="P669" s="362"/>
      <c r="Q669" s="387"/>
      <c r="R669" s="387"/>
      <c r="S669" s="439"/>
      <c r="T669" s="439"/>
      <c r="U669" s="498"/>
      <c r="V669" s="430"/>
      <c r="W669" s="382"/>
      <c r="X669" s="366"/>
      <c r="Y669" s="366"/>
      <c r="Z669" s="367"/>
      <c r="AA669" s="367"/>
      <c r="AB669" s="13"/>
      <c r="AC669" s="13"/>
      <c r="AD669" s="13"/>
      <c r="AE669" s="13"/>
      <c r="AF669" s="13"/>
      <c r="AG669" s="13"/>
      <c r="AH669" s="13"/>
      <c r="AI669" s="13"/>
      <c r="AJ669" s="13"/>
      <c r="AK669" s="13"/>
      <c r="AL669" s="13"/>
      <c r="AM669" s="14"/>
      <c r="AN669" s="14"/>
      <c r="AO669" s="14"/>
      <c r="AP669" s="14"/>
      <c r="AQ669" s="14"/>
      <c r="AR669" s="14"/>
      <c r="AS669" s="14"/>
      <c r="AT669" s="14"/>
      <c r="AU669" s="14"/>
      <c r="AV669" s="14"/>
      <c r="AW669" s="14"/>
      <c r="AX669" s="14"/>
      <c r="AY669" s="14"/>
      <c r="AZ669" s="14"/>
      <c r="BA669" s="14"/>
      <c r="BB669" s="14"/>
      <c r="BC669" s="14"/>
      <c r="BD669" s="14"/>
      <c r="BE669" s="14"/>
      <c r="BF669" s="14"/>
      <c r="BG669" s="14"/>
      <c r="BH669" s="14"/>
      <c r="BI669" s="14"/>
      <c r="BJ669" s="14"/>
      <c r="BK669" s="14"/>
      <c r="BL669" s="14"/>
      <c r="BM669" s="14"/>
      <c r="BN669" s="14"/>
    </row>
    <row r="670" ht="22.5" customHeight="1">
      <c r="A670" s="493"/>
      <c r="B670" s="350"/>
      <c r="C670" s="351"/>
      <c r="D670" s="447"/>
      <c r="E670" s="494"/>
      <c r="F670" s="495"/>
      <c r="G670" s="434"/>
      <c r="H670" s="394"/>
      <c r="I670" s="394"/>
      <c r="J670" s="477"/>
      <c r="K670" s="479"/>
      <c r="L670" s="496"/>
      <c r="M670" s="496"/>
      <c r="N670" s="360"/>
      <c r="O670" s="497"/>
      <c r="P670" s="362"/>
      <c r="Q670" s="387"/>
      <c r="R670" s="387"/>
      <c r="S670" s="439"/>
      <c r="T670" s="439"/>
      <c r="U670" s="498"/>
      <c r="V670" s="430"/>
      <c r="W670" s="382"/>
      <c r="X670" s="366"/>
      <c r="Y670" s="366"/>
      <c r="Z670" s="367"/>
      <c r="AA670" s="367"/>
      <c r="AB670" s="13"/>
      <c r="AC670" s="13"/>
      <c r="AD670" s="13"/>
      <c r="AE670" s="13"/>
      <c r="AF670" s="13"/>
      <c r="AG670" s="13"/>
      <c r="AH670" s="13"/>
      <c r="AI670" s="13"/>
      <c r="AJ670" s="13"/>
      <c r="AK670" s="13"/>
      <c r="AL670" s="13"/>
      <c r="AM670" s="14"/>
      <c r="AN670" s="14"/>
      <c r="AO670" s="14"/>
      <c r="AP670" s="14"/>
      <c r="AQ670" s="14"/>
      <c r="AR670" s="14"/>
      <c r="AS670" s="14"/>
      <c r="AT670" s="14"/>
      <c r="AU670" s="14"/>
      <c r="AV670" s="14"/>
      <c r="AW670" s="14"/>
      <c r="AX670" s="14"/>
      <c r="AY670" s="14"/>
      <c r="AZ670" s="14"/>
      <c r="BA670" s="14"/>
      <c r="BB670" s="14"/>
      <c r="BC670" s="14"/>
      <c r="BD670" s="14"/>
      <c r="BE670" s="14"/>
      <c r="BF670" s="14"/>
      <c r="BG670" s="14"/>
      <c r="BH670" s="14"/>
      <c r="BI670" s="14"/>
      <c r="BJ670" s="14"/>
      <c r="BK670" s="14"/>
      <c r="BL670" s="14"/>
      <c r="BM670" s="14"/>
      <c r="BN670" s="14"/>
    </row>
    <row r="671" ht="22.5" customHeight="1">
      <c r="A671" s="493"/>
      <c r="B671" s="350"/>
      <c r="C671" s="351"/>
      <c r="D671" s="447"/>
      <c r="E671" s="494"/>
      <c r="F671" s="495"/>
      <c r="G671" s="434"/>
      <c r="H671" s="394"/>
      <c r="I671" s="394"/>
      <c r="J671" s="477"/>
      <c r="K671" s="479"/>
      <c r="L671" s="496"/>
      <c r="M671" s="496"/>
      <c r="N671" s="360"/>
      <c r="O671" s="497"/>
      <c r="P671" s="362"/>
      <c r="Q671" s="387"/>
      <c r="R671" s="387"/>
      <c r="S671" s="439"/>
      <c r="T671" s="439"/>
      <c r="U671" s="498"/>
      <c r="V671" s="430"/>
      <c r="W671" s="382"/>
      <c r="X671" s="366"/>
      <c r="Y671" s="366"/>
      <c r="Z671" s="367"/>
      <c r="AA671" s="367"/>
      <c r="AB671" s="13"/>
      <c r="AC671" s="13"/>
      <c r="AD671" s="13"/>
      <c r="AE671" s="13"/>
      <c r="AF671" s="13"/>
      <c r="AG671" s="13"/>
      <c r="AH671" s="13"/>
      <c r="AI671" s="13"/>
      <c r="AJ671" s="13"/>
      <c r="AK671" s="13"/>
      <c r="AL671" s="13"/>
      <c r="AM671" s="14"/>
      <c r="AN671" s="14"/>
      <c r="AO671" s="14"/>
      <c r="AP671" s="14"/>
      <c r="AQ671" s="14"/>
      <c r="AR671" s="14"/>
      <c r="AS671" s="14"/>
      <c r="AT671" s="14"/>
      <c r="AU671" s="14"/>
      <c r="AV671" s="14"/>
      <c r="AW671" s="14"/>
      <c r="AX671" s="14"/>
      <c r="AY671" s="14"/>
      <c r="AZ671" s="14"/>
      <c r="BA671" s="14"/>
      <c r="BB671" s="14"/>
      <c r="BC671" s="14"/>
      <c r="BD671" s="14"/>
      <c r="BE671" s="14"/>
      <c r="BF671" s="14"/>
      <c r="BG671" s="14"/>
      <c r="BH671" s="14"/>
      <c r="BI671" s="14"/>
      <c r="BJ671" s="14"/>
      <c r="BK671" s="14"/>
      <c r="BL671" s="14"/>
      <c r="BM671" s="14"/>
      <c r="BN671" s="14"/>
    </row>
    <row r="672" ht="22.5" customHeight="1">
      <c r="A672" s="493"/>
      <c r="B672" s="350"/>
      <c r="C672" s="351"/>
      <c r="D672" s="447"/>
      <c r="E672" s="494"/>
      <c r="F672" s="495"/>
      <c r="G672" s="434"/>
      <c r="H672" s="394"/>
      <c r="I672" s="394"/>
      <c r="J672" s="477"/>
      <c r="K672" s="479"/>
      <c r="L672" s="496"/>
      <c r="M672" s="496"/>
      <c r="N672" s="360"/>
      <c r="O672" s="497"/>
      <c r="P672" s="362"/>
      <c r="Q672" s="387"/>
      <c r="R672" s="387"/>
      <c r="S672" s="439"/>
      <c r="T672" s="439"/>
      <c r="U672" s="498"/>
      <c r="V672" s="430"/>
      <c r="W672" s="382"/>
      <c r="X672" s="366"/>
      <c r="Y672" s="366"/>
      <c r="Z672" s="367"/>
      <c r="AA672" s="367"/>
      <c r="AB672" s="13"/>
      <c r="AC672" s="13"/>
      <c r="AD672" s="13"/>
      <c r="AE672" s="13"/>
      <c r="AF672" s="13"/>
      <c r="AG672" s="13"/>
      <c r="AH672" s="13"/>
      <c r="AI672" s="13"/>
      <c r="AJ672" s="13"/>
      <c r="AK672" s="13"/>
      <c r="AL672" s="13"/>
      <c r="AM672" s="14"/>
      <c r="AN672" s="14"/>
      <c r="AO672" s="14"/>
      <c r="AP672" s="14"/>
      <c r="AQ672" s="14"/>
      <c r="AR672" s="14"/>
      <c r="AS672" s="14"/>
      <c r="AT672" s="14"/>
      <c r="AU672" s="14"/>
      <c r="AV672" s="14"/>
      <c r="AW672" s="14"/>
      <c r="AX672" s="14"/>
      <c r="AY672" s="14"/>
      <c r="AZ672" s="14"/>
      <c r="BA672" s="14"/>
      <c r="BB672" s="14"/>
      <c r="BC672" s="14"/>
      <c r="BD672" s="14"/>
      <c r="BE672" s="14"/>
      <c r="BF672" s="14"/>
      <c r="BG672" s="14"/>
      <c r="BH672" s="14"/>
      <c r="BI672" s="14"/>
      <c r="BJ672" s="14"/>
      <c r="BK672" s="14"/>
      <c r="BL672" s="14"/>
      <c r="BM672" s="14"/>
      <c r="BN672" s="14"/>
    </row>
    <row r="673" ht="22.5" customHeight="1">
      <c r="A673" s="493"/>
      <c r="B673" s="350"/>
      <c r="C673" s="351"/>
      <c r="D673" s="447"/>
      <c r="E673" s="494"/>
      <c r="F673" s="495"/>
      <c r="G673" s="434"/>
      <c r="H673" s="394"/>
      <c r="I673" s="394"/>
      <c r="J673" s="477"/>
      <c r="K673" s="479"/>
      <c r="L673" s="496"/>
      <c r="M673" s="496"/>
      <c r="N673" s="360"/>
      <c r="O673" s="497"/>
      <c r="P673" s="362"/>
      <c r="Q673" s="387"/>
      <c r="R673" s="387"/>
      <c r="S673" s="439"/>
      <c r="T673" s="439"/>
      <c r="U673" s="498"/>
      <c r="V673" s="430"/>
      <c r="W673" s="382"/>
      <c r="X673" s="366"/>
      <c r="Y673" s="366"/>
      <c r="Z673" s="367"/>
      <c r="AA673" s="367"/>
      <c r="AB673" s="13"/>
      <c r="AC673" s="13"/>
      <c r="AD673" s="13"/>
      <c r="AE673" s="13"/>
      <c r="AF673" s="13"/>
      <c r="AG673" s="13"/>
      <c r="AH673" s="13"/>
      <c r="AI673" s="13"/>
      <c r="AJ673" s="13"/>
      <c r="AK673" s="13"/>
      <c r="AL673" s="13"/>
      <c r="AM673" s="14"/>
      <c r="AN673" s="14"/>
      <c r="AO673" s="14"/>
      <c r="AP673" s="14"/>
      <c r="AQ673" s="14"/>
      <c r="AR673" s="14"/>
      <c r="AS673" s="14"/>
      <c r="AT673" s="14"/>
      <c r="AU673" s="14"/>
      <c r="AV673" s="14"/>
      <c r="AW673" s="14"/>
      <c r="AX673" s="14"/>
      <c r="AY673" s="14"/>
      <c r="AZ673" s="14"/>
      <c r="BA673" s="14"/>
      <c r="BB673" s="14"/>
      <c r="BC673" s="14"/>
      <c r="BD673" s="14"/>
      <c r="BE673" s="14"/>
      <c r="BF673" s="14"/>
      <c r="BG673" s="14"/>
      <c r="BH673" s="14"/>
      <c r="BI673" s="14"/>
      <c r="BJ673" s="14"/>
      <c r="BK673" s="14"/>
      <c r="BL673" s="14"/>
      <c r="BM673" s="14"/>
      <c r="BN673" s="14"/>
    </row>
    <row r="674" ht="22.5" customHeight="1">
      <c r="A674" s="493"/>
      <c r="B674" s="350"/>
      <c r="C674" s="351"/>
      <c r="D674" s="447"/>
      <c r="E674" s="494"/>
      <c r="F674" s="495"/>
      <c r="G674" s="434"/>
      <c r="H674" s="394"/>
      <c r="I674" s="394"/>
      <c r="J674" s="477"/>
      <c r="K674" s="479"/>
      <c r="L674" s="496"/>
      <c r="M674" s="496"/>
      <c r="N674" s="360"/>
      <c r="O674" s="497"/>
      <c r="P674" s="362"/>
      <c r="Q674" s="387"/>
      <c r="R674" s="387"/>
      <c r="S674" s="439"/>
      <c r="T674" s="439"/>
      <c r="U674" s="498"/>
      <c r="V674" s="430"/>
      <c r="W674" s="382"/>
      <c r="X674" s="366"/>
      <c r="Y674" s="366"/>
      <c r="Z674" s="367"/>
      <c r="AA674" s="367"/>
      <c r="AB674" s="13"/>
      <c r="AC674" s="13"/>
      <c r="AD674" s="13"/>
      <c r="AE674" s="13"/>
      <c r="AF674" s="13"/>
      <c r="AG674" s="13"/>
      <c r="AH674" s="13"/>
      <c r="AI674" s="13"/>
      <c r="AJ674" s="13"/>
      <c r="AK674" s="13"/>
      <c r="AL674" s="13"/>
      <c r="AM674" s="14"/>
      <c r="AN674" s="14"/>
      <c r="AO674" s="14"/>
      <c r="AP674" s="14"/>
      <c r="AQ674" s="14"/>
      <c r="AR674" s="14"/>
      <c r="AS674" s="14"/>
      <c r="AT674" s="14"/>
      <c r="AU674" s="14"/>
      <c r="AV674" s="14"/>
      <c r="AW674" s="14"/>
      <c r="AX674" s="14"/>
      <c r="AY674" s="14"/>
      <c r="AZ674" s="14"/>
      <c r="BA674" s="14"/>
      <c r="BB674" s="14"/>
      <c r="BC674" s="14"/>
      <c r="BD674" s="14"/>
      <c r="BE674" s="14"/>
      <c r="BF674" s="14"/>
      <c r="BG674" s="14"/>
      <c r="BH674" s="14"/>
      <c r="BI674" s="14"/>
      <c r="BJ674" s="14"/>
      <c r="BK674" s="14"/>
      <c r="BL674" s="14"/>
      <c r="BM674" s="14"/>
      <c r="BN674" s="14"/>
    </row>
    <row r="675" ht="22.5" customHeight="1">
      <c r="A675" s="493"/>
      <c r="B675" s="350"/>
      <c r="C675" s="351"/>
      <c r="D675" s="447"/>
      <c r="E675" s="494"/>
      <c r="F675" s="495"/>
      <c r="G675" s="434"/>
      <c r="H675" s="394"/>
      <c r="I675" s="394"/>
      <c r="J675" s="477"/>
      <c r="K675" s="479"/>
      <c r="L675" s="496"/>
      <c r="M675" s="496"/>
      <c r="N675" s="360"/>
      <c r="O675" s="497"/>
      <c r="P675" s="362"/>
      <c r="Q675" s="387"/>
      <c r="R675" s="387"/>
      <c r="S675" s="439"/>
      <c r="T675" s="439"/>
      <c r="U675" s="498"/>
      <c r="V675" s="430"/>
      <c r="W675" s="382"/>
      <c r="X675" s="366"/>
      <c r="Y675" s="366"/>
      <c r="Z675" s="367"/>
      <c r="AA675" s="367"/>
      <c r="AB675" s="13"/>
      <c r="AC675" s="13"/>
      <c r="AD675" s="13"/>
      <c r="AE675" s="13"/>
      <c r="AF675" s="13"/>
      <c r="AG675" s="13"/>
      <c r="AH675" s="13"/>
      <c r="AI675" s="13"/>
      <c r="AJ675" s="13"/>
      <c r="AK675" s="13"/>
      <c r="AL675" s="13"/>
      <c r="AM675" s="14"/>
      <c r="AN675" s="14"/>
      <c r="AO675" s="14"/>
      <c r="AP675" s="14"/>
      <c r="AQ675" s="14"/>
      <c r="AR675" s="14"/>
      <c r="AS675" s="14"/>
      <c r="AT675" s="14"/>
      <c r="AU675" s="14"/>
      <c r="AV675" s="14"/>
      <c r="AW675" s="14"/>
      <c r="AX675" s="14"/>
      <c r="AY675" s="14"/>
      <c r="AZ675" s="14"/>
      <c r="BA675" s="14"/>
      <c r="BB675" s="14"/>
      <c r="BC675" s="14"/>
      <c r="BD675" s="14"/>
      <c r="BE675" s="14"/>
      <c r="BF675" s="14"/>
      <c r="BG675" s="14"/>
      <c r="BH675" s="14"/>
      <c r="BI675" s="14"/>
      <c r="BJ675" s="14"/>
      <c r="BK675" s="14"/>
      <c r="BL675" s="14"/>
      <c r="BM675" s="14"/>
      <c r="BN675" s="14"/>
    </row>
    <row r="676" ht="22.5" customHeight="1">
      <c r="A676" s="493"/>
      <c r="B676" s="350"/>
      <c r="C676" s="351"/>
      <c r="D676" s="447"/>
      <c r="E676" s="494"/>
      <c r="F676" s="495"/>
      <c r="G676" s="434"/>
      <c r="H676" s="394"/>
      <c r="I676" s="394"/>
      <c r="J676" s="477"/>
      <c r="K676" s="479"/>
      <c r="L676" s="496"/>
      <c r="M676" s="496"/>
      <c r="N676" s="360"/>
      <c r="O676" s="497"/>
      <c r="P676" s="362"/>
      <c r="Q676" s="387"/>
      <c r="R676" s="387"/>
      <c r="S676" s="439"/>
      <c r="T676" s="439"/>
      <c r="U676" s="498"/>
      <c r="V676" s="430"/>
      <c r="W676" s="382"/>
      <c r="X676" s="366"/>
      <c r="Y676" s="366"/>
      <c r="Z676" s="367"/>
      <c r="AA676" s="367"/>
      <c r="AB676" s="13"/>
      <c r="AC676" s="13"/>
      <c r="AD676" s="13"/>
      <c r="AE676" s="13"/>
      <c r="AF676" s="13"/>
      <c r="AG676" s="13"/>
      <c r="AH676" s="13"/>
      <c r="AI676" s="13"/>
      <c r="AJ676" s="13"/>
      <c r="AK676" s="13"/>
      <c r="AL676" s="13"/>
      <c r="AM676" s="14"/>
      <c r="AN676" s="14"/>
      <c r="AO676" s="14"/>
      <c r="AP676" s="14"/>
      <c r="AQ676" s="14"/>
      <c r="AR676" s="14"/>
      <c r="AS676" s="14"/>
      <c r="AT676" s="14"/>
      <c r="AU676" s="14"/>
      <c r="AV676" s="14"/>
      <c r="AW676" s="14"/>
      <c r="AX676" s="14"/>
      <c r="AY676" s="14"/>
      <c r="AZ676" s="14"/>
      <c r="BA676" s="14"/>
      <c r="BB676" s="14"/>
      <c r="BC676" s="14"/>
      <c r="BD676" s="14"/>
      <c r="BE676" s="14"/>
      <c r="BF676" s="14"/>
      <c r="BG676" s="14"/>
      <c r="BH676" s="14"/>
      <c r="BI676" s="14"/>
      <c r="BJ676" s="14"/>
      <c r="BK676" s="14"/>
      <c r="BL676" s="14"/>
      <c r="BM676" s="14"/>
      <c r="BN676" s="14"/>
    </row>
    <row r="677" ht="22.5" customHeight="1">
      <c r="A677" s="493"/>
      <c r="B677" s="350"/>
      <c r="C677" s="351"/>
      <c r="D677" s="447"/>
      <c r="E677" s="494"/>
      <c r="F677" s="495"/>
      <c r="G677" s="434"/>
      <c r="H677" s="394"/>
      <c r="I677" s="394"/>
      <c r="J677" s="477"/>
      <c r="K677" s="479"/>
      <c r="L677" s="496"/>
      <c r="M677" s="496"/>
      <c r="N677" s="360"/>
      <c r="O677" s="497"/>
      <c r="P677" s="362"/>
      <c r="Q677" s="387"/>
      <c r="R677" s="387"/>
      <c r="S677" s="439"/>
      <c r="T677" s="439"/>
      <c r="U677" s="498"/>
      <c r="V677" s="430"/>
      <c r="W677" s="382"/>
      <c r="X677" s="366"/>
      <c r="Y677" s="366"/>
      <c r="Z677" s="367"/>
      <c r="AA677" s="367"/>
      <c r="AB677" s="13"/>
      <c r="AC677" s="13"/>
      <c r="AD677" s="13"/>
      <c r="AE677" s="13"/>
      <c r="AF677" s="13"/>
      <c r="AG677" s="13"/>
      <c r="AH677" s="13"/>
      <c r="AI677" s="13"/>
      <c r="AJ677" s="13"/>
      <c r="AK677" s="13"/>
      <c r="AL677" s="13"/>
      <c r="AM677" s="14"/>
      <c r="AN677" s="14"/>
      <c r="AO677" s="14"/>
      <c r="AP677" s="14"/>
      <c r="AQ677" s="14"/>
      <c r="AR677" s="14"/>
      <c r="AS677" s="14"/>
      <c r="AT677" s="14"/>
      <c r="AU677" s="14"/>
      <c r="AV677" s="14"/>
      <c r="AW677" s="14"/>
      <c r="AX677" s="14"/>
      <c r="AY677" s="14"/>
      <c r="AZ677" s="14"/>
      <c r="BA677" s="14"/>
      <c r="BB677" s="14"/>
      <c r="BC677" s="14"/>
      <c r="BD677" s="14"/>
      <c r="BE677" s="14"/>
      <c r="BF677" s="14"/>
      <c r="BG677" s="14"/>
      <c r="BH677" s="14"/>
      <c r="BI677" s="14"/>
      <c r="BJ677" s="14"/>
      <c r="BK677" s="14"/>
      <c r="BL677" s="14"/>
      <c r="BM677" s="14"/>
      <c r="BN677" s="14"/>
    </row>
    <row r="678" ht="22.5" customHeight="1">
      <c r="A678" s="493"/>
      <c r="B678" s="350"/>
      <c r="C678" s="351"/>
      <c r="D678" s="447"/>
      <c r="E678" s="494"/>
      <c r="F678" s="495"/>
      <c r="G678" s="434"/>
      <c r="H678" s="394"/>
      <c r="I678" s="394"/>
      <c r="J678" s="477"/>
      <c r="K678" s="479"/>
      <c r="L678" s="496"/>
      <c r="M678" s="496"/>
      <c r="N678" s="360"/>
      <c r="O678" s="497"/>
      <c r="P678" s="362"/>
      <c r="Q678" s="387"/>
      <c r="R678" s="387"/>
      <c r="S678" s="439"/>
      <c r="T678" s="439"/>
      <c r="U678" s="498"/>
      <c r="V678" s="430"/>
      <c r="W678" s="382"/>
      <c r="X678" s="366"/>
      <c r="Y678" s="366"/>
      <c r="Z678" s="367"/>
      <c r="AA678" s="367"/>
      <c r="AB678" s="13"/>
      <c r="AC678" s="13"/>
      <c r="AD678" s="13"/>
      <c r="AE678" s="13"/>
      <c r="AF678" s="13"/>
      <c r="AG678" s="13"/>
      <c r="AH678" s="13"/>
      <c r="AI678" s="13"/>
      <c r="AJ678" s="13"/>
      <c r="AK678" s="13"/>
      <c r="AL678" s="13"/>
      <c r="AM678" s="14"/>
      <c r="AN678" s="14"/>
      <c r="AO678" s="14"/>
      <c r="AP678" s="14"/>
      <c r="AQ678" s="14"/>
      <c r="AR678" s="14"/>
      <c r="AS678" s="14"/>
      <c r="AT678" s="14"/>
      <c r="AU678" s="14"/>
      <c r="AV678" s="14"/>
      <c r="AW678" s="14"/>
      <c r="AX678" s="14"/>
      <c r="AY678" s="14"/>
      <c r="AZ678" s="14"/>
      <c r="BA678" s="14"/>
      <c r="BB678" s="14"/>
      <c r="BC678" s="14"/>
      <c r="BD678" s="14"/>
      <c r="BE678" s="14"/>
      <c r="BF678" s="14"/>
      <c r="BG678" s="14"/>
      <c r="BH678" s="14"/>
      <c r="BI678" s="14"/>
      <c r="BJ678" s="14"/>
      <c r="BK678" s="14"/>
      <c r="BL678" s="14"/>
      <c r="BM678" s="14"/>
      <c r="BN678" s="14"/>
    </row>
    <row r="679" ht="22.5" customHeight="1">
      <c r="A679" s="493"/>
      <c r="B679" s="350"/>
      <c r="C679" s="351"/>
      <c r="D679" s="447"/>
      <c r="E679" s="494"/>
      <c r="F679" s="495"/>
      <c r="G679" s="434"/>
      <c r="H679" s="394"/>
      <c r="I679" s="394"/>
      <c r="J679" s="477"/>
      <c r="K679" s="479"/>
      <c r="L679" s="496"/>
      <c r="M679" s="496"/>
      <c r="N679" s="360"/>
      <c r="O679" s="497"/>
      <c r="P679" s="362"/>
      <c r="Q679" s="387"/>
      <c r="R679" s="387"/>
      <c r="S679" s="439"/>
      <c r="T679" s="439"/>
      <c r="U679" s="498"/>
      <c r="V679" s="430"/>
      <c r="W679" s="382"/>
      <c r="X679" s="366"/>
      <c r="Y679" s="366"/>
      <c r="Z679" s="367"/>
      <c r="AA679" s="367"/>
      <c r="AB679" s="13"/>
      <c r="AC679" s="13"/>
      <c r="AD679" s="13"/>
      <c r="AE679" s="13"/>
      <c r="AF679" s="13"/>
      <c r="AG679" s="13"/>
      <c r="AH679" s="13"/>
      <c r="AI679" s="13"/>
      <c r="AJ679" s="13"/>
      <c r="AK679" s="13"/>
      <c r="AL679" s="13"/>
      <c r="AM679" s="14"/>
      <c r="AN679" s="14"/>
      <c r="AO679" s="14"/>
      <c r="AP679" s="14"/>
      <c r="AQ679" s="14"/>
      <c r="AR679" s="14"/>
      <c r="AS679" s="14"/>
      <c r="AT679" s="14"/>
      <c r="AU679" s="14"/>
      <c r="AV679" s="14"/>
      <c r="AW679" s="14"/>
      <c r="AX679" s="14"/>
      <c r="AY679" s="14"/>
      <c r="AZ679" s="14"/>
      <c r="BA679" s="14"/>
      <c r="BB679" s="14"/>
      <c r="BC679" s="14"/>
      <c r="BD679" s="14"/>
      <c r="BE679" s="14"/>
      <c r="BF679" s="14"/>
      <c r="BG679" s="14"/>
      <c r="BH679" s="14"/>
      <c r="BI679" s="14"/>
      <c r="BJ679" s="14"/>
      <c r="BK679" s="14"/>
      <c r="BL679" s="14"/>
      <c r="BM679" s="14"/>
      <c r="BN679" s="14"/>
    </row>
    <row r="680" ht="22.5" customHeight="1">
      <c r="A680" s="493"/>
      <c r="B680" s="350"/>
      <c r="C680" s="351"/>
      <c r="D680" s="447"/>
      <c r="E680" s="494"/>
      <c r="F680" s="495"/>
      <c r="G680" s="434"/>
      <c r="H680" s="394"/>
      <c r="I680" s="394"/>
      <c r="J680" s="477"/>
      <c r="K680" s="479"/>
      <c r="L680" s="496"/>
      <c r="M680" s="496"/>
      <c r="N680" s="360"/>
      <c r="O680" s="497"/>
      <c r="P680" s="362"/>
      <c r="Q680" s="387"/>
      <c r="R680" s="387"/>
      <c r="S680" s="439"/>
      <c r="T680" s="439"/>
      <c r="U680" s="498"/>
      <c r="V680" s="430"/>
      <c r="W680" s="382"/>
      <c r="X680" s="366"/>
      <c r="Y680" s="366"/>
      <c r="Z680" s="367"/>
      <c r="AA680" s="367"/>
      <c r="AB680" s="13"/>
      <c r="AC680" s="13"/>
      <c r="AD680" s="13"/>
      <c r="AE680" s="13"/>
      <c r="AF680" s="13"/>
      <c r="AG680" s="13"/>
      <c r="AH680" s="13"/>
      <c r="AI680" s="13"/>
      <c r="AJ680" s="13"/>
      <c r="AK680" s="13"/>
      <c r="AL680" s="13"/>
      <c r="AM680" s="14"/>
      <c r="AN680" s="14"/>
      <c r="AO680" s="14"/>
      <c r="AP680" s="14"/>
      <c r="AQ680" s="14"/>
      <c r="AR680" s="14"/>
      <c r="AS680" s="14"/>
      <c r="AT680" s="14"/>
      <c r="AU680" s="14"/>
      <c r="AV680" s="14"/>
      <c r="AW680" s="14"/>
      <c r="AX680" s="14"/>
      <c r="AY680" s="14"/>
      <c r="AZ680" s="14"/>
      <c r="BA680" s="14"/>
      <c r="BB680" s="14"/>
      <c r="BC680" s="14"/>
      <c r="BD680" s="14"/>
      <c r="BE680" s="14"/>
      <c r="BF680" s="14"/>
      <c r="BG680" s="14"/>
      <c r="BH680" s="14"/>
      <c r="BI680" s="14"/>
      <c r="BJ680" s="14"/>
      <c r="BK680" s="14"/>
      <c r="BL680" s="14"/>
      <c r="BM680" s="14"/>
      <c r="BN680" s="14"/>
    </row>
    <row r="681" ht="22.5" customHeight="1">
      <c r="A681" s="493"/>
      <c r="B681" s="350"/>
      <c r="C681" s="351"/>
      <c r="D681" s="447"/>
      <c r="E681" s="494"/>
      <c r="F681" s="495"/>
      <c r="G681" s="434"/>
      <c r="H681" s="394"/>
      <c r="I681" s="394"/>
      <c r="J681" s="477"/>
      <c r="K681" s="479"/>
      <c r="L681" s="496"/>
      <c r="M681" s="496"/>
      <c r="N681" s="360"/>
      <c r="O681" s="497"/>
      <c r="P681" s="362"/>
      <c r="Q681" s="387"/>
      <c r="R681" s="387"/>
      <c r="S681" s="439"/>
      <c r="T681" s="439"/>
      <c r="U681" s="498"/>
      <c r="V681" s="430"/>
      <c r="W681" s="382"/>
      <c r="X681" s="366"/>
      <c r="Y681" s="366"/>
      <c r="Z681" s="367"/>
      <c r="AA681" s="367"/>
      <c r="AB681" s="13"/>
      <c r="AC681" s="13"/>
      <c r="AD681" s="13"/>
      <c r="AE681" s="13"/>
      <c r="AF681" s="13"/>
      <c r="AG681" s="13"/>
      <c r="AH681" s="13"/>
      <c r="AI681" s="13"/>
      <c r="AJ681" s="13"/>
      <c r="AK681" s="13"/>
      <c r="AL681" s="13"/>
      <c r="AM681" s="14"/>
      <c r="AN681" s="14"/>
      <c r="AO681" s="14"/>
      <c r="AP681" s="14"/>
      <c r="AQ681" s="14"/>
      <c r="AR681" s="14"/>
      <c r="AS681" s="14"/>
      <c r="AT681" s="14"/>
      <c r="AU681" s="14"/>
      <c r="AV681" s="14"/>
      <c r="AW681" s="14"/>
      <c r="AX681" s="14"/>
      <c r="AY681" s="14"/>
      <c r="AZ681" s="14"/>
      <c r="BA681" s="14"/>
      <c r="BB681" s="14"/>
      <c r="BC681" s="14"/>
      <c r="BD681" s="14"/>
      <c r="BE681" s="14"/>
      <c r="BF681" s="14"/>
      <c r="BG681" s="14"/>
      <c r="BH681" s="14"/>
      <c r="BI681" s="14"/>
      <c r="BJ681" s="14"/>
      <c r="BK681" s="14"/>
      <c r="BL681" s="14"/>
      <c r="BM681" s="14"/>
      <c r="BN681" s="14"/>
    </row>
    <row r="682" ht="22.5" customHeight="1">
      <c r="A682" s="493"/>
      <c r="B682" s="350"/>
      <c r="C682" s="351"/>
      <c r="D682" s="447"/>
      <c r="E682" s="494"/>
      <c r="F682" s="495"/>
      <c r="G682" s="434"/>
      <c r="H682" s="394"/>
      <c r="I682" s="394"/>
      <c r="J682" s="477"/>
      <c r="K682" s="479"/>
      <c r="L682" s="496"/>
      <c r="M682" s="496"/>
      <c r="N682" s="360"/>
      <c r="O682" s="497"/>
      <c r="P682" s="362"/>
      <c r="Q682" s="387"/>
      <c r="R682" s="387"/>
      <c r="S682" s="439"/>
      <c r="T682" s="439"/>
      <c r="U682" s="498"/>
      <c r="V682" s="430"/>
      <c r="W682" s="382"/>
      <c r="X682" s="366"/>
      <c r="Y682" s="366"/>
      <c r="Z682" s="367"/>
      <c r="AA682" s="367"/>
      <c r="AB682" s="13"/>
      <c r="AC682" s="13"/>
      <c r="AD682" s="13"/>
      <c r="AE682" s="13"/>
      <c r="AF682" s="13"/>
      <c r="AG682" s="13"/>
      <c r="AH682" s="13"/>
      <c r="AI682" s="13"/>
      <c r="AJ682" s="13"/>
      <c r="AK682" s="13"/>
      <c r="AL682" s="13"/>
      <c r="AM682" s="14"/>
      <c r="AN682" s="14"/>
      <c r="AO682" s="14"/>
      <c r="AP682" s="14"/>
      <c r="AQ682" s="14"/>
      <c r="AR682" s="14"/>
      <c r="AS682" s="14"/>
      <c r="AT682" s="14"/>
      <c r="AU682" s="14"/>
      <c r="AV682" s="14"/>
      <c r="AW682" s="14"/>
      <c r="AX682" s="14"/>
      <c r="AY682" s="14"/>
      <c r="AZ682" s="14"/>
      <c r="BA682" s="14"/>
      <c r="BB682" s="14"/>
      <c r="BC682" s="14"/>
      <c r="BD682" s="14"/>
      <c r="BE682" s="14"/>
      <c r="BF682" s="14"/>
      <c r="BG682" s="14"/>
      <c r="BH682" s="14"/>
      <c r="BI682" s="14"/>
      <c r="BJ682" s="14"/>
      <c r="BK682" s="14"/>
      <c r="BL682" s="14"/>
      <c r="BM682" s="14"/>
      <c r="BN682" s="14"/>
    </row>
    <row r="683" ht="22.5" customHeight="1">
      <c r="A683" s="493"/>
      <c r="B683" s="350"/>
      <c r="C683" s="351"/>
      <c r="D683" s="447"/>
      <c r="E683" s="494"/>
      <c r="F683" s="495"/>
      <c r="G683" s="434"/>
      <c r="H683" s="394"/>
      <c r="I683" s="394"/>
      <c r="J683" s="477"/>
      <c r="K683" s="479"/>
      <c r="L683" s="496"/>
      <c r="M683" s="496"/>
      <c r="N683" s="360"/>
      <c r="O683" s="497"/>
      <c r="P683" s="362"/>
      <c r="Q683" s="387"/>
      <c r="R683" s="387"/>
      <c r="S683" s="439"/>
      <c r="T683" s="439"/>
      <c r="U683" s="498"/>
      <c r="V683" s="430"/>
      <c r="W683" s="382"/>
      <c r="X683" s="366"/>
      <c r="Y683" s="366"/>
      <c r="Z683" s="367"/>
      <c r="AA683" s="367"/>
      <c r="AB683" s="13"/>
      <c r="AC683" s="13"/>
      <c r="AD683" s="13"/>
      <c r="AE683" s="13"/>
      <c r="AF683" s="13"/>
      <c r="AG683" s="13"/>
      <c r="AH683" s="13"/>
      <c r="AI683" s="13"/>
      <c r="AJ683" s="13"/>
      <c r="AK683" s="13"/>
      <c r="AL683" s="13"/>
      <c r="AM683" s="14"/>
      <c r="AN683" s="14"/>
      <c r="AO683" s="14"/>
      <c r="AP683" s="14"/>
      <c r="AQ683" s="14"/>
      <c r="AR683" s="14"/>
      <c r="AS683" s="14"/>
      <c r="AT683" s="14"/>
      <c r="AU683" s="14"/>
      <c r="AV683" s="14"/>
      <c r="AW683" s="14"/>
      <c r="AX683" s="14"/>
      <c r="AY683" s="14"/>
      <c r="AZ683" s="14"/>
      <c r="BA683" s="14"/>
      <c r="BB683" s="14"/>
      <c r="BC683" s="14"/>
      <c r="BD683" s="14"/>
      <c r="BE683" s="14"/>
      <c r="BF683" s="14"/>
      <c r="BG683" s="14"/>
      <c r="BH683" s="14"/>
      <c r="BI683" s="14"/>
      <c r="BJ683" s="14"/>
      <c r="BK683" s="14"/>
      <c r="BL683" s="14"/>
      <c r="BM683" s="14"/>
      <c r="BN683" s="14"/>
    </row>
    <row r="684" ht="22.5" customHeight="1">
      <c r="A684" s="493"/>
      <c r="B684" s="350"/>
      <c r="C684" s="351"/>
      <c r="D684" s="447"/>
      <c r="E684" s="494"/>
      <c r="F684" s="495"/>
      <c r="G684" s="434"/>
      <c r="H684" s="394"/>
      <c r="I684" s="394"/>
      <c r="J684" s="477"/>
      <c r="K684" s="479"/>
      <c r="L684" s="496"/>
      <c r="M684" s="496"/>
      <c r="N684" s="360"/>
      <c r="O684" s="497"/>
      <c r="P684" s="362"/>
      <c r="Q684" s="387"/>
      <c r="R684" s="387"/>
      <c r="S684" s="439"/>
      <c r="T684" s="439"/>
      <c r="U684" s="498"/>
      <c r="V684" s="430"/>
      <c r="W684" s="382"/>
      <c r="X684" s="366"/>
      <c r="Y684" s="366"/>
      <c r="Z684" s="367"/>
      <c r="AA684" s="367"/>
      <c r="AB684" s="13"/>
      <c r="AC684" s="13"/>
      <c r="AD684" s="13"/>
      <c r="AE684" s="13"/>
      <c r="AF684" s="13"/>
      <c r="AG684" s="13"/>
      <c r="AH684" s="13"/>
      <c r="AI684" s="13"/>
      <c r="AJ684" s="13"/>
      <c r="AK684" s="13"/>
      <c r="AL684" s="13"/>
      <c r="AM684" s="14"/>
      <c r="AN684" s="14"/>
      <c r="AO684" s="14"/>
      <c r="AP684" s="14"/>
      <c r="AQ684" s="14"/>
      <c r="AR684" s="14"/>
      <c r="AS684" s="14"/>
      <c r="AT684" s="14"/>
      <c r="AU684" s="14"/>
      <c r="AV684" s="14"/>
      <c r="AW684" s="14"/>
      <c r="AX684" s="14"/>
      <c r="AY684" s="14"/>
      <c r="AZ684" s="14"/>
      <c r="BA684" s="14"/>
      <c r="BB684" s="14"/>
      <c r="BC684" s="14"/>
      <c r="BD684" s="14"/>
      <c r="BE684" s="14"/>
      <c r="BF684" s="14"/>
      <c r="BG684" s="14"/>
      <c r="BH684" s="14"/>
      <c r="BI684" s="14"/>
      <c r="BJ684" s="14"/>
      <c r="BK684" s="14"/>
      <c r="BL684" s="14"/>
      <c r="BM684" s="14"/>
      <c r="BN684" s="14"/>
    </row>
    <row r="685" ht="22.5" customHeight="1">
      <c r="A685" s="493"/>
      <c r="B685" s="350"/>
      <c r="C685" s="351"/>
      <c r="D685" s="447"/>
      <c r="E685" s="494"/>
      <c r="F685" s="495"/>
      <c r="G685" s="434"/>
      <c r="H685" s="394"/>
      <c r="I685" s="394"/>
      <c r="J685" s="477"/>
      <c r="K685" s="479"/>
      <c r="L685" s="496"/>
      <c r="M685" s="496"/>
      <c r="N685" s="360"/>
      <c r="O685" s="497"/>
      <c r="P685" s="362"/>
      <c r="Q685" s="387"/>
      <c r="R685" s="387"/>
      <c r="S685" s="439"/>
      <c r="T685" s="439"/>
      <c r="U685" s="498"/>
      <c r="V685" s="430"/>
      <c r="W685" s="382"/>
      <c r="X685" s="366"/>
      <c r="Y685" s="366"/>
      <c r="Z685" s="367"/>
      <c r="AA685" s="367"/>
      <c r="AB685" s="13"/>
      <c r="AC685" s="13"/>
      <c r="AD685" s="13"/>
      <c r="AE685" s="13"/>
      <c r="AF685" s="13"/>
      <c r="AG685" s="13"/>
      <c r="AH685" s="13"/>
      <c r="AI685" s="13"/>
      <c r="AJ685" s="13"/>
      <c r="AK685" s="13"/>
      <c r="AL685" s="13"/>
      <c r="AM685" s="14"/>
      <c r="AN685" s="14"/>
      <c r="AO685" s="14"/>
      <c r="AP685" s="14"/>
      <c r="AQ685" s="14"/>
      <c r="AR685" s="14"/>
      <c r="AS685" s="14"/>
      <c r="AT685" s="14"/>
      <c r="AU685" s="14"/>
      <c r="AV685" s="14"/>
      <c r="AW685" s="14"/>
      <c r="AX685" s="14"/>
      <c r="AY685" s="14"/>
      <c r="AZ685" s="14"/>
      <c r="BA685" s="14"/>
      <c r="BB685" s="14"/>
      <c r="BC685" s="14"/>
      <c r="BD685" s="14"/>
      <c r="BE685" s="14"/>
      <c r="BF685" s="14"/>
      <c r="BG685" s="14"/>
      <c r="BH685" s="14"/>
      <c r="BI685" s="14"/>
      <c r="BJ685" s="14"/>
      <c r="BK685" s="14"/>
      <c r="BL685" s="14"/>
      <c r="BM685" s="14"/>
      <c r="BN685" s="14"/>
    </row>
    <row r="686" ht="22.5" customHeight="1">
      <c r="A686" s="493"/>
      <c r="B686" s="350"/>
      <c r="C686" s="351"/>
      <c r="D686" s="447"/>
      <c r="E686" s="494"/>
      <c r="F686" s="495"/>
      <c r="G686" s="434"/>
      <c r="H686" s="394"/>
      <c r="I686" s="394"/>
      <c r="J686" s="477"/>
      <c r="K686" s="479"/>
      <c r="L686" s="496"/>
      <c r="M686" s="496"/>
      <c r="N686" s="360"/>
      <c r="O686" s="497"/>
      <c r="P686" s="362"/>
      <c r="Q686" s="387"/>
      <c r="R686" s="387"/>
      <c r="S686" s="439"/>
      <c r="T686" s="439"/>
      <c r="U686" s="498"/>
      <c r="V686" s="430"/>
      <c r="W686" s="382"/>
      <c r="X686" s="366"/>
      <c r="Y686" s="366"/>
      <c r="Z686" s="367"/>
      <c r="AA686" s="367"/>
      <c r="AB686" s="13"/>
      <c r="AC686" s="13"/>
      <c r="AD686" s="13"/>
      <c r="AE686" s="13"/>
      <c r="AF686" s="13"/>
      <c r="AG686" s="13"/>
      <c r="AH686" s="13"/>
      <c r="AI686" s="13"/>
      <c r="AJ686" s="13"/>
      <c r="AK686" s="13"/>
      <c r="AL686" s="13"/>
      <c r="AM686" s="14"/>
      <c r="AN686" s="14"/>
      <c r="AO686" s="14"/>
      <c r="AP686" s="14"/>
      <c r="AQ686" s="14"/>
      <c r="AR686" s="14"/>
      <c r="AS686" s="14"/>
      <c r="AT686" s="14"/>
      <c r="AU686" s="14"/>
      <c r="AV686" s="14"/>
      <c r="AW686" s="14"/>
      <c r="AX686" s="14"/>
      <c r="AY686" s="14"/>
      <c r="AZ686" s="14"/>
      <c r="BA686" s="14"/>
      <c r="BB686" s="14"/>
      <c r="BC686" s="14"/>
      <c r="BD686" s="14"/>
      <c r="BE686" s="14"/>
      <c r="BF686" s="14"/>
      <c r="BG686" s="14"/>
      <c r="BH686" s="14"/>
      <c r="BI686" s="14"/>
      <c r="BJ686" s="14"/>
      <c r="BK686" s="14"/>
      <c r="BL686" s="14"/>
      <c r="BM686" s="14"/>
      <c r="BN686" s="14"/>
    </row>
    <row r="687" ht="22.5" customHeight="1">
      <c r="A687" s="493"/>
      <c r="B687" s="350"/>
      <c r="C687" s="351"/>
      <c r="D687" s="447"/>
      <c r="E687" s="494"/>
      <c r="F687" s="495"/>
      <c r="G687" s="434"/>
      <c r="H687" s="394"/>
      <c r="I687" s="394"/>
      <c r="J687" s="477"/>
      <c r="K687" s="479"/>
      <c r="L687" s="496"/>
      <c r="M687" s="496"/>
      <c r="N687" s="360"/>
      <c r="O687" s="497"/>
      <c r="P687" s="362"/>
      <c r="Q687" s="387"/>
      <c r="R687" s="387"/>
      <c r="S687" s="439"/>
      <c r="T687" s="439"/>
      <c r="U687" s="498"/>
      <c r="V687" s="430"/>
      <c r="W687" s="382"/>
      <c r="X687" s="366"/>
      <c r="Y687" s="366"/>
      <c r="Z687" s="367"/>
      <c r="AA687" s="367"/>
      <c r="AB687" s="13"/>
      <c r="AC687" s="13"/>
      <c r="AD687" s="13"/>
      <c r="AE687" s="13"/>
      <c r="AF687" s="13"/>
      <c r="AG687" s="13"/>
      <c r="AH687" s="13"/>
      <c r="AI687" s="13"/>
      <c r="AJ687" s="13"/>
      <c r="AK687" s="13"/>
      <c r="AL687" s="13"/>
      <c r="AM687" s="14"/>
      <c r="AN687" s="14"/>
      <c r="AO687" s="14"/>
      <c r="AP687" s="14"/>
      <c r="AQ687" s="14"/>
      <c r="AR687" s="14"/>
      <c r="AS687" s="14"/>
      <c r="AT687" s="14"/>
      <c r="AU687" s="14"/>
      <c r="AV687" s="14"/>
      <c r="AW687" s="14"/>
      <c r="AX687" s="14"/>
      <c r="AY687" s="14"/>
      <c r="AZ687" s="14"/>
      <c r="BA687" s="14"/>
      <c r="BB687" s="14"/>
      <c r="BC687" s="14"/>
      <c r="BD687" s="14"/>
      <c r="BE687" s="14"/>
      <c r="BF687" s="14"/>
      <c r="BG687" s="14"/>
      <c r="BH687" s="14"/>
      <c r="BI687" s="14"/>
      <c r="BJ687" s="14"/>
      <c r="BK687" s="14"/>
      <c r="BL687" s="14"/>
      <c r="BM687" s="14"/>
      <c r="BN687" s="14"/>
    </row>
    <row r="688" ht="22.5" customHeight="1">
      <c r="A688" s="493"/>
      <c r="B688" s="350"/>
      <c r="C688" s="351"/>
      <c r="D688" s="447"/>
      <c r="E688" s="494"/>
      <c r="F688" s="495"/>
      <c r="G688" s="434"/>
      <c r="H688" s="394"/>
      <c r="I688" s="394"/>
      <c r="J688" s="477"/>
      <c r="K688" s="479"/>
      <c r="L688" s="496"/>
      <c r="M688" s="496"/>
      <c r="N688" s="360"/>
      <c r="O688" s="497"/>
      <c r="P688" s="362"/>
      <c r="Q688" s="387"/>
      <c r="R688" s="387"/>
      <c r="S688" s="439"/>
      <c r="T688" s="439"/>
      <c r="U688" s="498"/>
      <c r="V688" s="430"/>
      <c r="W688" s="382"/>
      <c r="X688" s="366"/>
      <c r="Y688" s="366"/>
      <c r="Z688" s="367"/>
      <c r="AA688" s="367"/>
      <c r="AB688" s="13"/>
      <c r="AC688" s="13"/>
      <c r="AD688" s="13"/>
      <c r="AE688" s="13"/>
      <c r="AF688" s="13"/>
      <c r="AG688" s="13"/>
      <c r="AH688" s="13"/>
      <c r="AI688" s="13"/>
      <c r="AJ688" s="13"/>
      <c r="AK688" s="13"/>
      <c r="AL688" s="13"/>
      <c r="AM688" s="14"/>
      <c r="AN688" s="14"/>
      <c r="AO688" s="14"/>
      <c r="AP688" s="14"/>
      <c r="AQ688" s="14"/>
      <c r="AR688" s="14"/>
      <c r="AS688" s="14"/>
      <c r="AT688" s="14"/>
      <c r="AU688" s="14"/>
      <c r="AV688" s="14"/>
      <c r="AW688" s="14"/>
      <c r="AX688" s="14"/>
      <c r="AY688" s="14"/>
      <c r="AZ688" s="14"/>
      <c r="BA688" s="14"/>
      <c r="BB688" s="14"/>
      <c r="BC688" s="14"/>
      <c r="BD688" s="14"/>
      <c r="BE688" s="14"/>
      <c r="BF688" s="14"/>
      <c r="BG688" s="14"/>
      <c r="BH688" s="14"/>
      <c r="BI688" s="14"/>
      <c r="BJ688" s="14"/>
      <c r="BK688" s="14"/>
      <c r="BL688" s="14"/>
      <c r="BM688" s="14"/>
      <c r="BN688" s="14"/>
    </row>
    <row r="689" ht="22.5" customHeight="1">
      <c r="A689" s="493"/>
      <c r="B689" s="350"/>
      <c r="C689" s="351"/>
      <c r="D689" s="447"/>
      <c r="E689" s="494"/>
      <c r="F689" s="495"/>
      <c r="G689" s="434"/>
      <c r="H689" s="394"/>
      <c r="I689" s="394"/>
      <c r="J689" s="477"/>
      <c r="K689" s="479"/>
      <c r="L689" s="496"/>
      <c r="M689" s="496"/>
      <c r="N689" s="360"/>
      <c r="O689" s="497"/>
      <c r="P689" s="362"/>
      <c r="Q689" s="387"/>
      <c r="R689" s="387"/>
      <c r="S689" s="439"/>
      <c r="T689" s="439"/>
      <c r="U689" s="498"/>
      <c r="V689" s="430"/>
      <c r="W689" s="382"/>
      <c r="X689" s="366"/>
      <c r="Y689" s="366"/>
      <c r="Z689" s="367"/>
      <c r="AA689" s="367"/>
      <c r="AB689" s="13"/>
      <c r="AC689" s="13"/>
      <c r="AD689" s="13"/>
      <c r="AE689" s="13"/>
      <c r="AF689" s="13"/>
      <c r="AG689" s="13"/>
      <c r="AH689" s="13"/>
      <c r="AI689" s="13"/>
      <c r="AJ689" s="13"/>
      <c r="AK689" s="13"/>
      <c r="AL689" s="13"/>
      <c r="AM689" s="14"/>
      <c r="AN689" s="14"/>
      <c r="AO689" s="14"/>
      <c r="AP689" s="14"/>
      <c r="AQ689" s="14"/>
      <c r="AR689" s="14"/>
      <c r="AS689" s="14"/>
      <c r="AT689" s="14"/>
      <c r="AU689" s="14"/>
      <c r="AV689" s="14"/>
      <c r="AW689" s="14"/>
      <c r="AX689" s="14"/>
      <c r="AY689" s="14"/>
      <c r="AZ689" s="14"/>
      <c r="BA689" s="14"/>
      <c r="BB689" s="14"/>
      <c r="BC689" s="14"/>
      <c r="BD689" s="14"/>
      <c r="BE689" s="14"/>
      <c r="BF689" s="14"/>
      <c r="BG689" s="14"/>
      <c r="BH689" s="14"/>
      <c r="BI689" s="14"/>
      <c r="BJ689" s="14"/>
      <c r="BK689" s="14"/>
      <c r="BL689" s="14"/>
      <c r="BM689" s="14"/>
      <c r="BN689" s="14"/>
    </row>
    <row r="690" ht="22.5" customHeight="1">
      <c r="A690" s="493"/>
      <c r="B690" s="350"/>
      <c r="C690" s="351"/>
      <c r="D690" s="447"/>
      <c r="E690" s="494"/>
      <c r="F690" s="495"/>
      <c r="G690" s="434"/>
      <c r="H690" s="394"/>
      <c r="I690" s="394"/>
      <c r="J690" s="477"/>
      <c r="K690" s="479"/>
      <c r="L690" s="496"/>
      <c r="M690" s="496"/>
      <c r="N690" s="360"/>
      <c r="O690" s="497"/>
      <c r="P690" s="362"/>
      <c r="Q690" s="387"/>
      <c r="R690" s="387"/>
      <c r="S690" s="439"/>
      <c r="T690" s="439"/>
      <c r="U690" s="498"/>
      <c r="V690" s="430"/>
      <c r="W690" s="382"/>
      <c r="X690" s="366"/>
      <c r="Y690" s="366"/>
      <c r="Z690" s="367"/>
      <c r="AA690" s="367"/>
      <c r="AB690" s="13"/>
      <c r="AC690" s="13"/>
      <c r="AD690" s="13"/>
      <c r="AE690" s="13"/>
      <c r="AF690" s="13"/>
      <c r="AG690" s="13"/>
      <c r="AH690" s="13"/>
      <c r="AI690" s="13"/>
      <c r="AJ690" s="13"/>
      <c r="AK690" s="13"/>
      <c r="AL690" s="13"/>
      <c r="AM690" s="14"/>
      <c r="AN690" s="14"/>
      <c r="AO690" s="14"/>
      <c r="AP690" s="14"/>
      <c r="AQ690" s="14"/>
      <c r="AR690" s="14"/>
      <c r="AS690" s="14"/>
      <c r="AT690" s="14"/>
      <c r="AU690" s="14"/>
      <c r="AV690" s="14"/>
      <c r="AW690" s="14"/>
      <c r="AX690" s="14"/>
      <c r="AY690" s="14"/>
      <c r="AZ690" s="14"/>
      <c r="BA690" s="14"/>
      <c r="BB690" s="14"/>
      <c r="BC690" s="14"/>
      <c r="BD690" s="14"/>
      <c r="BE690" s="14"/>
      <c r="BF690" s="14"/>
      <c r="BG690" s="14"/>
      <c r="BH690" s="14"/>
      <c r="BI690" s="14"/>
      <c r="BJ690" s="14"/>
      <c r="BK690" s="14"/>
      <c r="BL690" s="14"/>
      <c r="BM690" s="14"/>
      <c r="BN690" s="14"/>
    </row>
    <row r="691" ht="22.5" customHeight="1">
      <c r="A691" s="493"/>
      <c r="B691" s="350"/>
      <c r="C691" s="351"/>
      <c r="D691" s="447"/>
      <c r="E691" s="494"/>
      <c r="F691" s="495"/>
      <c r="G691" s="434"/>
      <c r="H691" s="394"/>
      <c r="I691" s="394"/>
      <c r="J691" s="477"/>
      <c r="K691" s="479"/>
      <c r="L691" s="496"/>
      <c r="M691" s="496"/>
      <c r="N691" s="360"/>
      <c r="O691" s="497"/>
      <c r="P691" s="362"/>
      <c r="Q691" s="387"/>
      <c r="R691" s="387"/>
      <c r="S691" s="439"/>
      <c r="T691" s="439"/>
      <c r="U691" s="498"/>
      <c r="V691" s="430"/>
      <c r="W691" s="382"/>
      <c r="X691" s="366"/>
      <c r="Y691" s="366"/>
      <c r="Z691" s="367"/>
      <c r="AA691" s="367"/>
      <c r="AB691" s="13"/>
      <c r="AC691" s="13"/>
      <c r="AD691" s="13"/>
      <c r="AE691" s="13"/>
      <c r="AF691" s="13"/>
      <c r="AG691" s="13"/>
      <c r="AH691" s="13"/>
      <c r="AI691" s="13"/>
      <c r="AJ691" s="13"/>
      <c r="AK691" s="13"/>
      <c r="AL691" s="13"/>
      <c r="AM691" s="14"/>
      <c r="AN691" s="14"/>
      <c r="AO691" s="14"/>
      <c r="AP691" s="14"/>
      <c r="AQ691" s="14"/>
      <c r="AR691" s="14"/>
      <c r="AS691" s="14"/>
      <c r="AT691" s="14"/>
      <c r="AU691" s="14"/>
      <c r="AV691" s="14"/>
      <c r="AW691" s="14"/>
      <c r="AX691" s="14"/>
      <c r="AY691" s="14"/>
      <c r="AZ691" s="14"/>
      <c r="BA691" s="14"/>
      <c r="BB691" s="14"/>
      <c r="BC691" s="14"/>
      <c r="BD691" s="14"/>
      <c r="BE691" s="14"/>
      <c r="BF691" s="14"/>
      <c r="BG691" s="14"/>
      <c r="BH691" s="14"/>
      <c r="BI691" s="14"/>
      <c r="BJ691" s="14"/>
      <c r="BK691" s="14"/>
      <c r="BL691" s="14"/>
      <c r="BM691" s="14"/>
      <c r="BN691" s="14"/>
    </row>
    <row r="692" ht="22.5" customHeight="1">
      <c r="A692" s="493"/>
      <c r="B692" s="350"/>
      <c r="C692" s="351"/>
      <c r="D692" s="447"/>
      <c r="E692" s="494"/>
      <c r="F692" s="495"/>
      <c r="G692" s="434"/>
      <c r="H692" s="394"/>
      <c r="I692" s="394"/>
      <c r="J692" s="477"/>
      <c r="K692" s="479"/>
      <c r="L692" s="496"/>
      <c r="M692" s="496"/>
      <c r="N692" s="360"/>
      <c r="O692" s="497"/>
      <c r="P692" s="362"/>
      <c r="Q692" s="387"/>
      <c r="R692" s="387"/>
      <c r="S692" s="439"/>
      <c r="T692" s="439"/>
      <c r="U692" s="498"/>
      <c r="V692" s="430"/>
      <c r="W692" s="382"/>
      <c r="X692" s="366"/>
      <c r="Y692" s="366"/>
      <c r="Z692" s="367"/>
      <c r="AA692" s="367"/>
      <c r="AB692" s="13"/>
      <c r="AC692" s="13"/>
      <c r="AD692" s="13"/>
      <c r="AE692" s="13"/>
      <c r="AF692" s="13"/>
      <c r="AG692" s="13"/>
      <c r="AH692" s="13"/>
      <c r="AI692" s="13"/>
      <c r="AJ692" s="13"/>
      <c r="AK692" s="13"/>
      <c r="AL692" s="13"/>
      <c r="AM692" s="14"/>
      <c r="AN692" s="14"/>
      <c r="AO692" s="14"/>
      <c r="AP692" s="14"/>
      <c r="AQ692" s="14"/>
      <c r="AR692" s="14"/>
      <c r="AS692" s="14"/>
      <c r="AT692" s="14"/>
      <c r="AU692" s="14"/>
      <c r="AV692" s="14"/>
      <c r="AW692" s="14"/>
      <c r="AX692" s="14"/>
      <c r="AY692" s="14"/>
      <c r="AZ692" s="14"/>
      <c r="BA692" s="14"/>
      <c r="BB692" s="14"/>
      <c r="BC692" s="14"/>
      <c r="BD692" s="14"/>
      <c r="BE692" s="14"/>
      <c r="BF692" s="14"/>
      <c r="BG692" s="14"/>
      <c r="BH692" s="14"/>
      <c r="BI692" s="14"/>
      <c r="BJ692" s="14"/>
      <c r="BK692" s="14"/>
      <c r="BL692" s="14"/>
      <c r="BM692" s="14"/>
      <c r="BN692" s="14"/>
    </row>
    <row r="693" ht="22.5" customHeight="1">
      <c r="A693" s="493"/>
      <c r="B693" s="350"/>
      <c r="C693" s="351"/>
      <c r="D693" s="447"/>
      <c r="E693" s="494"/>
      <c r="F693" s="495"/>
      <c r="G693" s="434"/>
      <c r="H693" s="394"/>
      <c r="I693" s="394"/>
      <c r="J693" s="477"/>
      <c r="K693" s="479"/>
      <c r="L693" s="496"/>
      <c r="M693" s="496"/>
      <c r="N693" s="360"/>
      <c r="O693" s="497"/>
      <c r="P693" s="362"/>
      <c r="Q693" s="387"/>
      <c r="R693" s="387"/>
      <c r="S693" s="439"/>
      <c r="T693" s="439"/>
      <c r="U693" s="498"/>
      <c r="V693" s="430"/>
      <c r="W693" s="382"/>
      <c r="X693" s="366"/>
      <c r="Y693" s="366"/>
      <c r="Z693" s="367"/>
      <c r="AA693" s="367"/>
      <c r="AB693" s="13"/>
      <c r="AC693" s="13"/>
      <c r="AD693" s="13"/>
      <c r="AE693" s="13"/>
      <c r="AF693" s="13"/>
      <c r="AG693" s="13"/>
      <c r="AH693" s="13"/>
      <c r="AI693" s="13"/>
      <c r="AJ693" s="13"/>
      <c r="AK693" s="13"/>
      <c r="AL693" s="13"/>
      <c r="AM693" s="14"/>
      <c r="AN693" s="14"/>
      <c r="AO693" s="14"/>
      <c r="AP693" s="14"/>
      <c r="AQ693" s="14"/>
      <c r="AR693" s="14"/>
      <c r="AS693" s="14"/>
      <c r="AT693" s="14"/>
      <c r="AU693" s="14"/>
      <c r="AV693" s="14"/>
      <c r="AW693" s="14"/>
      <c r="AX693" s="14"/>
      <c r="AY693" s="14"/>
      <c r="AZ693" s="14"/>
      <c r="BA693" s="14"/>
      <c r="BB693" s="14"/>
      <c r="BC693" s="14"/>
      <c r="BD693" s="14"/>
      <c r="BE693" s="14"/>
      <c r="BF693" s="14"/>
      <c r="BG693" s="14"/>
      <c r="BH693" s="14"/>
      <c r="BI693" s="14"/>
      <c r="BJ693" s="14"/>
      <c r="BK693" s="14"/>
      <c r="BL693" s="14"/>
      <c r="BM693" s="14"/>
      <c r="BN693" s="14"/>
    </row>
    <row r="694" ht="22.5" customHeight="1">
      <c r="A694" s="493"/>
      <c r="B694" s="350"/>
      <c r="C694" s="351"/>
      <c r="D694" s="447"/>
      <c r="E694" s="494"/>
      <c r="F694" s="495"/>
      <c r="G694" s="434"/>
      <c r="H694" s="394"/>
      <c r="I694" s="394"/>
      <c r="J694" s="477"/>
      <c r="K694" s="479"/>
      <c r="L694" s="496"/>
      <c r="M694" s="496"/>
      <c r="N694" s="360"/>
      <c r="O694" s="497"/>
      <c r="P694" s="362"/>
      <c r="Q694" s="387"/>
      <c r="R694" s="387"/>
      <c r="S694" s="439"/>
      <c r="T694" s="439"/>
      <c r="U694" s="498"/>
      <c r="V694" s="430"/>
      <c r="W694" s="382"/>
      <c r="X694" s="366"/>
      <c r="Y694" s="366"/>
      <c r="Z694" s="367"/>
      <c r="AA694" s="367"/>
      <c r="AB694" s="13"/>
      <c r="AC694" s="13"/>
      <c r="AD694" s="13"/>
      <c r="AE694" s="13"/>
      <c r="AF694" s="13"/>
      <c r="AG694" s="13"/>
      <c r="AH694" s="13"/>
      <c r="AI694" s="13"/>
      <c r="AJ694" s="13"/>
      <c r="AK694" s="13"/>
      <c r="AL694" s="13"/>
      <c r="AM694" s="14"/>
      <c r="AN694" s="14"/>
      <c r="AO694" s="14"/>
      <c r="AP694" s="14"/>
      <c r="AQ694" s="14"/>
      <c r="AR694" s="14"/>
      <c r="AS694" s="14"/>
      <c r="AT694" s="14"/>
      <c r="AU694" s="14"/>
      <c r="AV694" s="14"/>
      <c r="AW694" s="14"/>
      <c r="AX694" s="14"/>
      <c r="AY694" s="14"/>
      <c r="AZ694" s="14"/>
      <c r="BA694" s="14"/>
      <c r="BB694" s="14"/>
      <c r="BC694" s="14"/>
      <c r="BD694" s="14"/>
      <c r="BE694" s="14"/>
      <c r="BF694" s="14"/>
      <c r="BG694" s="14"/>
      <c r="BH694" s="14"/>
      <c r="BI694" s="14"/>
      <c r="BJ694" s="14"/>
      <c r="BK694" s="14"/>
      <c r="BL694" s="14"/>
      <c r="BM694" s="14"/>
      <c r="BN694" s="14"/>
    </row>
    <row r="695" ht="22.5" customHeight="1">
      <c r="A695" s="493"/>
      <c r="B695" s="350"/>
      <c r="C695" s="351"/>
      <c r="D695" s="447"/>
      <c r="E695" s="494"/>
      <c r="F695" s="495"/>
      <c r="G695" s="434"/>
      <c r="H695" s="394"/>
      <c r="I695" s="394"/>
      <c r="J695" s="477"/>
      <c r="K695" s="479"/>
      <c r="L695" s="496"/>
      <c r="M695" s="496"/>
      <c r="N695" s="360"/>
      <c r="O695" s="497"/>
      <c r="P695" s="362"/>
      <c r="Q695" s="387"/>
      <c r="R695" s="387"/>
      <c r="S695" s="439"/>
      <c r="T695" s="439"/>
      <c r="U695" s="498"/>
      <c r="V695" s="430"/>
      <c r="W695" s="382"/>
      <c r="X695" s="366"/>
      <c r="Y695" s="366"/>
      <c r="Z695" s="367"/>
      <c r="AA695" s="367"/>
      <c r="AB695" s="13"/>
      <c r="AC695" s="13"/>
      <c r="AD695" s="13"/>
      <c r="AE695" s="13"/>
      <c r="AF695" s="13"/>
      <c r="AG695" s="13"/>
      <c r="AH695" s="13"/>
      <c r="AI695" s="13"/>
      <c r="AJ695" s="13"/>
      <c r="AK695" s="13"/>
      <c r="AL695" s="13"/>
      <c r="AM695" s="14"/>
      <c r="AN695" s="14"/>
      <c r="AO695" s="14"/>
      <c r="AP695" s="14"/>
      <c r="AQ695" s="14"/>
      <c r="AR695" s="14"/>
      <c r="AS695" s="14"/>
      <c r="AT695" s="14"/>
      <c r="AU695" s="14"/>
      <c r="AV695" s="14"/>
      <c r="AW695" s="14"/>
      <c r="AX695" s="14"/>
      <c r="AY695" s="14"/>
      <c r="AZ695" s="14"/>
      <c r="BA695" s="14"/>
      <c r="BB695" s="14"/>
      <c r="BC695" s="14"/>
      <c r="BD695" s="14"/>
      <c r="BE695" s="14"/>
      <c r="BF695" s="14"/>
      <c r="BG695" s="14"/>
      <c r="BH695" s="14"/>
      <c r="BI695" s="14"/>
      <c r="BJ695" s="14"/>
      <c r="BK695" s="14"/>
      <c r="BL695" s="14"/>
      <c r="BM695" s="14"/>
      <c r="BN695" s="14"/>
    </row>
    <row r="696" ht="22.5" customHeight="1">
      <c r="A696" s="493"/>
      <c r="B696" s="350"/>
      <c r="C696" s="351"/>
      <c r="D696" s="447"/>
      <c r="E696" s="494"/>
      <c r="F696" s="495"/>
      <c r="G696" s="434"/>
      <c r="H696" s="394"/>
      <c r="I696" s="394"/>
      <c r="J696" s="477"/>
      <c r="K696" s="479"/>
      <c r="L696" s="496"/>
      <c r="M696" s="496"/>
      <c r="N696" s="360"/>
      <c r="O696" s="497"/>
      <c r="P696" s="362"/>
      <c r="Q696" s="387"/>
      <c r="R696" s="387"/>
      <c r="S696" s="439"/>
      <c r="T696" s="439"/>
      <c r="U696" s="498"/>
      <c r="V696" s="430"/>
      <c r="W696" s="382"/>
      <c r="X696" s="366"/>
      <c r="Y696" s="366"/>
      <c r="Z696" s="367"/>
      <c r="AA696" s="367"/>
      <c r="AB696" s="13"/>
      <c r="AC696" s="13"/>
      <c r="AD696" s="13"/>
      <c r="AE696" s="13"/>
      <c r="AF696" s="13"/>
      <c r="AG696" s="13"/>
      <c r="AH696" s="13"/>
      <c r="AI696" s="13"/>
      <c r="AJ696" s="13"/>
      <c r="AK696" s="13"/>
      <c r="AL696" s="13"/>
      <c r="AM696" s="14"/>
      <c r="AN696" s="14"/>
      <c r="AO696" s="14"/>
      <c r="AP696" s="14"/>
      <c r="AQ696" s="14"/>
      <c r="AR696" s="14"/>
      <c r="AS696" s="14"/>
      <c r="AT696" s="14"/>
      <c r="AU696" s="14"/>
      <c r="AV696" s="14"/>
      <c r="AW696" s="14"/>
      <c r="AX696" s="14"/>
      <c r="AY696" s="14"/>
      <c r="AZ696" s="14"/>
      <c r="BA696" s="14"/>
      <c r="BB696" s="14"/>
      <c r="BC696" s="14"/>
      <c r="BD696" s="14"/>
      <c r="BE696" s="14"/>
      <c r="BF696" s="14"/>
      <c r="BG696" s="14"/>
      <c r="BH696" s="14"/>
      <c r="BI696" s="14"/>
      <c r="BJ696" s="14"/>
      <c r="BK696" s="14"/>
      <c r="BL696" s="14"/>
      <c r="BM696" s="14"/>
      <c r="BN696" s="14"/>
    </row>
    <row r="697" ht="22.5" customHeight="1">
      <c r="A697" s="493"/>
      <c r="B697" s="350"/>
      <c r="C697" s="351"/>
      <c r="D697" s="447"/>
      <c r="E697" s="494"/>
      <c r="F697" s="495"/>
      <c r="G697" s="434"/>
      <c r="H697" s="394"/>
      <c r="I697" s="394"/>
      <c r="J697" s="477"/>
      <c r="K697" s="479"/>
      <c r="L697" s="496"/>
      <c r="M697" s="496"/>
      <c r="N697" s="360"/>
      <c r="O697" s="497"/>
      <c r="P697" s="362"/>
      <c r="Q697" s="387"/>
      <c r="R697" s="387"/>
      <c r="S697" s="439"/>
      <c r="T697" s="439"/>
      <c r="U697" s="498"/>
      <c r="V697" s="430"/>
      <c r="W697" s="382"/>
      <c r="X697" s="366"/>
      <c r="Y697" s="366"/>
      <c r="Z697" s="367"/>
      <c r="AA697" s="367"/>
      <c r="AB697" s="13"/>
      <c r="AC697" s="13"/>
      <c r="AD697" s="13"/>
      <c r="AE697" s="13"/>
      <c r="AF697" s="13"/>
      <c r="AG697" s="13"/>
      <c r="AH697" s="13"/>
      <c r="AI697" s="13"/>
      <c r="AJ697" s="13"/>
      <c r="AK697" s="13"/>
      <c r="AL697" s="13"/>
      <c r="AM697" s="14"/>
      <c r="AN697" s="14"/>
      <c r="AO697" s="14"/>
      <c r="AP697" s="14"/>
      <c r="AQ697" s="14"/>
      <c r="AR697" s="14"/>
      <c r="AS697" s="14"/>
      <c r="AT697" s="14"/>
      <c r="AU697" s="14"/>
      <c r="AV697" s="14"/>
      <c r="AW697" s="14"/>
      <c r="AX697" s="14"/>
      <c r="AY697" s="14"/>
      <c r="AZ697" s="14"/>
      <c r="BA697" s="14"/>
      <c r="BB697" s="14"/>
      <c r="BC697" s="14"/>
      <c r="BD697" s="14"/>
      <c r="BE697" s="14"/>
      <c r="BF697" s="14"/>
      <c r="BG697" s="14"/>
      <c r="BH697" s="14"/>
      <c r="BI697" s="14"/>
      <c r="BJ697" s="14"/>
      <c r="BK697" s="14"/>
      <c r="BL697" s="14"/>
      <c r="BM697" s="14"/>
      <c r="BN697" s="14"/>
    </row>
    <row r="698" ht="22.5" customHeight="1">
      <c r="A698" s="493"/>
      <c r="B698" s="350"/>
      <c r="C698" s="351"/>
      <c r="D698" s="447"/>
      <c r="E698" s="494"/>
      <c r="F698" s="495"/>
      <c r="G698" s="434"/>
      <c r="H698" s="394"/>
      <c r="I698" s="394"/>
      <c r="J698" s="477"/>
      <c r="K698" s="479"/>
      <c r="L698" s="496"/>
      <c r="M698" s="496"/>
      <c r="N698" s="360"/>
      <c r="O698" s="497"/>
      <c r="P698" s="362"/>
      <c r="Q698" s="387"/>
      <c r="R698" s="387"/>
      <c r="S698" s="439"/>
      <c r="T698" s="439"/>
      <c r="U698" s="498"/>
      <c r="V698" s="430"/>
      <c r="W698" s="382"/>
      <c r="X698" s="366"/>
      <c r="Y698" s="366"/>
      <c r="Z698" s="367"/>
      <c r="AA698" s="367"/>
      <c r="AB698" s="13"/>
      <c r="AC698" s="13"/>
      <c r="AD698" s="13"/>
      <c r="AE698" s="13"/>
      <c r="AF698" s="13"/>
      <c r="AG698" s="13"/>
      <c r="AH698" s="13"/>
      <c r="AI698" s="13"/>
      <c r="AJ698" s="13"/>
      <c r="AK698" s="13"/>
      <c r="AL698" s="13"/>
      <c r="AM698" s="14"/>
      <c r="AN698" s="14"/>
      <c r="AO698" s="14"/>
      <c r="AP698" s="14"/>
      <c r="AQ698" s="14"/>
      <c r="AR698" s="14"/>
      <c r="AS698" s="14"/>
      <c r="AT698" s="14"/>
      <c r="AU698" s="14"/>
      <c r="AV698" s="14"/>
      <c r="AW698" s="14"/>
      <c r="AX698" s="14"/>
      <c r="AY698" s="14"/>
      <c r="AZ698" s="14"/>
      <c r="BA698" s="14"/>
      <c r="BB698" s="14"/>
      <c r="BC698" s="14"/>
      <c r="BD698" s="14"/>
      <c r="BE698" s="14"/>
      <c r="BF698" s="14"/>
      <c r="BG698" s="14"/>
      <c r="BH698" s="14"/>
      <c r="BI698" s="14"/>
      <c r="BJ698" s="14"/>
      <c r="BK698" s="14"/>
      <c r="BL698" s="14"/>
      <c r="BM698" s="14"/>
      <c r="BN698" s="14"/>
    </row>
    <row r="699" ht="22.5" customHeight="1">
      <c r="A699" s="493"/>
      <c r="B699" s="350"/>
      <c r="C699" s="351"/>
      <c r="D699" s="447"/>
      <c r="E699" s="494"/>
      <c r="F699" s="495"/>
      <c r="G699" s="434"/>
      <c r="H699" s="394"/>
      <c r="I699" s="394"/>
      <c r="J699" s="477"/>
      <c r="K699" s="479"/>
      <c r="L699" s="496"/>
      <c r="M699" s="496"/>
      <c r="N699" s="360"/>
      <c r="O699" s="497"/>
      <c r="P699" s="362"/>
      <c r="Q699" s="387"/>
      <c r="R699" s="387"/>
      <c r="S699" s="439"/>
      <c r="T699" s="439"/>
      <c r="U699" s="498"/>
      <c r="V699" s="430"/>
      <c r="W699" s="382"/>
      <c r="X699" s="366"/>
      <c r="Y699" s="366"/>
      <c r="Z699" s="367"/>
      <c r="AA699" s="367"/>
      <c r="AB699" s="13"/>
      <c r="AC699" s="13"/>
      <c r="AD699" s="13"/>
      <c r="AE699" s="13"/>
      <c r="AF699" s="13"/>
      <c r="AG699" s="13"/>
      <c r="AH699" s="13"/>
      <c r="AI699" s="13"/>
      <c r="AJ699" s="13"/>
      <c r="AK699" s="13"/>
      <c r="AL699" s="13"/>
      <c r="AM699" s="14"/>
      <c r="AN699" s="14"/>
      <c r="AO699" s="14"/>
      <c r="AP699" s="14"/>
      <c r="AQ699" s="14"/>
      <c r="AR699" s="14"/>
      <c r="AS699" s="14"/>
      <c r="AT699" s="14"/>
      <c r="AU699" s="14"/>
      <c r="AV699" s="14"/>
      <c r="AW699" s="14"/>
      <c r="AX699" s="14"/>
      <c r="AY699" s="14"/>
      <c r="AZ699" s="14"/>
      <c r="BA699" s="14"/>
      <c r="BB699" s="14"/>
      <c r="BC699" s="14"/>
      <c r="BD699" s="14"/>
      <c r="BE699" s="14"/>
      <c r="BF699" s="14"/>
      <c r="BG699" s="14"/>
      <c r="BH699" s="14"/>
      <c r="BI699" s="14"/>
      <c r="BJ699" s="14"/>
      <c r="BK699" s="14"/>
      <c r="BL699" s="14"/>
      <c r="BM699" s="14"/>
      <c r="BN699" s="14"/>
    </row>
    <row r="700" ht="22.5" customHeight="1">
      <c r="A700" s="493"/>
      <c r="B700" s="350"/>
      <c r="C700" s="351"/>
      <c r="D700" s="447"/>
      <c r="E700" s="494"/>
      <c r="F700" s="495"/>
      <c r="G700" s="434"/>
      <c r="H700" s="394"/>
      <c r="I700" s="394"/>
      <c r="J700" s="477"/>
      <c r="K700" s="479"/>
      <c r="L700" s="496"/>
      <c r="M700" s="496"/>
      <c r="N700" s="360"/>
      <c r="O700" s="497"/>
      <c r="P700" s="362"/>
      <c r="Q700" s="387"/>
      <c r="R700" s="387"/>
      <c r="S700" s="439"/>
      <c r="T700" s="439"/>
      <c r="U700" s="498"/>
      <c r="V700" s="430"/>
      <c r="W700" s="382"/>
      <c r="X700" s="366"/>
      <c r="Y700" s="366"/>
      <c r="Z700" s="367"/>
      <c r="AA700" s="367"/>
      <c r="AB700" s="13"/>
      <c r="AC700" s="13"/>
      <c r="AD700" s="13"/>
      <c r="AE700" s="13"/>
      <c r="AF700" s="13"/>
      <c r="AG700" s="13"/>
      <c r="AH700" s="13"/>
      <c r="AI700" s="13"/>
      <c r="AJ700" s="13"/>
      <c r="AK700" s="13"/>
      <c r="AL700" s="13"/>
      <c r="AM700" s="14"/>
      <c r="AN700" s="14"/>
      <c r="AO700" s="14"/>
      <c r="AP700" s="14"/>
      <c r="AQ700" s="14"/>
      <c r="AR700" s="14"/>
      <c r="AS700" s="14"/>
      <c r="AT700" s="14"/>
      <c r="AU700" s="14"/>
      <c r="AV700" s="14"/>
      <c r="AW700" s="14"/>
      <c r="AX700" s="14"/>
      <c r="AY700" s="14"/>
      <c r="AZ700" s="14"/>
      <c r="BA700" s="14"/>
      <c r="BB700" s="14"/>
      <c r="BC700" s="14"/>
      <c r="BD700" s="14"/>
      <c r="BE700" s="14"/>
      <c r="BF700" s="14"/>
      <c r="BG700" s="14"/>
      <c r="BH700" s="14"/>
      <c r="BI700" s="14"/>
      <c r="BJ700" s="14"/>
      <c r="BK700" s="14"/>
      <c r="BL700" s="14"/>
      <c r="BM700" s="14"/>
      <c r="BN700" s="14"/>
    </row>
    <row r="701" ht="22.5" customHeight="1">
      <c r="A701" s="493"/>
      <c r="B701" s="350"/>
      <c r="C701" s="351"/>
      <c r="D701" s="447"/>
      <c r="E701" s="494"/>
      <c r="F701" s="495"/>
      <c r="G701" s="434"/>
      <c r="H701" s="394"/>
      <c r="I701" s="394"/>
      <c r="J701" s="477"/>
      <c r="K701" s="479"/>
      <c r="L701" s="496"/>
      <c r="M701" s="496"/>
      <c r="N701" s="360"/>
      <c r="O701" s="497"/>
      <c r="P701" s="362"/>
      <c r="Q701" s="387"/>
      <c r="R701" s="387"/>
      <c r="S701" s="439"/>
      <c r="T701" s="439"/>
      <c r="U701" s="498"/>
      <c r="V701" s="430"/>
      <c r="W701" s="382"/>
      <c r="X701" s="366"/>
      <c r="Y701" s="366"/>
      <c r="Z701" s="367"/>
      <c r="AA701" s="367"/>
      <c r="AB701" s="13"/>
      <c r="AC701" s="13"/>
      <c r="AD701" s="13"/>
      <c r="AE701" s="13"/>
      <c r="AF701" s="13"/>
      <c r="AG701" s="13"/>
      <c r="AH701" s="13"/>
      <c r="AI701" s="13"/>
      <c r="AJ701" s="13"/>
      <c r="AK701" s="13"/>
      <c r="AL701" s="13"/>
      <c r="AM701" s="14"/>
      <c r="AN701" s="14"/>
      <c r="AO701" s="14"/>
      <c r="AP701" s="14"/>
      <c r="AQ701" s="14"/>
      <c r="AR701" s="14"/>
      <c r="AS701" s="14"/>
      <c r="AT701" s="14"/>
      <c r="AU701" s="14"/>
      <c r="AV701" s="14"/>
      <c r="AW701" s="14"/>
      <c r="AX701" s="14"/>
      <c r="AY701" s="14"/>
      <c r="AZ701" s="14"/>
      <c r="BA701" s="14"/>
      <c r="BB701" s="14"/>
      <c r="BC701" s="14"/>
      <c r="BD701" s="14"/>
      <c r="BE701" s="14"/>
      <c r="BF701" s="14"/>
      <c r="BG701" s="14"/>
      <c r="BH701" s="14"/>
      <c r="BI701" s="14"/>
      <c r="BJ701" s="14"/>
      <c r="BK701" s="14"/>
      <c r="BL701" s="14"/>
      <c r="BM701" s="14"/>
      <c r="BN701" s="14"/>
    </row>
    <row r="702" ht="22.5" customHeight="1">
      <c r="A702" s="493"/>
      <c r="B702" s="350"/>
      <c r="C702" s="351"/>
      <c r="D702" s="447"/>
      <c r="E702" s="494"/>
      <c r="F702" s="495"/>
      <c r="G702" s="434"/>
      <c r="H702" s="394"/>
      <c r="I702" s="394"/>
      <c r="J702" s="477"/>
      <c r="K702" s="479"/>
      <c r="L702" s="496"/>
      <c r="M702" s="496"/>
      <c r="N702" s="360"/>
      <c r="O702" s="497"/>
      <c r="P702" s="362"/>
      <c r="Q702" s="387"/>
      <c r="R702" s="387"/>
      <c r="S702" s="439"/>
      <c r="T702" s="439"/>
      <c r="U702" s="498"/>
      <c r="V702" s="430"/>
      <c r="W702" s="382"/>
      <c r="X702" s="366"/>
      <c r="Y702" s="366"/>
      <c r="Z702" s="367"/>
      <c r="AA702" s="367"/>
      <c r="AB702" s="13"/>
      <c r="AC702" s="13"/>
      <c r="AD702" s="13"/>
      <c r="AE702" s="13"/>
      <c r="AF702" s="13"/>
      <c r="AG702" s="13"/>
      <c r="AH702" s="13"/>
      <c r="AI702" s="13"/>
      <c r="AJ702" s="13"/>
      <c r="AK702" s="13"/>
      <c r="AL702" s="13"/>
      <c r="AM702" s="14"/>
      <c r="AN702" s="14"/>
      <c r="AO702" s="14"/>
      <c r="AP702" s="14"/>
      <c r="AQ702" s="14"/>
      <c r="AR702" s="14"/>
      <c r="AS702" s="14"/>
      <c r="AT702" s="14"/>
      <c r="AU702" s="14"/>
      <c r="AV702" s="14"/>
      <c r="AW702" s="14"/>
      <c r="AX702" s="14"/>
      <c r="AY702" s="14"/>
      <c r="AZ702" s="14"/>
      <c r="BA702" s="14"/>
      <c r="BB702" s="14"/>
      <c r="BC702" s="14"/>
      <c r="BD702" s="14"/>
      <c r="BE702" s="14"/>
      <c r="BF702" s="14"/>
      <c r="BG702" s="14"/>
      <c r="BH702" s="14"/>
      <c r="BI702" s="14"/>
      <c r="BJ702" s="14"/>
      <c r="BK702" s="14"/>
      <c r="BL702" s="14"/>
      <c r="BM702" s="14"/>
      <c r="BN702" s="14"/>
    </row>
    <row r="703" ht="22.5" customHeight="1">
      <c r="A703" s="493"/>
      <c r="B703" s="350"/>
      <c r="C703" s="351"/>
      <c r="D703" s="447"/>
      <c r="E703" s="494"/>
      <c r="F703" s="495"/>
      <c r="G703" s="434"/>
      <c r="H703" s="394"/>
      <c r="I703" s="394"/>
      <c r="J703" s="477"/>
      <c r="K703" s="479"/>
      <c r="L703" s="496"/>
      <c r="M703" s="496"/>
      <c r="N703" s="360"/>
      <c r="O703" s="497"/>
      <c r="P703" s="362"/>
      <c r="Q703" s="387"/>
      <c r="R703" s="387"/>
      <c r="S703" s="439"/>
      <c r="T703" s="439"/>
      <c r="U703" s="498"/>
      <c r="V703" s="430"/>
      <c r="W703" s="382"/>
      <c r="X703" s="366"/>
      <c r="Y703" s="366"/>
      <c r="Z703" s="367"/>
      <c r="AA703" s="367"/>
      <c r="AB703" s="13"/>
      <c r="AC703" s="13"/>
      <c r="AD703" s="13"/>
      <c r="AE703" s="13"/>
      <c r="AF703" s="13"/>
      <c r="AG703" s="13"/>
      <c r="AH703" s="13"/>
      <c r="AI703" s="13"/>
      <c r="AJ703" s="13"/>
      <c r="AK703" s="13"/>
      <c r="AL703" s="13"/>
      <c r="AM703" s="14"/>
      <c r="AN703" s="14"/>
      <c r="AO703" s="14"/>
      <c r="AP703" s="14"/>
      <c r="AQ703" s="14"/>
      <c r="AR703" s="14"/>
      <c r="AS703" s="14"/>
      <c r="AT703" s="14"/>
      <c r="AU703" s="14"/>
      <c r="AV703" s="14"/>
      <c r="AW703" s="14"/>
      <c r="AX703" s="14"/>
      <c r="AY703" s="14"/>
      <c r="AZ703" s="14"/>
      <c r="BA703" s="14"/>
      <c r="BB703" s="14"/>
      <c r="BC703" s="14"/>
      <c r="BD703" s="14"/>
      <c r="BE703" s="14"/>
      <c r="BF703" s="14"/>
      <c r="BG703" s="14"/>
      <c r="BH703" s="14"/>
      <c r="BI703" s="14"/>
      <c r="BJ703" s="14"/>
      <c r="BK703" s="14"/>
      <c r="BL703" s="14"/>
      <c r="BM703" s="14"/>
      <c r="BN703" s="14"/>
    </row>
    <row r="704" ht="22.5" customHeight="1">
      <c r="A704" s="493"/>
      <c r="B704" s="350"/>
      <c r="C704" s="351"/>
      <c r="D704" s="447"/>
      <c r="E704" s="494"/>
      <c r="F704" s="495"/>
      <c r="G704" s="434"/>
      <c r="H704" s="394"/>
      <c r="I704" s="394"/>
      <c r="J704" s="477"/>
      <c r="K704" s="479"/>
      <c r="L704" s="496"/>
      <c r="M704" s="496"/>
      <c r="N704" s="360"/>
      <c r="O704" s="497"/>
      <c r="P704" s="362"/>
      <c r="Q704" s="387"/>
      <c r="R704" s="387"/>
      <c r="S704" s="439"/>
      <c r="T704" s="439"/>
      <c r="U704" s="498"/>
      <c r="V704" s="430"/>
      <c r="W704" s="382"/>
      <c r="X704" s="366"/>
      <c r="Y704" s="366"/>
      <c r="Z704" s="367"/>
      <c r="AA704" s="367"/>
      <c r="AB704" s="13"/>
      <c r="AC704" s="13"/>
      <c r="AD704" s="13"/>
      <c r="AE704" s="13"/>
      <c r="AF704" s="13"/>
      <c r="AG704" s="13"/>
      <c r="AH704" s="13"/>
      <c r="AI704" s="13"/>
      <c r="AJ704" s="13"/>
      <c r="AK704" s="13"/>
      <c r="AL704" s="13"/>
      <c r="AM704" s="14"/>
      <c r="AN704" s="14"/>
      <c r="AO704" s="14"/>
      <c r="AP704" s="14"/>
      <c r="AQ704" s="14"/>
      <c r="AR704" s="14"/>
      <c r="AS704" s="14"/>
      <c r="AT704" s="14"/>
      <c r="AU704" s="14"/>
      <c r="AV704" s="14"/>
      <c r="AW704" s="14"/>
      <c r="AX704" s="14"/>
      <c r="AY704" s="14"/>
      <c r="AZ704" s="14"/>
      <c r="BA704" s="14"/>
      <c r="BB704" s="14"/>
      <c r="BC704" s="14"/>
      <c r="BD704" s="14"/>
      <c r="BE704" s="14"/>
      <c r="BF704" s="14"/>
      <c r="BG704" s="14"/>
      <c r="BH704" s="14"/>
      <c r="BI704" s="14"/>
      <c r="BJ704" s="14"/>
      <c r="BK704" s="14"/>
      <c r="BL704" s="14"/>
      <c r="BM704" s="14"/>
      <c r="BN704" s="14"/>
    </row>
    <row r="705" ht="22.5" customHeight="1">
      <c r="A705" s="493"/>
      <c r="B705" s="350"/>
      <c r="C705" s="351"/>
      <c r="D705" s="447"/>
      <c r="E705" s="494"/>
      <c r="F705" s="495"/>
      <c r="G705" s="434"/>
      <c r="H705" s="394"/>
      <c r="I705" s="394"/>
      <c r="J705" s="477"/>
      <c r="K705" s="479"/>
      <c r="L705" s="496"/>
      <c r="M705" s="496"/>
      <c r="N705" s="360"/>
      <c r="O705" s="497"/>
      <c r="P705" s="362"/>
      <c r="Q705" s="387"/>
      <c r="R705" s="387"/>
      <c r="S705" s="439"/>
      <c r="T705" s="439"/>
      <c r="U705" s="498"/>
      <c r="V705" s="430"/>
      <c r="W705" s="382"/>
      <c r="X705" s="366"/>
      <c r="Y705" s="366"/>
      <c r="Z705" s="367"/>
      <c r="AA705" s="367"/>
      <c r="AB705" s="13"/>
      <c r="AC705" s="13"/>
      <c r="AD705" s="13"/>
      <c r="AE705" s="13"/>
      <c r="AF705" s="13"/>
      <c r="AG705" s="13"/>
      <c r="AH705" s="13"/>
      <c r="AI705" s="13"/>
      <c r="AJ705" s="13"/>
      <c r="AK705" s="13"/>
      <c r="AL705" s="13"/>
      <c r="AM705" s="14"/>
      <c r="AN705" s="14"/>
      <c r="AO705" s="14"/>
      <c r="AP705" s="14"/>
      <c r="AQ705" s="14"/>
      <c r="AR705" s="14"/>
      <c r="AS705" s="14"/>
      <c r="AT705" s="14"/>
      <c r="AU705" s="14"/>
      <c r="AV705" s="14"/>
      <c r="AW705" s="14"/>
      <c r="AX705" s="14"/>
      <c r="AY705" s="14"/>
      <c r="AZ705" s="14"/>
      <c r="BA705" s="14"/>
      <c r="BB705" s="14"/>
      <c r="BC705" s="14"/>
      <c r="BD705" s="14"/>
      <c r="BE705" s="14"/>
      <c r="BF705" s="14"/>
      <c r="BG705" s="14"/>
      <c r="BH705" s="14"/>
      <c r="BI705" s="14"/>
      <c r="BJ705" s="14"/>
      <c r="BK705" s="14"/>
      <c r="BL705" s="14"/>
      <c r="BM705" s="14"/>
      <c r="BN705" s="14"/>
    </row>
    <row r="706" ht="22.5" customHeight="1">
      <c r="A706" s="493"/>
      <c r="B706" s="350"/>
      <c r="C706" s="351"/>
      <c r="D706" s="447"/>
      <c r="E706" s="494"/>
      <c r="F706" s="495"/>
      <c r="G706" s="434"/>
      <c r="H706" s="394"/>
      <c r="I706" s="394"/>
      <c r="J706" s="477"/>
      <c r="K706" s="479"/>
      <c r="L706" s="496"/>
      <c r="M706" s="496"/>
      <c r="N706" s="360"/>
      <c r="O706" s="497"/>
      <c r="P706" s="362"/>
      <c r="Q706" s="387"/>
      <c r="R706" s="387"/>
      <c r="S706" s="439"/>
      <c r="T706" s="439"/>
      <c r="U706" s="498"/>
      <c r="V706" s="430"/>
      <c r="W706" s="382"/>
      <c r="X706" s="366"/>
      <c r="Y706" s="366"/>
      <c r="Z706" s="367"/>
      <c r="AA706" s="367"/>
      <c r="AB706" s="13"/>
      <c r="AC706" s="13"/>
      <c r="AD706" s="13"/>
      <c r="AE706" s="13"/>
      <c r="AF706" s="13"/>
      <c r="AG706" s="13"/>
      <c r="AH706" s="13"/>
      <c r="AI706" s="13"/>
      <c r="AJ706" s="13"/>
      <c r="AK706" s="13"/>
      <c r="AL706" s="13"/>
      <c r="AM706" s="14"/>
      <c r="AN706" s="14"/>
      <c r="AO706" s="14"/>
      <c r="AP706" s="14"/>
      <c r="AQ706" s="14"/>
      <c r="AR706" s="14"/>
      <c r="AS706" s="14"/>
      <c r="AT706" s="14"/>
      <c r="AU706" s="14"/>
      <c r="AV706" s="14"/>
      <c r="AW706" s="14"/>
      <c r="AX706" s="14"/>
      <c r="AY706" s="14"/>
      <c r="AZ706" s="14"/>
      <c r="BA706" s="14"/>
      <c r="BB706" s="14"/>
      <c r="BC706" s="14"/>
      <c r="BD706" s="14"/>
      <c r="BE706" s="14"/>
      <c r="BF706" s="14"/>
      <c r="BG706" s="14"/>
      <c r="BH706" s="14"/>
      <c r="BI706" s="14"/>
      <c r="BJ706" s="14"/>
      <c r="BK706" s="14"/>
      <c r="BL706" s="14"/>
      <c r="BM706" s="14"/>
      <c r="BN706" s="14"/>
    </row>
    <row r="707" ht="22.5" customHeight="1">
      <c r="A707" s="493"/>
      <c r="B707" s="350"/>
      <c r="C707" s="351"/>
      <c r="D707" s="447"/>
      <c r="E707" s="494"/>
      <c r="F707" s="495"/>
      <c r="G707" s="434"/>
      <c r="H707" s="394"/>
      <c r="I707" s="394"/>
      <c r="J707" s="477"/>
      <c r="K707" s="479"/>
      <c r="L707" s="496"/>
      <c r="M707" s="496"/>
      <c r="N707" s="360"/>
      <c r="O707" s="497"/>
      <c r="P707" s="362"/>
      <c r="Q707" s="387"/>
      <c r="R707" s="387"/>
      <c r="S707" s="439"/>
      <c r="T707" s="439"/>
      <c r="U707" s="498"/>
      <c r="V707" s="430"/>
      <c r="W707" s="382"/>
      <c r="X707" s="366"/>
      <c r="Y707" s="366"/>
      <c r="Z707" s="367"/>
      <c r="AA707" s="367"/>
      <c r="AB707" s="13"/>
      <c r="AC707" s="13"/>
      <c r="AD707" s="13"/>
      <c r="AE707" s="13"/>
      <c r="AF707" s="13"/>
      <c r="AG707" s="13"/>
      <c r="AH707" s="13"/>
      <c r="AI707" s="13"/>
      <c r="AJ707" s="13"/>
      <c r="AK707" s="13"/>
      <c r="AL707" s="13"/>
      <c r="AM707" s="14"/>
      <c r="AN707" s="14"/>
      <c r="AO707" s="14"/>
      <c r="AP707" s="14"/>
      <c r="AQ707" s="14"/>
      <c r="AR707" s="14"/>
      <c r="AS707" s="14"/>
      <c r="AT707" s="14"/>
      <c r="AU707" s="14"/>
      <c r="AV707" s="14"/>
      <c r="AW707" s="14"/>
      <c r="AX707" s="14"/>
      <c r="AY707" s="14"/>
      <c r="AZ707" s="14"/>
      <c r="BA707" s="14"/>
      <c r="BB707" s="14"/>
      <c r="BC707" s="14"/>
      <c r="BD707" s="14"/>
      <c r="BE707" s="14"/>
      <c r="BF707" s="14"/>
      <c r="BG707" s="14"/>
      <c r="BH707" s="14"/>
      <c r="BI707" s="14"/>
      <c r="BJ707" s="14"/>
      <c r="BK707" s="14"/>
      <c r="BL707" s="14"/>
      <c r="BM707" s="14"/>
      <c r="BN707" s="14"/>
    </row>
    <row r="708" ht="22.5" customHeight="1">
      <c r="A708" s="493"/>
      <c r="B708" s="350"/>
      <c r="C708" s="351"/>
      <c r="D708" s="447"/>
      <c r="E708" s="494"/>
      <c r="F708" s="495"/>
      <c r="G708" s="434"/>
      <c r="H708" s="394"/>
      <c r="I708" s="394"/>
      <c r="J708" s="477"/>
      <c r="K708" s="479"/>
      <c r="L708" s="496"/>
      <c r="M708" s="496"/>
      <c r="N708" s="360"/>
      <c r="O708" s="497"/>
      <c r="P708" s="362"/>
      <c r="Q708" s="387"/>
      <c r="R708" s="387"/>
      <c r="S708" s="439"/>
      <c r="T708" s="439"/>
      <c r="U708" s="498"/>
      <c r="V708" s="430"/>
      <c r="W708" s="382"/>
      <c r="X708" s="366"/>
      <c r="Y708" s="366"/>
      <c r="Z708" s="367"/>
      <c r="AA708" s="367"/>
      <c r="AB708" s="13"/>
      <c r="AC708" s="13"/>
      <c r="AD708" s="13"/>
      <c r="AE708" s="13"/>
      <c r="AF708" s="13"/>
      <c r="AG708" s="13"/>
      <c r="AH708" s="13"/>
      <c r="AI708" s="13"/>
      <c r="AJ708" s="13"/>
      <c r="AK708" s="13"/>
      <c r="AL708" s="13"/>
      <c r="AM708" s="14"/>
      <c r="AN708" s="14"/>
      <c r="AO708" s="14"/>
      <c r="AP708" s="14"/>
      <c r="AQ708" s="14"/>
      <c r="AR708" s="14"/>
      <c r="AS708" s="14"/>
      <c r="AT708" s="14"/>
      <c r="AU708" s="14"/>
      <c r="AV708" s="14"/>
      <c r="AW708" s="14"/>
      <c r="AX708" s="14"/>
      <c r="AY708" s="14"/>
      <c r="AZ708" s="14"/>
      <c r="BA708" s="14"/>
      <c r="BB708" s="14"/>
      <c r="BC708" s="14"/>
      <c r="BD708" s="14"/>
      <c r="BE708" s="14"/>
      <c r="BF708" s="14"/>
      <c r="BG708" s="14"/>
      <c r="BH708" s="14"/>
      <c r="BI708" s="14"/>
      <c r="BJ708" s="14"/>
      <c r="BK708" s="14"/>
      <c r="BL708" s="14"/>
      <c r="BM708" s="14"/>
      <c r="BN708" s="14"/>
    </row>
    <row r="709" ht="22.5" customHeight="1">
      <c r="A709" s="493"/>
      <c r="B709" s="350"/>
      <c r="C709" s="351"/>
      <c r="D709" s="447"/>
      <c r="E709" s="494"/>
      <c r="F709" s="495"/>
      <c r="G709" s="434"/>
      <c r="H709" s="394"/>
      <c r="I709" s="394"/>
      <c r="J709" s="477"/>
      <c r="K709" s="479"/>
      <c r="L709" s="496"/>
      <c r="M709" s="496"/>
      <c r="N709" s="360"/>
      <c r="O709" s="497"/>
      <c r="P709" s="362"/>
      <c r="Q709" s="387"/>
      <c r="R709" s="387"/>
      <c r="S709" s="439"/>
      <c r="T709" s="439"/>
      <c r="U709" s="498"/>
      <c r="V709" s="430"/>
      <c r="W709" s="382"/>
      <c r="X709" s="366"/>
      <c r="Y709" s="366"/>
      <c r="Z709" s="367"/>
      <c r="AA709" s="367"/>
      <c r="AB709" s="13"/>
      <c r="AC709" s="13"/>
      <c r="AD709" s="13"/>
      <c r="AE709" s="13"/>
      <c r="AF709" s="13"/>
      <c r="AG709" s="13"/>
      <c r="AH709" s="13"/>
      <c r="AI709" s="13"/>
      <c r="AJ709" s="13"/>
      <c r="AK709" s="13"/>
      <c r="AL709" s="13"/>
      <c r="AM709" s="14"/>
      <c r="AN709" s="14"/>
      <c r="AO709" s="14"/>
      <c r="AP709" s="14"/>
      <c r="AQ709" s="14"/>
      <c r="AR709" s="14"/>
      <c r="AS709" s="14"/>
      <c r="AT709" s="14"/>
      <c r="AU709" s="14"/>
      <c r="AV709" s="14"/>
      <c r="AW709" s="14"/>
      <c r="AX709" s="14"/>
      <c r="AY709" s="14"/>
      <c r="AZ709" s="14"/>
      <c r="BA709" s="14"/>
      <c r="BB709" s="14"/>
      <c r="BC709" s="14"/>
      <c r="BD709" s="14"/>
      <c r="BE709" s="14"/>
      <c r="BF709" s="14"/>
      <c r="BG709" s="14"/>
      <c r="BH709" s="14"/>
      <c r="BI709" s="14"/>
      <c r="BJ709" s="14"/>
      <c r="BK709" s="14"/>
      <c r="BL709" s="14"/>
      <c r="BM709" s="14"/>
      <c r="BN709" s="14"/>
    </row>
    <row r="710" ht="22.5" customHeight="1">
      <c r="A710" s="493"/>
      <c r="B710" s="350"/>
      <c r="C710" s="351"/>
      <c r="D710" s="447"/>
      <c r="E710" s="494"/>
      <c r="F710" s="495"/>
      <c r="G710" s="434"/>
      <c r="H710" s="394"/>
      <c r="I710" s="394"/>
      <c r="J710" s="477"/>
      <c r="K710" s="479"/>
      <c r="L710" s="496"/>
      <c r="M710" s="496"/>
      <c r="N710" s="360"/>
      <c r="O710" s="497"/>
      <c r="P710" s="362"/>
      <c r="Q710" s="387"/>
      <c r="R710" s="387"/>
      <c r="S710" s="439"/>
      <c r="T710" s="439"/>
      <c r="U710" s="498"/>
      <c r="V710" s="430"/>
      <c r="W710" s="382"/>
      <c r="X710" s="366"/>
      <c r="Y710" s="366"/>
      <c r="Z710" s="367"/>
      <c r="AA710" s="367"/>
      <c r="AB710" s="13"/>
      <c r="AC710" s="13"/>
      <c r="AD710" s="13"/>
      <c r="AE710" s="13"/>
      <c r="AF710" s="13"/>
      <c r="AG710" s="13"/>
      <c r="AH710" s="13"/>
      <c r="AI710" s="13"/>
      <c r="AJ710" s="13"/>
      <c r="AK710" s="13"/>
      <c r="AL710" s="13"/>
      <c r="AM710" s="14"/>
      <c r="AN710" s="14"/>
      <c r="AO710" s="14"/>
      <c r="AP710" s="14"/>
      <c r="AQ710" s="14"/>
      <c r="AR710" s="14"/>
      <c r="AS710" s="14"/>
      <c r="AT710" s="14"/>
      <c r="AU710" s="14"/>
      <c r="AV710" s="14"/>
      <c r="AW710" s="14"/>
      <c r="AX710" s="14"/>
      <c r="AY710" s="14"/>
      <c r="AZ710" s="14"/>
      <c r="BA710" s="14"/>
      <c r="BB710" s="14"/>
      <c r="BC710" s="14"/>
      <c r="BD710" s="14"/>
      <c r="BE710" s="14"/>
      <c r="BF710" s="14"/>
      <c r="BG710" s="14"/>
      <c r="BH710" s="14"/>
      <c r="BI710" s="14"/>
      <c r="BJ710" s="14"/>
      <c r="BK710" s="14"/>
      <c r="BL710" s="14"/>
      <c r="BM710" s="14"/>
      <c r="BN710" s="14"/>
    </row>
    <row r="711" ht="22.5" customHeight="1">
      <c r="A711" s="493"/>
      <c r="B711" s="350"/>
      <c r="C711" s="351"/>
      <c r="D711" s="447"/>
      <c r="E711" s="494"/>
      <c r="F711" s="495"/>
      <c r="G711" s="434"/>
      <c r="H711" s="394"/>
      <c r="I711" s="394"/>
      <c r="J711" s="477"/>
      <c r="K711" s="479"/>
      <c r="L711" s="496"/>
      <c r="M711" s="496"/>
      <c r="N711" s="360"/>
      <c r="O711" s="497"/>
      <c r="P711" s="362"/>
      <c r="Q711" s="387"/>
      <c r="R711" s="387"/>
      <c r="S711" s="439"/>
      <c r="T711" s="439"/>
      <c r="U711" s="498"/>
      <c r="V711" s="430"/>
      <c r="W711" s="382"/>
      <c r="X711" s="366"/>
      <c r="Y711" s="366"/>
      <c r="Z711" s="367"/>
      <c r="AA711" s="367"/>
      <c r="AB711" s="13"/>
      <c r="AC711" s="13"/>
      <c r="AD711" s="13"/>
      <c r="AE711" s="13"/>
      <c r="AF711" s="13"/>
      <c r="AG711" s="13"/>
      <c r="AH711" s="13"/>
      <c r="AI711" s="13"/>
      <c r="AJ711" s="13"/>
      <c r="AK711" s="13"/>
      <c r="AL711" s="13"/>
      <c r="AM711" s="14"/>
      <c r="AN711" s="14"/>
      <c r="AO711" s="14"/>
      <c r="AP711" s="14"/>
      <c r="AQ711" s="14"/>
      <c r="AR711" s="14"/>
      <c r="AS711" s="14"/>
      <c r="AT711" s="14"/>
      <c r="AU711" s="14"/>
      <c r="AV711" s="14"/>
      <c r="AW711" s="14"/>
      <c r="AX711" s="14"/>
      <c r="AY711" s="14"/>
      <c r="AZ711" s="14"/>
      <c r="BA711" s="14"/>
      <c r="BB711" s="14"/>
      <c r="BC711" s="14"/>
      <c r="BD711" s="14"/>
      <c r="BE711" s="14"/>
      <c r="BF711" s="14"/>
      <c r="BG711" s="14"/>
      <c r="BH711" s="14"/>
      <c r="BI711" s="14"/>
      <c r="BJ711" s="14"/>
      <c r="BK711" s="14"/>
      <c r="BL711" s="14"/>
      <c r="BM711" s="14"/>
      <c r="BN711" s="14"/>
    </row>
    <row r="712" ht="22.5" customHeight="1">
      <c r="A712" s="493"/>
      <c r="B712" s="350"/>
      <c r="C712" s="351"/>
      <c r="D712" s="447"/>
      <c r="E712" s="494"/>
      <c r="F712" s="495"/>
      <c r="G712" s="434"/>
      <c r="H712" s="394"/>
      <c r="I712" s="394"/>
      <c r="J712" s="477"/>
      <c r="K712" s="479"/>
      <c r="L712" s="496"/>
      <c r="M712" s="496"/>
      <c r="N712" s="360"/>
      <c r="O712" s="497"/>
      <c r="P712" s="362"/>
      <c r="Q712" s="387"/>
      <c r="R712" s="387"/>
      <c r="S712" s="439"/>
      <c r="T712" s="439"/>
      <c r="U712" s="498"/>
      <c r="V712" s="430"/>
      <c r="W712" s="382"/>
      <c r="X712" s="366"/>
      <c r="Y712" s="366"/>
      <c r="Z712" s="367"/>
      <c r="AA712" s="367"/>
      <c r="AB712" s="13"/>
      <c r="AC712" s="13"/>
      <c r="AD712" s="13"/>
      <c r="AE712" s="13"/>
      <c r="AF712" s="13"/>
      <c r="AG712" s="13"/>
      <c r="AH712" s="13"/>
      <c r="AI712" s="13"/>
      <c r="AJ712" s="13"/>
      <c r="AK712" s="13"/>
      <c r="AL712" s="13"/>
      <c r="AM712" s="14"/>
      <c r="AN712" s="14"/>
      <c r="AO712" s="14"/>
      <c r="AP712" s="14"/>
      <c r="AQ712" s="14"/>
      <c r="AR712" s="14"/>
      <c r="AS712" s="14"/>
      <c r="AT712" s="14"/>
      <c r="AU712" s="14"/>
      <c r="AV712" s="14"/>
      <c r="AW712" s="14"/>
      <c r="AX712" s="14"/>
      <c r="AY712" s="14"/>
      <c r="AZ712" s="14"/>
      <c r="BA712" s="14"/>
      <c r="BB712" s="14"/>
      <c r="BC712" s="14"/>
      <c r="BD712" s="14"/>
      <c r="BE712" s="14"/>
      <c r="BF712" s="14"/>
      <c r="BG712" s="14"/>
      <c r="BH712" s="14"/>
      <c r="BI712" s="14"/>
      <c r="BJ712" s="14"/>
      <c r="BK712" s="14"/>
      <c r="BL712" s="14"/>
      <c r="BM712" s="14"/>
      <c r="BN712" s="14"/>
    </row>
    <row r="713" ht="22.5" customHeight="1">
      <c r="A713" s="493"/>
      <c r="B713" s="350"/>
      <c r="C713" s="351"/>
      <c r="D713" s="447"/>
      <c r="E713" s="494"/>
      <c r="F713" s="495"/>
      <c r="G713" s="434"/>
      <c r="H713" s="394"/>
      <c r="I713" s="394"/>
      <c r="J713" s="477"/>
      <c r="K713" s="479"/>
      <c r="L713" s="496"/>
      <c r="M713" s="496"/>
      <c r="N713" s="360"/>
      <c r="O713" s="497"/>
      <c r="P713" s="362"/>
      <c r="Q713" s="387"/>
      <c r="R713" s="387"/>
      <c r="S713" s="439"/>
      <c r="T713" s="439"/>
      <c r="U713" s="498"/>
      <c r="V713" s="430"/>
      <c r="W713" s="382"/>
      <c r="X713" s="366"/>
      <c r="Y713" s="366"/>
      <c r="Z713" s="367"/>
      <c r="AA713" s="367"/>
      <c r="AB713" s="13"/>
      <c r="AC713" s="13"/>
      <c r="AD713" s="13"/>
      <c r="AE713" s="13"/>
      <c r="AF713" s="13"/>
      <c r="AG713" s="13"/>
      <c r="AH713" s="13"/>
      <c r="AI713" s="13"/>
      <c r="AJ713" s="13"/>
      <c r="AK713" s="13"/>
      <c r="AL713" s="13"/>
      <c r="AM713" s="14"/>
      <c r="AN713" s="14"/>
      <c r="AO713" s="14"/>
      <c r="AP713" s="14"/>
      <c r="AQ713" s="14"/>
      <c r="AR713" s="14"/>
      <c r="AS713" s="14"/>
      <c r="AT713" s="14"/>
      <c r="AU713" s="14"/>
      <c r="AV713" s="14"/>
      <c r="AW713" s="14"/>
      <c r="AX713" s="14"/>
      <c r="AY713" s="14"/>
      <c r="AZ713" s="14"/>
      <c r="BA713" s="14"/>
      <c r="BB713" s="14"/>
      <c r="BC713" s="14"/>
      <c r="BD713" s="14"/>
      <c r="BE713" s="14"/>
      <c r="BF713" s="14"/>
      <c r="BG713" s="14"/>
      <c r="BH713" s="14"/>
      <c r="BI713" s="14"/>
      <c r="BJ713" s="14"/>
      <c r="BK713" s="14"/>
      <c r="BL713" s="14"/>
      <c r="BM713" s="14"/>
      <c r="BN713" s="14"/>
    </row>
    <row r="714" ht="22.5" customHeight="1">
      <c r="A714" s="493"/>
      <c r="B714" s="350"/>
      <c r="C714" s="351"/>
      <c r="D714" s="447"/>
      <c r="E714" s="494"/>
      <c r="F714" s="495"/>
      <c r="G714" s="434"/>
      <c r="H714" s="394"/>
      <c r="I714" s="394"/>
      <c r="J714" s="477"/>
      <c r="K714" s="479"/>
      <c r="L714" s="496"/>
      <c r="M714" s="496"/>
      <c r="N714" s="360"/>
      <c r="O714" s="497"/>
      <c r="P714" s="362"/>
      <c r="Q714" s="387"/>
      <c r="R714" s="387"/>
      <c r="S714" s="439"/>
      <c r="T714" s="439"/>
      <c r="U714" s="498"/>
      <c r="V714" s="430"/>
      <c r="W714" s="382"/>
      <c r="X714" s="366"/>
      <c r="Y714" s="366"/>
      <c r="Z714" s="367"/>
      <c r="AA714" s="367"/>
      <c r="AB714" s="13"/>
      <c r="AC714" s="13"/>
      <c r="AD714" s="13"/>
      <c r="AE714" s="13"/>
      <c r="AF714" s="13"/>
      <c r="AG714" s="13"/>
      <c r="AH714" s="13"/>
      <c r="AI714" s="13"/>
      <c r="AJ714" s="13"/>
      <c r="AK714" s="13"/>
      <c r="AL714" s="13"/>
      <c r="AM714" s="14"/>
      <c r="AN714" s="14"/>
      <c r="AO714" s="14"/>
      <c r="AP714" s="14"/>
      <c r="AQ714" s="14"/>
      <c r="AR714" s="14"/>
      <c r="AS714" s="14"/>
      <c r="AT714" s="14"/>
      <c r="AU714" s="14"/>
      <c r="AV714" s="14"/>
      <c r="AW714" s="14"/>
      <c r="AX714" s="14"/>
      <c r="AY714" s="14"/>
      <c r="AZ714" s="14"/>
      <c r="BA714" s="14"/>
      <c r="BB714" s="14"/>
      <c r="BC714" s="14"/>
      <c r="BD714" s="14"/>
      <c r="BE714" s="14"/>
      <c r="BF714" s="14"/>
      <c r="BG714" s="14"/>
      <c r="BH714" s="14"/>
      <c r="BI714" s="14"/>
      <c r="BJ714" s="14"/>
      <c r="BK714" s="14"/>
      <c r="BL714" s="14"/>
      <c r="BM714" s="14"/>
      <c r="BN714" s="14"/>
    </row>
    <row r="715" ht="22.5" customHeight="1">
      <c r="A715" s="493"/>
      <c r="B715" s="350"/>
      <c r="C715" s="351"/>
      <c r="D715" s="447"/>
      <c r="E715" s="494"/>
      <c r="F715" s="495"/>
      <c r="G715" s="434"/>
      <c r="H715" s="394"/>
      <c r="I715" s="394"/>
      <c r="J715" s="477"/>
      <c r="K715" s="479"/>
      <c r="L715" s="496"/>
      <c r="M715" s="496"/>
      <c r="N715" s="360"/>
      <c r="O715" s="497"/>
      <c r="P715" s="362"/>
      <c r="Q715" s="387"/>
      <c r="R715" s="387"/>
      <c r="S715" s="439"/>
      <c r="T715" s="439"/>
      <c r="U715" s="498"/>
      <c r="V715" s="430"/>
      <c r="W715" s="382"/>
      <c r="X715" s="366"/>
      <c r="Y715" s="366"/>
      <c r="Z715" s="367"/>
      <c r="AA715" s="367"/>
      <c r="AB715" s="13"/>
      <c r="AC715" s="13"/>
      <c r="AD715" s="13"/>
      <c r="AE715" s="13"/>
      <c r="AF715" s="13"/>
      <c r="AG715" s="13"/>
      <c r="AH715" s="13"/>
      <c r="AI715" s="13"/>
      <c r="AJ715" s="13"/>
      <c r="AK715" s="13"/>
      <c r="AL715" s="13"/>
      <c r="AM715" s="14"/>
      <c r="AN715" s="14"/>
      <c r="AO715" s="14"/>
      <c r="AP715" s="14"/>
      <c r="AQ715" s="14"/>
      <c r="AR715" s="14"/>
      <c r="AS715" s="14"/>
      <c r="AT715" s="14"/>
      <c r="AU715" s="14"/>
      <c r="AV715" s="14"/>
      <c r="AW715" s="14"/>
      <c r="AX715" s="14"/>
      <c r="AY715" s="14"/>
      <c r="AZ715" s="14"/>
      <c r="BA715" s="14"/>
      <c r="BB715" s="14"/>
      <c r="BC715" s="14"/>
      <c r="BD715" s="14"/>
      <c r="BE715" s="14"/>
      <c r="BF715" s="14"/>
      <c r="BG715" s="14"/>
      <c r="BH715" s="14"/>
      <c r="BI715" s="14"/>
      <c r="BJ715" s="14"/>
      <c r="BK715" s="14"/>
      <c r="BL715" s="14"/>
      <c r="BM715" s="14"/>
      <c r="BN715" s="14"/>
    </row>
    <row r="716" ht="22.5" customHeight="1">
      <c r="A716" s="493"/>
      <c r="B716" s="350"/>
      <c r="C716" s="351"/>
      <c r="D716" s="447"/>
      <c r="E716" s="494"/>
      <c r="F716" s="495"/>
      <c r="G716" s="434"/>
      <c r="H716" s="394"/>
      <c r="I716" s="394"/>
      <c r="J716" s="477"/>
      <c r="K716" s="479"/>
      <c r="L716" s="496"/>
      <c r="M716" s="496"/>
      <c r="N716" s="360"/>
      <c r="O716" s="497"/>
      <c r="P716" s="362"/>
      <c r="Q716" s="387"/>
      <c r="R716" s="387"/>
      <c r="S716" s="439"/>
      <c r="T716" s="439"/>
      <c r="U716" s="498"/>
      <c r="V716" s="430"/>
      <c r="W716" s="382"/>
      <c r="X716" s="366"/>
      <c r="Y716" s="366"/>
      <c r="Z716" s="367"/>
      <c r="AA716" s="367"/>
      <c r="AB716" s="13"/>
      <c r="AC716" s="13"/>
      <c r="AD716" s="13"/>
      <c r="AE716" s="13"/>
      <c r="AF716" s="13"/>
      <c r="AG716" s="13"/>
      <c r="AH716" s="13"/>
      <c r="AI716" s="13"/>
      <c r="AJ716" s="13"/>
      <c r="AK716" s="13"/>
      <c r="AL716" s="13"/>
      <c r="AM716" s="14"/>
      <c r="AN716" s="14"/>
      <c r="AO716" s="14"/>
      <c r="AP716" s="14"/>
      <c r="AQ716" s="14"/>
      <c r="AR716" s="14"/>
      <c r="AS716" s="14"/>
      <c r="AT716" s="14"/>
      <c r="AU716" s="14"/>
      <c r="AV716" s="14"/>
      <c r="AW716" s="14"/>
      <c r="AX716" s="14"/>
      <c r="AY716" s="14"/>
      <c r="AZ716" s="14"/>
      <c r="BA716" s="14"/>
      <c r="BB716" s="14"/>
      <c r="BC716" s="14"/>
      <c r="BD716" s="14"/>
      <c r="BE716" s="14"/>
      <c r="BF716" s="14"/>
      <c r="BG716" s="14"/>
      <c r="BH716" s="14"/>
      <c r="BI716" s="14"/>
      <c r="BJ716" s="14"/>
      <c r="BK716" s="14"/>
      <c r="BL716" s="14"/>
      <c r="BM716" s="14"/>
      <c r="BN716" s="14"/>
    </row>
    <row r="717" ht="22.5" customHeight="1">
      <c r="A717" s="493"/>
      <c r="B717" s="350"/>
      <c r="C717" s="351"/>
      <c r="D717" s="447"/>
      <c r="E717" s="494"/>
      <c r="F717" s="495"/>
      <c r="G717" s="434"/>
      <c r="H717" s="394"/>
      <c r="I717" s="394"/>
      <c r="J717" s="477"/>
      <c r="K717" s="479"/>
      <c r="L717" s="496"/>
      <c r="M717" s="496"/>
      <c r="N717" s="360"/>
      <c r="O717" s="497"/>
      <c r="P717" s="362"/>
      <c r="Q717" s="387"/>
      <c r="R717" s="387"/>
      <c r="S717" s="439"/>
      <c r="T717" s="439"/>
      <c r="U717" s="498"/>
      <c r="V717" s="430"/>
      <c r="W717" s="382"/>
      <c r="X717" s="366"/>
      <c r="Y717" s="366"/>
      <c r="Z717" s="367"/>
      <c r="AA717" s="367"/>
      <c r="AB717" s="13"/>
      <c r="AC717" s="13"/>
      <c r="AD717" s="13"/>
      <c r="AE717" s="13"/>
      <c r="AF717" s="13"/>
      <c r="AG717" s="13"/>
      <c r="AH717" s="13"/>
      <c r="AI717" s="13"/>
      <c r="AJ717" s="13"/>
      <c r="AK717" s="13"/>
      <c r="AL717" s="13"/>
      <c r="AM717" s="14"/>
      <c r="AN717" s="14"/>
      <c r="AO717" s="14"/>
      <c r="AP717" s="14"/>
      <c r="AQ717" s="14"/>
      <c r="AR717" s="14"/>
      <c r="AS717" s="14"/>
      <c r="AT717" s="14"/>
      <c r="AU717" s="14"/>
      <c r="AV717" s="14"/>
      <c r="AW717" s="14"/>
      <c r="AX717" s="14"/>
      <c r="AY717" s="14"/>
      <c r="AZ717" s="14"/>
      <c r="BA717" s="14"/>
      <c r="BB717" s="14"/>
      <c r="BC717" s="14"/>
      <c r="BD717" s="14"/>
      <c r="BE717" s="14"/>
      <c r="BF717" s="14"/>
      <c r="BG717" s="14"/>
      <c r="BH717" s="14"/>
      <c r="BI717" s="14"/>
      <c r="BJ717" s="14"/>
      <c r="BK717" s="14"/>
      <c r="BL717" s="14"/>
      <c r="BM717" s="14"/>
      <c r="BN717" s="14"/>
    </row>
    <row r="718" ht="22.5" customHeight="1">
      <c r="A718" s="493"/>
      <c r="B718" s="350"/>
      <c r="C718" s="351"/>
      <c r="D718" s="447"/>
      <c r="E718" s="494"/>
      <c r="F718" s="495"/>
      <c r="G718" s="434"/>
      <c r="H718" s="394"/>
      <c r="I718" s="394"/>
      <c r="J718" s="477"/>
      <c r="K718" s="479"/>
      <c r="L718" s="496"/>
      <c r="M718" s="496"/>
      <c r="N718" s="360"/>
      <c r="O718" s="497"/>
      <c r="P718" s="362"/>
      <c r="Q718" s="387"/>
      <c r="R718" s="387"/>
      <c r="S718" s="439"/>
      <c r="T718" s="439"/>
      <c r="U718" s="498"/>
      <c r="V718" s="430"/>
      <c r="W718" s="382"/>
      <c r="X718" s="366"/>
      <c r="Y718" s="366"/>
      <c r="Z718" s="367"/>
      <c r="AA718" s="367"/>
      <c r="AB718" s="13"/>
      <c r="AC718" s="13"/>
      <c r="AD718" s="13"/>
      <c r="AE718" s="13"/>
      <c r="AF718" s="13"/>
      <c r="AG718" s="13"/>
      <c r="AH718" s="13"/>
      <c r="AI718" s="13"/>
      <c r="AJ718" s="13"/>
      <c r="AK718" s="13"/>
      <c r="AL718" s="13"/>
      <c r="AM718" s="14"/>
      <c r="AN718" s="14"/>
      <c r="AO718" s="14"/>
      <c r="AP718" s="14"/>
      <c r="AQ718" s="14"/>
      <c r="AR718" s="14"/>
      <c r="AS718" s="14"/>
      <c r="AT718" s="14"/>
      <c r="AU718" s="14"/>
      <c r="AV718" s="14"/>
      <c r="AW718" s="14"/>
      <c r="AX718" s="14"/>
      <c r="AY718" s="14"/>
      <c r="AZ718" s="14"/>
      <c r="BA718" s="14"/>
      <c r="BB718" s="14"/>
      <c r="BC718" s="14"/>
      <c r="BD718" s="14"/>
      <c r="BE718" s="14"/>
      <c r="BF718" s="14"/>
      <c r="BG718" s="14"/>
      <c r="BH718" s="14"/>
      <c r="BI718" s="14"/>
      <c r="BJ718" s="14"/>
      <c r="BK718" s="14"/>
      <c r="BL718" s="14"/>
      <c r="BM718" s="14"/>
      <c r="BN718" s="14"/>
    </row>
    <row r="719" ht="22.5" customHeight="1">
      <c r="A719" s="493"/>
      <c r="B719" s="350"/>
      <c r="C719" s="351"/>
      <c r="D719" s="447"/>
      <c r="E719" s="494"/>
      <c r="F719" s="495"/>
      <c r="G719" s="434"/>
      <c r="H719" s="394"/>
      <c r="I719" s="394"/>
      <c r="J719" s="477"/>
      <c r="K719" s="479"/>
      <c r="L719" s="496"/>
      <c r="M719" s="496"/>
      <c r="N719" s="360"/>
      <c r="O719" s="497"/>
      <c r="P719" s="362"/>
      <c r="Q719" s="387"/>
      <c r="R719" s="387"/>
      <c r="S719" s="439"/>
      <c r="T719" s="439"/>
      <c r="U719" s="498"/>
      <c r="V719" s="430"/>
      <c r="W719" s="382"/>
      <c r="X719" s="366"/>
      <c r="Y719" s="366"/>
      <c r="Z719" s="367"/>
      <c r="AA719" s="367"/>
      <c r="AB719" s="13"/>
      <c r="AC719" s="13"/>
      <c r="AD719" s="13"/>
      <c r="AE719" s="13"/>
      <c r="AF719" s="13"/>
      <c r="AG719" s="13"/>
      <c r="AH719" s="13"/>
      <c r="AI719" s="13"/>
      <c r="AJ719" s="13"/>
      <c r="AK719" s="13"/>
      <c r="AL719" s="13"/>
      <c r="AM719" s="14"/>
      <c r="AN719" s="14"/>
      <c r="AO719" s="14"/>
      <c r="AP719" s="14"/>
      <c r="AQ719" s="14"/>
      <c r="AR719" s="14"/>
      <c r="AS719" s="14"/>
      <c r="AT719" s="14"/>
      <c r="AU719" s="14"/>
      <c r="AV719" s="14"/>
      <c r="AW719" s="14"/>
      <c r="AX719" s="14"/>
      <c r="AY719" s="14"/>
      <c r="AZ719" s="14"/>
      <c r="BA719" s="14"/>
      <c r="BB719" s="14"/>
      <c r="BC719" s="14"/>
      <c r="BD719" s="14"/>
      <c r="BE719" s="14"/>
      <c r="BF719" s="14"/>
      <c r="BG719" s="14"/>
      <c r="BH719" s="14"/>
      <c r="BI719" s="14"/>
      <c r="BJ719" s="14"/>
      <c r="BK719" s="14"/>
      <c r="BL719" s="14"/>
      <c r="BM719" s="14"/>
      <c r="BN719" s="14"/>
    </row>
    <row r="720" ht="22.5" customHeight="1">
      <c r="A720" s="493"/>
      <c r="B720" s="350"/>
      <c r="C720" s="351"/>
      <c r="D720" s="447"/>
      <c r="E720" s="494"/>
      <c r="F720" s="495"/>
      <c r="G720" s="434"/>
      <c r="H720" s="394"/>
      <c r="I720" s="394"/>
      <c r="J720" s="477"/>
      <c r="K720" s="479"/>
      <c r="L720" s="496"/>
      <c r="M720" s="496"/>
      <c r="N720" s="360"/>
      <c r="O720" s="497"/>
      <c r="P720" s="362"/>
      <c r="Q720" s="387"/>
      <c r="R720" s="387"/>
      <c r="S720" s="439"/>
      <c r="T720" s="439"/>
      <c r="U720" s="498"/>
      <c r="V720" s="430"/>
      <c r="W720" s="382"/>
      <c r="X720" s="366"/>
      <c r="Y720" s="366"/>
      <c r="Z720" s="367"/>
      <c r="AA720" s="367"/>
      <c r="AB720" s="13"/>
      <c r="AC720" s="13"/>
      <c r="AD720" s="13"/>
      <c r="AE720" s="13"/>
      <c r="AF720" s="13"/>
      <c r="AG720" s="13"/>
      <c r="AH720" s="13"/>
      <c r="AI720" s="13"/>
      <c r="AJ720" s="13"/>
      <c r="AK720" s="13"/>
      <c r="AL720" s="13"/>
      <c r="AM720" s="14"/>
      <c r="AN720" s="14"/>
      <c r="AO720" s="14"/>
      <c r="AP720" s="14"/>
      <c r="AQ720" s="14"/>
      <c r="AR720" s="14"/>
      <c r="AS720" s="14"/>
      <c r="AT720" s="14"/>
      <c r="AU720" s="14"/>
      <c r="AV720" s="14"/>
      <c r="AW720" s="14"/>
      <c r="AX720" s="14"/>
      <c r="AY720" s="14"/>
      <c r="AZ720" s="14"/>
      <c r="BA720" s="14"/>
      <c r="BB720" s="14"/>
      <c r="BC720" s="14"/>
      <c r="BD720" s="14"/>
      <c r="BE720" s="14"/>
      <c r="BF720" s="14"/>
      <c r="BG720" s="14"/>
      <c r="BH720" s="14"/>
      <c r="BI720" s="14"/>
      <c r="BJ720" s="14"/>
      <c r="BK720" s="14"/>
      <c r="BL720" s="14"/>
      <c r="BM720" s="14"/>
      <c r="BN720" s="14"/>
    </row>
    <row r="721" ht="22.5" customHeight="1">
      <c r="A721" s="493"/>
      <c r="B721" s="350"/>
      <c r="C721" s="351"/>
      <c r="D721" s="447"/>
      <c r="E721" s="494"/>
      <c r="F721" s="495"/>
      <c r="G721" s="434"/>
      <c r="H721" s="394"/>
      <c r="I721" s="394"/>
      <c r="J721" s="477"/>
      <c r="K721" s="479"/>
      <c r="L721" s="496"/>
      <c r="M721" s="496"/>
      <c r="N721" s="360"/>
      <c r="O721" s="497"/>
      <c r="P721" s="362"/>
      <c r="Q721" s="387"/>
      <c r="R721" s="387"/>
      <c r="S721" s="439"/>
      <c r="T721" s="439"/>
      <c r="U721" s="498"/>
      <c r="V721" s="430"/>
      <c r="W721" s="382"/>
      <c r="X721" s="366"/>
      <c r="Y721" s="366"/>
      <c r="Z721" s="367"/>
      <c r="AA721" s="367"/>
      <c r="AB721" s="13"/>
      <c r="AC721" s="13"/>
      <c r="AD721" s="13"/>
      <c r="AE721" s="13"/>
      <c r="AF721" s="13"/>
      <c r="AG721" s="13"/>
      <c r="AH721" s="13"/>
      <c r="AI721" s="13"/>
      <c r="AJ721" s="13"/>
      <c r="AK721" s="13"/>
      <c r="AL721" s="13"/>
      <c r="AM721" s="14"/>
      <c r="AN721" s="14"/>
      <c r="AO721" s="14"/>
      <c r="AP721" s="14"/>
      <c r="AQ721" s="14"/>
      <c r="AR721" s="14"/>
      <c r="AS721" s="14"/>
      <c r="AT721" s="14"/>
      <c r="AU721" s="14"/>
      <c r="AV721" s="14"/>
      <c r="AW721" s="14"/>
      <c r="AX721" s="14"/>
      <c r="AY721" s="14"/>
      <c r="AZ721" s="14"/>
      <c r="BA721" s="14"/>
      <c r="BB721" s="14"/>
      <c r="BC721" s="14"/>
      <c r="BD721" s="14"/>
      <c r="BE721" s="14"/>
      <c r="BF721" s="14"/>
      <c r="BG721" s="14"/>
      <c r="BH721" s="14"/>
      <c r="BI721" s="14"/>
      <c r="BJ721" s="14"/>
      <c r="BK721" s="14"/>
      <c r="BL721" s="14"/>
      <c r="BM721" s="14"/>
      <c r="BN721" s="14"/>
    </row>
    <row r="722" ht="22.5" customHeight="1">
      <c r="A722" s="493"/>
      <c r="B722" s="350"/>
      <c r="C722" s="351"/>
      <c r="D722" s="447"/>
      <c r="E722" s="494"/>
      <c r="F722" s="495"/>
      <c r="G722" s="434"/>
      <c r="H722" s="394"/>
      <c r="I722" s="394"/>
      <c r="J722" s="477"/>
      <c r="K722" s="479"/>
      <c r="L722" s="496"/>
      <c r="M722" s="496"/>
      <c r="N722" s="360"/>
      <c r="O722" s="497"/>
      <c r="P722" s="362"/>
      <c r="Q722" s="387"/>
      <c r="R722" s="387"/>
      <c r="S722" s="439"/>
      <c r="T722" s="439"/>
      <c r="U722" s="498"/>
      <c r="V722" s="430"/>
      <c r="W722" s="382"/>
      <c r="X722" s="366"/>
      <c r="Y722" s="366"/>
      <c r="Z722" s="367"/>
      <c r="AA722" s="367"/>
      <c r="AB722" s="13"/>
      <c r="AC722" s="13"/>
      <c r="AD722" s="13"/>
      <c r="AE722" s="13"/>
      <c r="AF722" s="13"/>
      <c r="AG722" s="13"/>
      <c r="AH722" s="13"/>
      <c r="AI722" s="13"/>
      <c r="AJ722" s="13"/>
      <c r="AK722" s="13"/>
      <c r="AL722" s="13"/>
      <c r="AM722" s="14"/>
      <c r="AN722" s="14"/>
      <c r="AO722" s="14"/>
      <c r="AP722" s="14"/>
      <c r="AQ722" s="14"/>
      <c r="AR722" s="14"/>
      <c r="AS722" s="14"/>
      <c r="AT722" s="14"/>
      <c r="AU722" s="14"/>
      <c r="AV722" s="14"/>
      <c r="AW722" s="14"/>
      <c r="AX722" s="14"/>
      <c r="AY722" s="14"/>
      <c r="AZ722" s="14"/>
      <c r="BA722" s="14"/>
      <c r="BB722" s="14"/>
      <c r="BC722" s="14"/>
      <c r="BD722" s="14"/>
      <c r="BE722" s="14"/>
      <c r="BF722" s="14"/>
      <c r="BG722" s="14"/>
      <c r="BH722" s="14"/>
      <c r="BI722" s="14"/>
      <c r="BJ722" s="14"/>
      <c r="BK722" s="14"/>
      <c r="BL722" s="14"/>
      <c r="BM722" s="14"/>
      <c r="BN722" s="14"/>
    </row>
    <row r="723" ht="22.5" customHeight="1">
      <c r="A723" s="493"/>
      <c r="B723" s="350"/>
      <c r="C723" s="351"/>
      <c r="D723" s="447"/>
      <c r="E723" s="494"/>
      <c r="F723" s="495"/>
      <c r="G723" s="434"/>
      <c r="H723" s="394"/>
      <c r="I723" s="394"/>
      <c r="J723" s="477"/>
      <c r="K723" s="479"/>
      <c r="L723" s="496"/>
      <c r="M723" s="496"/>
      <c r="N723" s="360"/>
      <c r="O723" s="497"/>
      <c r="P723" s="362"/>
      <c r="Q723" s="387"/>
      <c r="R723" s="387"/>
      <c r="S723" s="439"/>
      <c r="T723" s="439"/>
      <c r="U723" s="498"/>
      <c r="V723" s="430"/>
      <c r="W723" s="382"/>
      <c r="X723" s="366"/>
      <c r="Y723" s="366"/>
      <c r="Z723" s="367"/>
      <c r="AA723" s="367"/>
      <c r="AB723" s="13"/>
      <c r="AC723" s="13"/>
      <c r="AD723" s="13"/>
      <c r="AE723" s="13"/>
      <c r="AF723" s="13"/>
      <c r="AG723" s="13"/>
      <c r="AH723" s="13"/>
      <c r="AI723" s="13"/>
      <c r="AJ723" s="13"/>
      <c r="AK723" s="13"/>
      <c r="AL723" s="13"/>
      <c r="AM723" s="14"/>
      <c r="AN723" s="14"/>
      <c r="AO723" s="14"/>
      <c r="AP723" s="14"/>
      <c r="AQ723" s="14"/>
      <c r="AR723" s="14"/>
      <c r="AS723" s="14"/>
      <c r="AT723" s="14"/>
      <c r="AU723" s="14"/>
      <c r="AV723" s="14"/>
      <c r="AW723" s="14"/>
      <c r="AX723" s="14"/>
      <c r="AY723" s="14"/>
      <c r="AZ723" s="14"/>
      <c r="BA723" s="14"/>
      <c r="BB723" s="14"/>
      <c r="BC723" s="14"/>
      <c r="BD723" s="14"/>
      <c r="BE723" s="14"/>
      <c r="BF723" s="14"/>
      <c r="BG723" s="14"/>
      <c r="BH723" s="14"/>
      <c r="BI723" s="14"/>
      <c r="BJ723" s="14"/>
      <c r="BK723" s="14"/>
      <c r="BL723" s="14"/>
      <c r="BM723" s="14"/>
      <c r="BN723" s="14"/>
    </row>
    <row r="724" ht="22.5" customHeight="1">
      <c r="A724" s="493"/>
      <c r="B724" s="350"/>
      <c r="C724" s="351"/>
      <c r="D724" s="447"/>
      <c r="E724" s="494"/>
      <c r="F724" s="495"/>
      <c r="G724" s="434"/>
      <c r="H724" s="394"/>
      <c r="I724" s="394"/>
      <c r="J724" s="477"/>
      <c r="K724" s="479"/>
      <c r="L724" s="496"/>
      <c r="M724" s="496"/>
      <c r="N724" s="360"/>
      <c r="O724" s="497"/>
      <c r="P724" s="362"/>
      <c r="Q724" s="387"/>
      <c r="R724" s="387"/>
      <c r="S724" s="439"/>
      <c r="T724" s="439"/>
      <c r="U724" s="498"/>
      <c r="V724" s="430"/>
      <c r="W724" s="382"/>
      <c r="X724" s="366"/>
      <c r="Y724" s="366"/>
      <c r="Z724" s="367"/>
      <c r="AA724" s="367"/>
      <c r="AB724" s="13"/>
      <c r="AC724" s="13"/>
      <c r="AD724" s="13"/>
      <c r="AE724" s="13"/>
      <c r="AF724" s="13"/>
      <c r="AG724" s="13"/>
      <c r="AH724" s="13"/>
      <c r="AI724" s="13"/>
      <c r="AJ724" s="13"/>
      <c r="AK724" s="13"/>
      <c r="AL724" s="13"/>
      <c r="AM724" s="14"/>
      <c r="AN724" s="14"/>
      <c r="AO724" s="14"/>
      <c r="AP724" s="14"/>
      <c r="AQ724" s="14"/>
      <c r="AR724" s="14"/>
      <c r="AS724" s="14"/>
      <c r="AT724" s="14"/>
      <c r="AU724" s="14"/>
      <c r="AV724" s="14"/>
      <c r="AW724" s="14"/>
      <c r="AX724" s="14"/>
      <c r="AY724" s="14"/>
      <c r="AZ724" s="14"/>
      <c r="BA724" s="14"/>
      <c r="BB724" s="14"/>
      <c r="BC724" s="14"/>
      <c r="BD724" s="14"/>
      <c r="BE724" s="14"/>
      <c r="BF724" s="14"/>
      <c r="BG724" s="14"/>
      <c r="BH724" s="14"/>
      <c r="BI724" s="14"/>
      <c r="BJ724" s="14"/>
      <c r="BK724" s="14"/>
      <c r="BL724" s="14"/>
      <c r="BM724" s="14"/>
      <c r="BN724" s="14"/>
    </row>
    <row r="725" ht="22.5" customHeight="1">
      <c r="A725" s="493"/>
      <c r="B725" s="350"/>
      <c r="C725" s="351"/>
      <c r="D725" s="447"/>
      <c r="E725" s="494"/>
      <c r="F725" s="495"/>
      <c r="G725" s="434"/>
      <c r="H725" s="394"/>
      <c r="I725" s="394"/>
      <c r="J725" s="477"/>
      <c r="K725" s="479"/>
      <c r="L725" s="496"/>
      <c r="M725" s="496"/>
      <c r="N725" s="360"/>
      <c r="O725" s="497"/>
      <c r="P725" s="362"/>
      <c r="Q725" s="387"/>
      <c r="R725" s="387"/>
      <c r="S725" s="439"/>
      <c r="T725" s="439"/>
      <c r="U725" s="498"/>
      <c r="V725" s="430"/>
      <c r="W725" s="382"/>
      <c r="X725" s="366"/>
      <c r="Y725" s="366"/>
      <c r="Z725" s="367"/>
      <c r="AA725" s="367"/>
      <c r="AB725" s="13"/>
      <c r="AC725" s="13"/>
      <c r="AD725" s="13"/>
      <c r="AE725" s="13"/>
      <c r="AF725" s="13"/>
      <c r="AG725" s="13"/>
      <c r="AH725" s="13"/>
      <c r="AI725" s="13"/>
      <c r="AJ725" s="13"/>
      <c r="AK725" s="13"/>
      <c r="AL725" s="13"/>
      <c r="AM725" s="14"/>
      <c r="AN725" s="14"/>
      <c r="AO725" s="14"/>
      <c r="AP725" s="14"/>
      <c r="AQ725" s="14"/>
      <c r="AR725" s="14"/>
      <c r="AS725" s="14"/>
      <c r="AT725" s="14"/>
      <c r="AU725" s="14"/>
      <c r="AV725" s="14"/>
      <c r="AW725" s="14"/>
      <c r="AX725" s="14"/>
      <c r="AY725" s="14"/>
      <c r="AZ725" s="14"/>
      <c r="BA725" s="14"/>
      <c r="BB725" s="14"/>
      <c r="BC725" s="14"/>
      <c r="BD725" s="14"/>
      <c r="BE725" s="14"/>
      <c r="BF725" s="14"/>
      <c r="BG725" s="14"/>
      <c r="BH725" s="14"/>
      <c r="BI725" s="14"/>
      <c r="BJ725" s="14"/>
      <c r="BK725" s="14"/>
      <c r="BL725" s="14"/>
      <c r="BM725" s="14"/>
      <c r="BN725" s="14"/>
    </row>
    <row r="726" ht="22.5" customHeight="1">
      <c r="A726" s="493"/>
      <c r="B726" s="350"/>
      <c r="C726" s="351"/>
      <c r="D726" s="447"/>
      <c r="E726" s="494"/>
      <c r="F726" s="495"/>
      <c r="G726" s="434"/>
      <c r="H726" s="394"/>
      <c r="I726" s="394"/>
      <c r="J726" s="477"/>
      <c r="K726" s="479"/>
      <c r="L726" s="496"/>
      <c r="M726" s="496"/>
      <c r="N726" s="360"/>
      <c r="O726" s="497"/>
      <c r="P726" s="362"/>
      <c r="Q726" s="387"/>
      <c r="R726" s="387"/>
      <c r="S726" s="439"/>
      <c r="T726" s="439"/>
      <c r="U726" s="498"/>
      <c r="V726" s="430"/>
      <c r="W726" s="382"/>
      <c r="X726" s="366"/>
      <c r="Y726" s="366"/>
      <c r="Z726" s="367"/>
      <c r="AA726" s="367"/>
      <c r="AB726" s="13"/>
      <c r="AC726" s="13"/>
      <c r="AD726" s="13"/>
      <c r="AE726" s="13"/>
      <c r="AF726" s="13"/>
      <c r="AG726" s="13"/>
      <c r="AH726" s="13"/>
      <c r="AI726" s="13"/>
      <c r="AJ726" s="13"/>
      <c r="AK726" s="13"/>
      <c r="AL726" s="13"/>
      <c r="AM726" s="14"/>
      <c r="AN726" s="14"/>
      <c r="AO726" s="14"/>
      <c r="AP726" s="14"/>
      <c r="AQ726" s="14"/>
      <c r="AR726" s="14"/>
      <c r="AS726" s="14"/>
      <c r="AT726" s="14"/>
      <c r="AU726" s="14"/>
      <c r="AV726" s="14"/>
      <c r="AW726" s="14"/>
      <c r="AX726" s="14"/>
      <c r="AY726" s="14"/>
      <c r="AZ726" s="14"/>
      <c r="BA726" s="14"/>
      <c r="BB726" s="14"/>
      <c r="BC726" s="14"/>
      <c r="BD726" s="14"/>
      <c r="BE726" s="14"/>
      <c r="BF726" s="14"/>
      <c r="BG726" s="14"/>
      <c r="BH726" s="14"/>
      <c r="BI726" s="14"/>
      <c r="BJ726" s="14"/>
      <c r="BK726" s="14"/>
      <c r="BL726" s="14"/>
      <c r="BM726" s="14"/>
      <c r="BN726" s="14"/>
    </row>
    <row r="727" ht="22.5" customHeight="1">
      <c r="A727" s="493"/>
      <c r="B727" s="350"/>
      <c r="C727" s="351"/>
      <c r="D727" s="447"/>
      <c r="E727" s="494"/>
      <c r="F727" s="495"/>
      <c r="G727" s="434"/>
      <c r="H727" s="394"/>
      <c r="I727" s="394"/>
      <c r="J727" s="477"/>
      <c r="K727" s="479"/>
      <c r="L727" s="496"/>
      <c r="M727" s="496"/>
      <c r="N727" s="360"/>
      <c r="O727" s="497"/>
      <c r="P727" s="362"/>
      <c r="Q727" s="387"/>
      <c r="R727" s="387"/>
      <c r="S727" s="439"/>
      <c r="T727" s="439"/>
      <c r="U727" s="498"/>
      <c r="V727" s="430"/>
      <c r="W727" s="382"/>
      <c r="X727" s="366"/>
      <c r="Y727" s="366"/>
      <c r="Z727" s="367"/>
      <c r="AA727" s="367"/>
      <c r="AB727" s="13"/>
      <c r="AC727" s="13"/>
      <c r="AD727" s="13"/>
      <c r="AE727" s="13"/>
      <c r="AF727" s="13"/>
      <c r="AG727" s="13"/>
      <c r="AH727" s="13"/>
      <c r="AI727" s="13"/>
      <c r="AJ727" s="13"/>
      <c r="AK727" s="13"/>
      <c r="AL727" s="13"/>
      <c r="AM727" s="14"/>
      <c r="AN727" s="14"/>
      <c r="AO727" s="14"/>
      <c r="AP727" s="14"/>
      <c r="AQ727" s="14"/>
      <c r="AR727" s="14"/>
      <c r="AS727" s="14"/>
      <c r="AT727" s="14"/>
      <c r="AU727" s="14"/>
      <c r="AV727" s="14"/>
      <c r="AW727" s="14"/>
      <c r="AX727" s="14"/>
      <c r="AY727" s="14"/>
      <c r="AZ727" s="14"/>
      <c r="BA727" s="14"/>
      <c r="BB727" s="14"/>
      <c r="BC727" s="14"/>
      <c r="BD727" s="14"/>
      <c r="BE727" s="14"/>
      <c r="BF727" s="14"/>
      <c r="BG727" s="14"/>
      <c r="BH727" s="14"/>
      <c r="BI727" s="14"/>
      <c r="BJ727" s="14"/>
      <c r="BK727" s="14"/>
      <c r="BL727" s="14"/>
      <c r="BM727" s="14"/>
      <c r="BN727" s="14"/>
    </row>
    <row r="728" ht="22.5" customHeight="1">
      <c r="A728" s="493"/>
      <c r="B728" s="350"/>
      <c r="C728" s="351"/>
      <c r="D728" s="447"/>
      <c r="E728" s="494"/>
      <c r="F728" s="495"/>
      <c r="G728" s="434"/>
      <c r="H728" s="394"/>
      <c r="I728" s="394"/>
      <c r="J728" s="477"/>
      <c r="K728" s="479"/>
      <c r="L728" s="496"/>
      <c r="M728" s="496"/>
      <c r="N728" s="360"/>
      <c r="O728" s="497"/>
      <c r="P728" s="362"/>
      <c r="Q728" s="387"/>
      <c r="R728" s="387"/>
      <c r="S728" s="439"/>
      <c r="T728" s="439"/>
      <c r="U728" s="498"/>
      <c r="V728" s="430"/>
      <c r="W728" s="382"/>
      <c r="X728" s="366"/>
      <c r="Y728" s="366"/>
      <c r="Z728" s="367"/>
      <c r="AA728" s="367"/>
      <c r="AB728" s="13"/>
      <c r="AC728" s="13"/>
      <c r="AD728" s="13"/>
      <c r="AE728" s="13"/>
      <c r="AF728" s="13"/>
      <c r="AG728" s="13"/>
      <c r="AH728" s="13"/>
      <c r="AI728" s="13"/>
      <c r="AJ728" s="13"/>
      <c r="AK728" s="13"/>
      <c r="AL728" s="13"/>
      <c r="AM728" s="14"/>
      <c r="AN728" s="14"/>
      <c r="AO728" s="14"/>
      <c r="AP728" s="14"/>
      <c r="AQ728" s="14"/>
      <c r="AR728" s="14"/>
      <c r="AS728" s="14"/>
      <c r="AT728" s="14"/>
      <c r="AU728" s="14"/>
      <c r="AV728" s="14"/>
      <c r="AW728" s="14"/>
      <c r="AX728" s="14"/>
      <c r="AY728" s="14"/>
      <c r="AZ728" s="14"/>
      <c r="BA728" s="14"/>
      <c r="BB728" s="14"/>
      <c r="BC728" s="14"/>
      <c r="BD728" s="14"/>
      <c r="BE728" s="14"/>
      <c r="BF728" s="14"/>
      <c r="BG728" s="14"/>
      <c r="BH728" s="14"/>
      <c r="BI728" s="14"/>
      <c r="BJ728" s="14"/>
      <c r="BK728" s="14"/>
      <c r="BL728" s="14"/>
      <c r="BM728" s="14"/>
      <c r="BN728" s="14"/>
    </row>
    <row r="729" ht="22.5" customHeight="1">
      <c r="A729" s="493"/>
      <c r="B729" s="350"/>
      <c r="C729" s="351"/>
      <c r="D729" s="447"/>
      <c r="E729" s="494"/>
      <c r="F729" s="495"/>
      <c r="G729" s="434"/>
      <c r="H729" s="394"/>
      <c r="I729" s="394"/>
      <c r="J729" s="477"/>
      <c r="K729" s="479"/>
      <c r="L729" s="496"/>
      <c r="M729" s="496"/>
      <c r="N729" s="360"/>
      <c r="O729" s="497"/>
      <c r="P729" s="362"/>
      <c r="Q729" s="387"/>
      <c r="R729" s="387"/>
      <c r="S729" s="439"/>
      <c r="T729" s="439"/>
      <c r="U729" s="498"/>
      <c r="V729" s="430"/>
      <c r="W729" s="382"/>
      <c r="X729" s="366"/>
      <c r="Y729" s="366"/>
      <c r="Z729" s="367"/>
      <c r="AA729" s="367"/>
      <c r="AB729" s="13"/>
      <c r="AC729" s="13"/>
      <c r="AD729" s="13"/>
      <c r="AE729" s="13"/>
      <c r="AF729" s="13"/>
      <c r="AG729" s="13"/>
      <c r="AH729" s="13"/>
      <c r="AI729" s="13"/>
      <c r="AJ729" s="13"/>
      <c r="AK729" s="13"/>
      <c r="AL729" s="13"/>
      <c r="AM729" s="14"/>
      <c r="AN729" s="14"/>
      <c r="AO729" s="14"/>
      <c r="AP729" s="14"/>
      <c r="AQ729" s="14"/>
      <c r="AR729" s="14"/>
      <c r="AS729" s="14"/>
      <c r="AT729" s="14"/>
      <c r="AU729" s="14"/>
      <c r="AV729" s="14"/>
      <c r="AW729" s="14"/>
      <c r="AX729" s="14"/>
      <c r="AY729" s="14"/>
      <c r="AZ729" s="14"/>
      <c r="BA729" s="14"/>
      <c r="BB729" s="14"/>
      <c r="BC729" s="14"/>
      <c r="BD729" s="14"/>
      <c r="BE729" s="14"/>
      <c r="BF729" s="14"/>
      <c r="BG729" s="14"/>
      <c r="BH729" s="14"/>
      <c r="BI729" s="14"/>
      <c r="BJ729" s="14"/>
      <c r="BK729" s="14"/>
      <c r="BL729" s="14"/>
      <c r="BM729" s="14"/>
      <c r="BN729" s="14"/>
    </row>
    <row r="730" ht="22.5" customHeight="1">
      <c r="A730" s="493"/>
      <c r="B730" s="350"/>
      <c r="C730" s="351"/>
      <c r="D730" s="447"/>
      <c r="E730" s="494"/>
      <c r="F730" s="495"/>
      <c r="G730" s="434"/>
      <c r="H730" s="394"/>
      <c r="I730" s="394"/>
      <c r="J730" s="477"/>
      <c r="K730" s="479"/>
      <c r="L730" s="496"/>
      <c r="M730" s="496"/>
      <c r="N730" s="360"/>
      <c r="O730" s="497"/>
      <c r="P730" s="362"/>
      <c r="Q730" s="387"/>
      <c r="R730" s="387"/>
      <c r="S730" s="439"/>
      <c r="T730" s="439"/>
      <c r="U730" s="498"/>
      <c r="V730" s="430"/>
      <c r="W730" s="382"/>
      <c r="X730" s="366"/>
      <c r="Y730" s="366"/>
      <c r="Z730" s="367"/>
      <c r="AA730" s="367"/>
      <c r="AB730" s="13"/>
      <c r="AC730" s="13"/>
      <c r="AD730" s="13"/>
      <c r="AE730" s="13"/>
      <c r="AF730" s="13"/>
      <c r="AG730" s="13"/>
      <c r="AH730" s="13"/>
      <c r="AI730" s="13"/>
      <c r="AJ730" s="13"/>
      <c r="AK730" s="13"/>
      <c r="AL730" s="13"/>
      <c r="AM730" s="14"/>
      <c r="AN730" s="14"/>
      <c r="AO730" s="14"/>
      <c r="AP730" s="14"/>
      <c r="AQ730" s="14"/>
      <c r="AR730" s="14"/>
      <c r="AS730" s="14"/>
      <c r="AT730" s="14"/>
      <c r="AU730" s="14"/>
      <c r="AV730" s="14"/>
      <c r="AW730" s="14"/>
      <c r="AX730" s="14"/>
      <c r="AY730" s="14"/>
      <c r="AZ730" s="14"/>
      <c r="BA730" s="14"/>
      <c r="BB730" s="14"/>
      <c r="BC730" s="14"/>
      <c r="BD730" s="14"/>
      <c r="BE730" s="14"/>
      <c r="BF730" s="14"/>
      <c r="BG730" s="14"/>
      <c r="BH730" s="14"/>
      <c r="BI730" s="14"/>
      <c r="BJ730" s="14"/>
      <c r="BK730" s="14"/>
      <c r="BL730" s="14"/>
      <c r="BM730" s="14"/>
      <c r="BN730" s="14"/>
    </row>
    <row r="731" ht="22.5" customHeight="1">
      <c r="A731" s="493"/>
      <c r="B731" s="350"/>
      <c r="C731" s="351"/>
      <c r="D731" s="447"/>
      <c r="E731" s="494"/>
      <c r="F731" s="495"/>
      <c r="G731" s="434"/>
      <c r="H731" s="394"/>
      <c r="I731" s="394"/>
      <c r="J731" s="477"/>
      <c r="K731" s="479"/>
      <c r="L731" s="496"/>
      <c r="M731" s="496"/>
      <c r="N731" s="360"/>
      <c r="O731" s="497"/>
      <c r="P731" s="362"/>
      <c r="Q731" s="387"/>
      <c r="R731" s="387"/>
      <c r="S731" s="439"/>
      <c r="T731" s="439"/>
      <c r="U731" s="498"/>
      <c r="V731" s="430"/>
      <c r="W731" s="382"/>
      <c r="X731" s="366"/>
      <c r="Y731" s="366"/>
      <c r="Z731" s="367"/>
      <c r="AA731" s="367"/>
      <c r="AB731" s="13"/>
      <c r="AC731" s="13"/>
      <c r="AD731" s="13"/>
      <c r="AE731" s="13"/>
      <c r="AF731" s="13"/>
      <c r="AG731" s="13"/>
      <c r="AH731" s="13"/>
      <c r="AI731" s="13"/>
      <c r="AJ731" s="13"/>
      <c r="AK731" s="13"/>
      <c r="AL731" s="13"/>
      <c r="AM731" s="14"/>
      <c r="AN731" s="14"/>
      <c r="AO731" s="14"/>
      <c r="AP731" s="14"/>
      <c r="AQ731" s="14"/>
      <c r="AR731" s="14"/>
      <c r="AS731" s="14"/>
      <c r="AT731" s="14"/>
      <c r="AU731" s="14"/>
      <c r="AV731" s="14"/>
      <c r="AW731" s="14"/>
      <c r="AX731" s="14"/>
      <c r="AY731" s="14"/>
      <c r="AZ731" s="14"/>
      <c r="BA731" s="14"/>
      <c r="BB731" s="14"/>
      <c r="BC731" s="14"/>
      <c r="BD731" s="14"/>
      <c r="BE731" s="14"/>
      <c r="BF731" s="14"/>
      <c r="BG731" s="14"/>
      <c r="BH731" s="14"/>
      <c r="BI731" s="14"/>
      <c r="BJ731" s="14"/>
      <c r="BK731" s="14"/>
      <c r="BL731" s="14"/>
      <c r="BM731" s="14"/>
      <c r="BN731" s="14"/>
    </row>
    <row r="732" ht="22.5" customHeight="1">
      <c r="A732" s="493"/>
      <c r="B732" s="350"/>
      <c r="C732" s="351"/>
      <c r="D732" s="447"/>
      <c r="E732" s="494"/>
      <c r="F732" s="495"/>
      <c r="G732" s="434"/>
      <c r="H732" s="394"/>
      <c r="I732" s="394"/>
      <c r="J732" s="477"/>
      <c r="K732" s="479"/>
      <c r="L732" s="496"/>
      <c r="M732" s="496"/>
      <c r="N732" s="360"/>
      <c r="O732" s="497"/>
      <c r="P732" s="362"/>
      <c r="Q732" s="387"/>
      <c r="R732" s="387"/>
      <c r="S732" s="439"/>
      <c r="T732" s="439"/>
      <c r="U732" s="498"/>
      <c r="V732" s="430"/>
      <c r="W732" s="382"/>
      <c r="X732" s="366"/>
      <c r="Y732" s="366"/>
      <c r="Z732" s="367"/>
      <c r="AA732" s="367"/>
      <c r="AB732" s="13"/>
      <c r="AC732" s="13"/>
      <c r="AD732" s="13"/>
      <c r="AE732" s="13"/>
      <c r="AF732" s="13"/>
      <c r="AG732" s="13"/>
      <c r="AH732" s="13"/>
      <c r="AI732" s="13"/>
      <c r="AJ732" s="13"/>
      <c r="AK732" s="13"/>
      <c r="AL732" s="13"/>
      <c r="AM732" s="14"/>
      <c r="AN732" s="14"/>
      <c r="AO732" s="14"/>
      <c r="AP732" s="14"/>
      <c r="AQ732" s="14"/>
      <c r="AR732" s="14"/>
      <c r="AS732" s="14"/>
      <c r="AT732" s="14"/>
      <c r="AU732" s="14"/>
      <c r="AV732" s="14"/>
      <c r="AW732" s="14"/>
      <c r="AX732" s="14"/>
      <c r="AY732" s="14"/>
      <c r="AZ732" s="14"/>
      <c r="BA732" s="14"/>
      <c r="BB732" s="14"/>
      <c r="BC732" s="14"/>
      <c r="BD732" s="14"/>
      <c r="BE732" s="14"/>
      <c r="BF732" s="14"/>
      <c r="BG732" s="14"/>
      <c r="BH732" s="14"/>
      <c r="BI732" s="14"/>
      <c r="BJ732" s="14"/>
      <c r="BK732" s="14"/>
      <c r="BL732" s="14"/>
      <c r="BM732" s="14"/>
      <c r="BN732" s="14"/>
    </row>
    <row r="733" ht="22.5" customHeight="1">
      <c r="A733" s="493"/>
      <c r="B733" s="350"/>
      <c r="C733" s="351"/>
      <c r="D733" s="447"/>
      <c r="E733" s="494"/>
      <c r="F733" s="495"/>
      <c r="G733" s="434"/>
      <c r="H733" s="394"/>
      <c r="I733" s="394"/>
      <c r="J733" s="477"/>
      <c r="K733" s="479"/>
      <c r="L733" s="496"/>
      <c r="M733" s="496"/>
      <c r="N733" s="360"/>
      <c r="O733" s="497"/>
      <c r="P733" s="362"/>
      <c r="Q733" s="387"/>
      <c r="R733" s="387"/>
      <c r="S733" s="439"/>
      <c r="T733" s="439"/>
      <c r="U733" s="498"/>
      <c r="V733" s="430"/>
      <c r="W733" s="382"/>
      <c r="X733" s="366"/>
      <c r="Y733" s="366"/>
      <c r="Z733" s="367"/>
      <c r="AA733" s="367"/>
      <c r="AB733" s="13"/>
      <c r="AC733" s="13"/>
      <c r="AD733" s="13"/>
      <c r="AE733" s="13"/>
      <c r="AF733" s="13"/>
      <c r="AG733" s="13"/>
      <c r="AH733" s="13"/>
      <c r="AI733" s="13"/>
      <c r="AJ733" s="13"/>
      <c r="AK733" s="13"/>
      <c r="AL733" s="13"/>
      <c r="AM733" s="14"/>
      <c r="AN733" s="14"/>
      <c r="AO733" s="14"/>
      <c r="AP733" s="14"/>
      <c r="AQ733" s="14"/>
      <c r="AR733" s="14"/>
      <c r="AS733" s="14"/>
      <c r="AT733" s="14"/>
      <c r="AU733" s="14"/>
      <c r="AV733" s="14"/>
      <c r="AW733" s="14"/>
      <c r="AX733" s="14"/>
      <c r="AY733" s="14"/>
      <c r="AZ733" s="14"/>
      <c r="BA733" s="14"/>
      <c r="BB733" s="14"/>
      <c r="BC733" s="14"/>
      <c r="BD733" s="14"/>
      <c r="BE733" s="14"/>
      <c r="BF733" s="14"/>
      <c r="BG733" s="14"/>
      <c r="BH733" s="14"/>
      <c r="BI733" s="14"/>
      <c r="BJ733" s="14"/>
      <c r="BK733" s="14"/>
      <c r="BL733" s="14"/>
      <c r="BM733" s="14"/>
      <c r="BN733" s="14"/>
    </row>
    <row r="734" ht="22.5" customHeight="1">
      <c r="A734" s="493"/>
      <c r="B734" s="350"/>
      <c r="C734" s="351"/>
      <c r="D734" s="447"/>
      <c r="E734" s="494"/>
      <c r="F734" s="495"/>
      <c r="G734" s="434"/>
      <c r="H734" s="394"/>
      <c r="I734" s="394"/>
      <c r="J734" s="477"/>
      <c r="K734" s="479"/>
      <c r="L734" s="496"/>
      <c r="M734" s="496"/>
      <c r="N734" s="360"/>
      <c r="O734" s="497"/>
      <c r="P734" s="362"/>
      <c r="Q734" s="387"/>
      <c r="R734" s="387"/>
      <c r="S734" s="439"/>
      <c r="T734" s="439"/>
      <c r="U734" s="498"/>
      <c r="V734" s="430"/>
      <c r="W734" s="382"/>
      <c r="X734" s="366"/>
      <c r="Y734" s="366"/>
      <c r="Z734" s="367"/>
      <c r="AA734" s="367"/>
      <c r="AB734" s="13"/>
      <c r="AC734" s="13"/>
      <c r="AD734" s="13"/>
      <c r="AE734" s="13"/>
      <c r="AF734" s="13"/>
      <c r="AG734" s="13"/>
      <c r="AH734" s="13"/>
      <c r="AI734" s="13"/>
      <c r="AJ734" s="13"/>
      <c r="AK734" s="13"/>
      <c r="AL734" s="13"/>
      <c r="AM734" s="14"/>
      <c r="AN734" s="14"/>
      <c r="AO734" s="14"/>
      <c r="AP734" s="14"/>
      <c r="AQ734" s="14"/>
      <c r="AR734" s="14"/>
      <c r="AS734" s="14"/>
      <c r="AT734" s="14"/>
      <c r="AU734" s="14"/>
      <c r="AV734" s="14"/>
      <c r="AW734" s="14"/>
      <c r="AX734" s="14"/>
      <c r="AY734" s="14"/>
      <c r="AZ734" s="14"/>
      <c r="BA734" s="14"/>
      <c r="BB734" s="14"/>
      <c r="BC734" s="14"/>
      <c r="BD734" s="14"/>
      <c r="BE734" s="14"/>
      <c r="BF734" s="14"/>
      <c r="BG734" s="14"/>
      <c r="BH734" s="14"/>
      <c r="BI734" s="14"/>
      <c r="BJ734" s="14"/>
      <c r="BK734" s="14"/>
      <c r="BL734" s="14"/>
      <c r="BM734" s="14"/>
      <c r="BN734" s="14"/>
    </row>
    <row r="735" ht="22.5" customHeight="1">
      <c r="A735" s="493"/>
      <c r="B735" s="350"/>
      <c r="C735" s="351"/>
      <c r="D735" s="447"/>
      <c r="E735" s="494"/>
      <c r="F735" s="495"/>
      <c r="G735" s="434"/>
      <c r="H735" s="394"/>
      <c r="I735" s="394"/>
      <c r="J735" s="477"/>
      <c r="K735" s="479"/>
      <c r="L735" s="496"/>
      <c r="M735" s="496"/>
      <c r="N735" s="360"/>
      <c r="O735" s="497"/>
      <c r="P735" s="362"/>
      <c r="Q735" s="387"/>
      <c r="R735" s="387"/>
      <c r="S735" s="439"/>
      <c r="T735" s="439"/>
      <c r="U735" s="498"/>
      <c r="V735" s="430"/>
      <c r="W735" s="382"/>
      <c r="X735" s="366"/>
      <c r="Y735" s="366"/>
      <c r="Z735" s="367"/>
      <c r="AA735" s="367"/>
      <c r="AB735" s="13"/>
      <c r="AC735" s="13"/>
      <c r="AD735" s="13"/>
      <c r="AE735" s="13"/>
      <c r="AF735" s="13"/>
      <c r="AG735" s="13"/>
      <c r="AH735" s="13"/>
      <c r="AI735" s="13"/>
      <c r="AJ735" s="13"/>
      <c r="AK735" s="13"/>
      <c r="AL735" s="13"/>
      <c r="AM735" s="14"/>
      <c r="AN735" s="14"/>
      <c r="AO735" s="14"/>
      <c r="AP735" s="14"/>
      <c r="AQ735" s="14"/>
      <c r="AR735" s="14"/>
      <c r="AS735" s="14"/>
      <c r="AT735" s="14"/>
      <c r="AU735" s="14"/>
      <c r="AV735" s="14"/>
      <c r="AW735" s="14"/>
      <c r="AX735" s="14"/>
      <c r="AY735" s="14"/>
      <c r="AZ735" s="14"/>
      <c r="BA735" s="14"/>
      <c r="BB735" s="14"/>
      <c r="BC735" s="14"/>
      <c r="BD735" s="14"/>
      <c r="BE735" s="14"/>
      <c r="BF735" s="14"/>
      <c r="BG735" s="14"/>
      <c r="BH735" s="14"/>
      <c r="BI735" s="14"/>
      <c r="BJ735" s="14"/>
      <c r="BK735" s="14"/>
      <c r="BL735" s="14"/>
      <c r="BM735" s="14"/>
      <c r="BN735" s="14"/>
    </row>
    <row r="736" ht="22.5" customHeight="1">
      <c r="A736" s="493"/>
      <c r="B736" s="350"/>
      <c r="C736" s="351"/>
      <c r="D736" s="447"/>
      <c r="E736" s="494"/>
      <c r="F736" s="495"/>
      <c r="G736" s="434"/>
      <c r="H736" s="394"/>
      <c r="I736" s="394"/>
      <c r="J736" s="477"/>
      <c r="K736" s="479"/>
      <c r="L736" s="496"/>
      <c r="M736" s="496"/>
      <c r="N736" s="360"/>
      <c r="O736" s="497"/>
      <c r="P736" s="362"/>
      <c r="Q736" s="387"/>
      <c r="R736" s="387"/>
      <c r="S736" s="439"/>
      <c r="T736" s="439"/>
      <c r="U736" s="498"/>
      <c r="V736" s="430"/>
      <c r="W736" s="382"/>
      <c r="X736" s="366"/>
      <c r="Y736" s="366"/>
      <c r="Z736" s="367"/>
      <c r="AA736" s="367"/>
      <c r="AB736" s="13"/>
      <c r="AC736" s="13"/>
      <c r="AD736" s="13"/>
      <c r="AE736" s="13"/>
      <c r="AF736" s="13"/>
      <c r="AG736" s="13"/>
      <c r="AH736" s="13"/>
      <c r="AI736" s="13"/>
      <c r="AJ736" s="13"/>
      <c r="AK736" s="13"/>
      <c r="AL736" s="13"/>
      <c r="AM736" s="14"/>
      <c r="AN736" s="14"/>
      <c r="AO736" s="14"/>
      <c r="AP736" s="14"/>
      <c r="AQ736" s="14"/>
      <c r="AR736" s="14"/>
      <c r="AS736" s="14"/>
      <c r="AT736" s="14"/>
      <c r="AU736" s="14"/>
      <c r="AV736" s="14"/>
      <c r="AW736" s="14"/>
      <c r="AX736" s="14"/>
      <c r="AY736" s="14"/>
      <c r="AZ736" s="14"/>
      <c r="BA736" s="14"/>
      <c r="BB736" s="14"/>
      <c r="BC736" s="14"/>
      <c r="BD736" s="14"/>
      <c r="BE736" s="14"/>
      <c r="BF736" s="14"/>
      <c r="BG736" s="14"/>
      <c r="BH736" s="14"/>
      <c r="BI736" s="14"/>
      <c r="BJ736" s="14"/>
      <c r="BK736" s="14"/>
      <c r="BL736" s="14"/>
      <c r="BM736" s="14"/>
      <c r="BN736" s="14"/>
    </row>
    <row r="737" ht="22.5" customHeight="1">
      <c r="A737" s="493"/>
      <c r="B737" s="350"/>
      <c r="C737" s="351"/>
      <c r="D737" s="447"/>
      <c r="E737" s="494"/>
      <c r="F737" s="495"/>
      <c r="G737" s="434"/>
      <c r="H737" s="394"/>
      <c r="I737" s="394"/>
      <c r="J737" s="477"/>
      <c r="K737" s="479"/>
      <c r="L737" s="496"/>
      <c r="M737" s="496"/>
      <c r="N737" s="360"/>
      <c r="O737" s="497"/>
      <c r="P737" s="362"/>
      <c r="Q737" s="387"/>
      <c r="R737" s="387"/>
      <c r="S737" s="439"/>
      <c r="T737" s="439"/>
      <c r="U737" s="498"/>
      <c r="V737" s="430"/>
      <c r="W737" s="382"/>
      <c r="X737" s="366"/>
      <c r="Y737" s="366"/>
      <c r="Z737" s="367"/>
      <c r="AA737" s="367"/>
      <c r="AB737" s="13"/>
      <c r="AC737" s="13"/>
      <c r="AD737" s="13"/>
      <c r="AE737" s="13"/>
      <c r="AF737" s="13"/>
      <c r="AG737" s="13"/>
      <c r="AH737" s="13"/>
      <c r="AI737" s="13"/>
      <c r="AJ737" s="13"/>
      <c r="AK737" s="13"/>
      <c r="AL737" s="13"/>
      <c r="AM737" s="14"/>
      <c r="AN737" s="14"/>
      <c r="AO737" s="14"/>
      <c r="AP737" s="14"/>
      <c r="AQ737" s="14"/>
      <c r="AR737" s="14"/>
      <c r="AS737" s="14"/>
      <c r="AT737" s="14"/>
      <c r="AU737" s="14"/>
      <c r="AV737" s="14"/>
      <c r="AW737" s="14"/>
      <c r="AX737" s="14"/>
      <c r="AY737" s="14"/>
      <c r="AZ737" s="14"/>
      <c r="BA737" s="14"/>
      <c r="BB737" s="14"/>
      <c r="BC737" s="14"/>
      <c r="BD737" s="14"/>
      <c r="BE737" s="14"/>
      <c r="BF737" s="14"/>
      <c r="BG737" s="14"/>
      <c r="BH737" s="14"/>
      <c r="BI737" s="14"/>
      <c r="BJ737" s="14"/>
      <c r="BK737" s="14"/>
      <c r="BL737" s="14"/>
      <c r="BM737" s="14"/>
      <c r="BN737" s="14"/>
    </row>
    <row r="738" ht="22.5" customHeight="1">
      <c r="A738" s="493"/>
      <c r="B738" s="350"/>
      <c r="C738" s="351"/>
      <c r="D738" s="447"/>
      <c r="E738" s="494"/>
      <c r="F738" s="495"/>
      <c r="G738" s="434"/>
      <c r="H738" s="394"/>
      <c r="I738" s="394"/>
      <c r="J738" s="477"/>
      <c r="K738" s="479"/>
      <c r="L738" s="496"/>
      <c r="M738" s="496"/>
      <c r="N738" s="360"/>
      <c r="O738" s="497"/>
      <c r="P738" s="362"/>
      <c r="Q738" s="387"/>
      <c r="R738" s="387"/>
      <c r="S738" s="439"/>
      <c r="T738" s="439"/>
      <c r="U738" s="498"/>
      <c r="V738" s="430"/>
      <c r="W738" s="382"/>
      <c r="X738" s="366"/>
      <c r="Y738" s="366"/>
      <c r="Z738" s="367"/>
      <c r="AA738" s="367"/>
      <c r="AB738" s="13"/>
      <c r="AC738" s="13"/>
      <c r="AD738" s="13"/>
      <c r="AE738" s="13"/>
      <c r="AF738" s="13"/>
      <c r="AG738" s="13"/>
      <c r="AH738" s="13"/>
      <c r="AI738" s="13"/>
      <c r="AJ738" s="13"/>
      <c r="AK738" s="13"/>
      <c r="AL738" s="13"/>
      <c r="AM738" s="14"/>
      <c r="AN738" s="14"/>
      <c r="AO738" s="14"/>
      <c r="AP738" s="14"/>
      <c r="AQ738" s="14"/>
      <c r="AR738" s="14"/>
      <c r="AS738" s="14"/>
      <c r="AT738" s="14"/>
      <c r="AU738" s="14"/>
      <c r="AV738" s="14"/>
      <c r="AW738" s="14"/>
      <c r="AX738" s="14"/>
      <c r="AY738" s="14"/>
      <c r="AZ738" s="14"/>
      <c r="BA738" s="14"/>
      <c r="BB738" s="14"/>
      <c r="BC738" s="14"/>
      <c r="BD738" s="14"/>
      <c r="BE738" s="14"/>
      <c r="BF738" s="14"/>
      <c r="BG738" s="14"/>
      <c r="BH738" s="14"/>
      <c r="BI738" s="14"/>
      <c r="BJ738" s="14"/>
      <c r="BK738" s="14"/>
      <c r="BL738" s="14"/>
      <c r="BM738" s="14"/>
      <c r="BN738" s="14"/>
    </row>
    <row r="739" ht="22.5" customHeight="1">
      <c r="A739" s="493"/>
      <c r="B739" s="350"/>
      <c r="C739" s="351"/>
      <c r="D739" s="447"/>
      <c r="E739" s="494"/>
      <c r="F739" s="495"/>
      <c r="G739" s="434"/>
      <c r="H739" s="394"/>
      <c r="I739" s="394"/>
      <c r="J739" s="477"/>
      <c r="K739" s="479"/>
      <c r="L739" s="496"/>
      <c r="M739" s="496"/>
      <c r="N739" s="360"/>
      <c r="O739" s="497"/>
      <c r="P739" s="362"/>
      <c r="Q739" s="387"/>
      <c r="R739" s="387"/>
      <c r="S739" s="439"/>
      <c r="T739" s="439"/>
      <c r="U739" s="498"/>
      <c r="V739" s="430"/>
      <c r="W739" s="382"/>
      <c r="X739" s="366"/>
      <c r="Y739" s="366"/>
      <c r="Z739" s="367"/>
      <c r="AA739" s="367"/>
      <c r="AB739" s="13"/>
      <c r="AC739" s="13"/>
      <c r="AD739" s="13"/>
      <c r="AE739" s="13"/>
      <c r="AF739" s="13"/>
      <c r="AG739" s="13"/>
      <c r="AH739" s="13"/>
      <c r="AI739" s="13"/>
      <c r="AJ739" s="13"/>
      <c r="AK739" s="13"/>
      <c r="AL739" s="13"/>
      <c r="AM739" s="14"/>
      <c r="AN739" s="14"/>
      <c r="AO739" s="14"/>
      <c r="AP739" s="14"/>
      <c r="AQ739" s="14"/>
      <c r="AR739" s="14"/>
      <c r="AS739" s="14"/>
      <c r="AT739" s="14"/>
      <c r="AU739" s="14"/>
      <c r="AV739" s="14"/>
      <c r="AW739" s="14"/>
      <c r="AX739" s="14"/>
      <c r="AY739" s="14"/>
      <c r="AZ739" s="14"/>
      <c r="BA739" s="14"/>
      <c r="BB739" s="14"/>
      <c r="BC739" s="14"/>
      <c r="BD739" s="14"/>
      <c r="BE739" s="14"/>
      <c r="BF739" s="14"/>
      <c r="BG739" s="14"/>
      <c r="BH739" s="14"/>
      <c r="BI739" s="14"/>
      <c r="BJ739" s="14"/>
      <c r="BK739" s="14"/>
      <c r="BL739" s="14"/>
      <c r="BM739" s="14"/>
      <c r="BN739" s="14"/>
    </row>
    <row r="740" ht="22.5" customHeight="1">
      <c r="A740" s="493"/>
      <c r="B740" s="350"/>
      <c r="C740" s="351"/>
      <c r="D740" s="447"/>
      <c r="E740" s="494"/>
      <c r="F740" s="495"/>
      <c r="G740" s="434"/>
      <c r="H740" s="394"/>
      <c r="I740" s="394"/>
      <c r="J740" s="477"/>
      <c r="K740" s="479"/>
      <c r="L740" s="496"/>
      <c r="M740" s="496"/>
      <c r="N740" s="360"/>
      <c r="O740" s="497"/>
      <c r="P740" s="362"/>
      <c r="Q740" s="387"/>
      <c r="R740" s="387"/>
      <c r="S740" s="439"/>
      <c r="T740" s="439"/>
      <c r="U740" s="498"/>
      <c r="V740" s="430"/>
      <c r="W740" s="382"/>
      <c r="X740" s="366"/>
      <c r="Y740" s="366"/>
      <c r="Z740" s="367"/>
      <c r="AA740" s="367"/>
      <c r="AB740" s="13"/>
      <c r="AC740" s="13"/>
      <c r="AD740" s="13"/>
      <c r="AE740" s="13"/>
      <c r="AF740" s="13"/>
      <c r="AG740" s="13"/>
      <c r="AH740" s="13"/>
      <c r="AI740" s="13"/>
      <c r="AJ740" s="13"/>
      <c r="AK740" s="13"/>
      <c r="AL740" s="13"/>
      <c r="AM740" s="14"/>
      <c r="AN740" s="14"/>
      <c r="AO740" s="14"/>
      <c r="AP740" s="14"/>
      <c r="AQ740" s="14"/>
      <c r="AR740" s="14"/>
      <c r="AS740" s="14"/>
      <c r="AT740" s="14"/>
      <c r="AU740" s="14"/>
      <c r="AV740" s="14"/>
      <c r="AW740" s="14"/>
      <c r="AX740" s="14"/>
      <c r="AY740" s="14"/>
      <c r="AZ740" s="14"/>
      <c r="BA740" s="14"/>
      <c r="BB740" s="14"/>
      <c r="BC740" s="14"/>
      <c r="BD740" s="14"/>
      <c r="BE740" s="14"/>
      <c r="BF740" s="14"/>
      <c r="BG740" s="14"/>
      <c r="BH740" s="14"/>
      <c r="BI740" s="14"/>
      <c r="BJ740" s="14"/>
      <c r="BK740" s="14"/>
      <c r="BL740" s="14"/>
      <c r="BM740" s="14"/>
      <c r="BN740" s="14"/>
    </row>
    <row r="741" ht="22.5" customHeight="1">
      <c r="A741" s="493"/>
      <c r="B741" s="350"/>
      <c r="C741" s="351"/>
      <c r="D741" s="447"/>
      <c r="E741" s="494"/>
      <c r="F741" s="495"/>
      <c r="G741" s="434"/>
      <c r="H741" s="394"/>
      <c r="I741" s="394"/>
      <c r="J741" s="477"/>
      <c r="K741" s="479"/>
      <c r="L741" s="496"/>
      <c r="M741" s="496"/>
      <c r="N741" s="360"/>
      <c r="O741" s="497"/>
      <c r="P741" s="362"/>
      <c r="Q741" s="387"/>
      <c r="R741" s="387"/>
      <c r="S741" s="439"/>
      <c r="T741" s="439"/>
      <c r="U741" s="498"/>
      <c r="V741" s="430"/>
      <c r="W741" s="382"/>
      <c r="X741" s="366"/>
      <c r="Y741" s="366"/>
      <c r="Z741" s="367"/>
      <c r="AA741" s="367"/>
      <c r="AB741" s="13"/>
      <c r="AC741" s="13"/>
      <c r="AD741" s="13"/>
      <c r="AE741" s="13"/>
      <c r="AF741" s="13"/>
      <c r="AG741" s="13"/>
      <c r="AH741" s="13"/>
      <c r="AI741" s="13"/>
      <c r="AJ741" s="13"/>
      <c r="AK741" s="13"/>
      <c r="AL741" s="13"/>
      <c r="AM741" s="14"/>
      <c r="AN741" s="14"/>
      <c r="AO741" s="14"/>
      <c r="AP741" s="14"/>
      <c r="AQ741" s="14"/>
      <c r="AR741" s="14"/>
      <c r="AS741" s="14"/>
      <c r="AT741" s="14"/>
      <c r="AU741" s="14"/>
      <c r="AV741" s="14"/>
      <c r="AW741" s="14"/>
      <c r="AX741" s="14"/>
      <c r="AY741" s="14"/>
      <c r="AZ741" s="14"/>
      <c r="BA741" s="14"/>
      <c r="BB741" s="14"/>
      <c r="BC741" s="14"/>
      <c r="BD741" s="14"/>
      <c r="BE741" s="14"/>
      <c r="BF741" s="14"/>
      <c r="BG741" s="14"/>
      <c r="BH741" s="14"/>
      <c r="BI741" s="14"/>
      <c r="BJ741" s="14"/>
      <c r="BK741" s="14"/>
      <c r="BL741" s="14"/>
      <c r="BM741" s="14"/>
      <c r="BN741" s="14"/>
    </row>
    <row r="742" ht="22.5" customHeight="1">
      <c r="A742" s="493"/>
      <c r="B742" s="350"/>
      <c r="C742" s="351"/>
      <c r="D742" s="447"/>
      <c r="E742" s="494"/>
      <c r="F742" s="495"/>
      <c r="G742" s="434"/>
      <c r="H742" s="394"/>
      <c r="I742" s="394"/>
      <c r="J742" s="477"/>
      <c r="K742" s="479"/>
      <c r="L742" s="496"/>
      <c r="M742" s="496"/>
      <c r="N742" s="360"/>
      <c r="O742" s="497"/>
      <c r="P742" s="362"/>
      <c r="Q742" s="387"/>
      <c r="R742" s="387"/>
      <c r="S742" s="439"/>
      <c r="T742" s="439"/>
      <c r="U742" s="498"/>
      <c r="V742" s="430"/>
      <c r="W742" s="382"/>
      <c r="X742" s="366"/>
      <c r="Y742" s="366"/>
      <c r="Z742" s="367"/>
      <c r="AA742" s="367"/>
      <c r="AB742" s="13"/>
      <c r="AC742" s="13"/>
      <c r="AD742" s="13"/>
      <c r="AE742" s="13"/>
      <c r="AF742" s="13"/>
      <c r="AG742" s="13"/>
      <c r="AH742" s="13"/>
      <c r="AI742" s="13"/>
      <c r="AJ742" s="13"/>
      <c r="AK742" s="13"/>
      <c r="AL742" s="13"/>
      <c r="AM742" s="14"/>
      <c r="AN742" s="14"/>
      <c r="AO742" s="14"/>
      <c r="AP742" s="14"/>
      <c r="AQ742" s="14"/>
      <c r="AR742" s="14"/>
      <c r="AS742" s="14"/>
      <c r="AT742" s="14"/>
      <c r="AU742" s="14"/>
      <c r="AV742" s="14"/>
      <c r="AW742" s="14"/>
      <c r="AX742" s="14"/>
      <c r="AY742" s="14"/>
      <c r="AZ742" s="14"/>
      <c r="BA742" s="14"/>
      <c r="BB742" s="14"/>
      <c r="BC742" s="14"/>
      <c r="BD742" s="14"/>
      <c r="BE742" s="14"/>
      <c r="BF742" s="14"/>
      <c r="BG742" s="14"/>
      <c r="BH742" s="14"/>
      <c r="BI742" s="14"/>
      <c r="BJ742" s="14"/>
      <c r="BK742" s="14"/>
      <c r="BL742" s="14"/>
      <c r="BM742" s="14"/>
      <c r="BN742" s="14"/>
    </row>
    <row r="743" ht="22.5" customHeight="1">
      <c r="A743" s="493"/>
      <c r="B743" s="350"/>
      <c r="C743" s="351"/>
      <c r="D743" s="447"/>
      <c r="E743" s="494"/>
      <c r="F743" s="495"/>
      <c r="G743" s="434"/>
      <c r="H743" s="394"/>
      <c r="I743" s="394"/>
      <c r="J743" s="477"/>
      <c r="K743" s="479"/>
      <c r="L743" s="496"/>
      <c r="M743" s="496"/>
      <c r="N743" s="360"/>
      <c r="O743" s="497"/>
      <c r="P743" s="362"/>
      <c r="Q743" s="387"/>
      <c r="R743" s="387"/>
      <c r="S743" s="439"/>
      <c r="T743" s="439"/>
      <c r="U743" s="498"/>
      <c r="V743" s="430"/>
      <c r="W743" s="382"/>
      <c r="X743" s="366"/>
      <c r="Y743" s="366"/>
      <c r="Z743" s="367"/>
      <c r="AA743" s="367"/>
      <c r="AB743" s="13"/>
      <c r="AC743" s="13"/>
      <c r="AD743" s="13"/>
      <c r="AE743" s="13"/>
      <c r="AF743" s="13"/>
      <c r="AG743" s="13"/>
      <c r="AH743" s="13"/>
      <c r="AI743" s="13"/>
      <c r="AJ743" s="13"/>
      <c r="AK743" s="13"/>
      <c r="AL743" s="13"/>
      <c r="AM743" s="14"/>
      <c r="AN743" s="14"/>
      <c r="AO743" s="14"/>
      <c r="AP743" s="14"/>
      <c r="AQ743" s="14"/>
      <c r="AR743" s="14"/>
      <c r="AS743" s="14"/>
      <c r="AT743" s="14"/>
      <c r="AU743" s="14"/>
      <c r="AV743" s="14"/>
      <c r="AW743" s="14"/>
      <c r="AX743" s="14"/>
      <c r="AY743" s="14"/>
      <c r="AZ743" s="14"/>
      <c r="BA743" s="14"/>
      <c r="BB743" s="14"/>
      <c r="BC743" s="14"/>
      <c r="BD743" s="14"/>
      <c r="BE743" s="14"/>
      <c r="BF743" s="14"/>
      <c r="BG743" s="14"/>
      <c r="BH743" s="14"/>
      <c r="BI743" s="14"/>
      <c r="BJ743" s="14"/>
      <c r="BK743" s="14"/>
      <c r="BL743" s="14"/>
      <c r="BM743" s="14"/>
      <c r="BN743" s="14"/>
    </row>
    <row r="744" ht="22.5" customHeight="1">
      <c r="A744" s="493"/>
      <c r="B744" s="350"/>
      <c r="C744" s="351"/>
      <c r="D744" s="447"/>
      <c r="E744" s="494"/>
      <c r="F744" s="495"/>
      <c r="G744" s="434"/>
      <c r="H744" s="394"/>
      <c r="I744" s="394"/>
      <c r="J744" s="477"/>
      <c r="K744" s="479"/>
      <c r="L744" s="496"/>
      <c r="M744" s="496"/>
      <c r="N744" s="360"/>
      <c r="O744" s="497"/>
      <c r="P744" s="362"/>
      <c r="Q744" s="387"/>
      <c r="R744" s="387"/>
      <c r="S744" s="439"/>
      <c r="T744" s="439"/>
      <c r="U744" s="498"/>
      <c r="V744" s="430"/>
      <c r="W744" s="382"/>
      <c r="X744" s="366"/>
      <c r="Y744" s="366"/>
      <c r="Z744" s="367"/>
      <c r="AA744" s="367"/>
      <c r="AB744" s="13"/>
      <c r="AC744" s="13"/>
      <c r="AD744" s="13"/>
      <c r="AE744" s="13"/>
      <c r="AF744" s="13"/>
      <c r="AG744" s="13"/>
      <c r="AH744" s="13"/>
      <c r="AI744" s="13"/>
      <c r="AJ744" s="13"/>
      <c r="AK744" s="13"/>
      <c r="AL744" s="13"/>
      <c r="AM744" s="14"/>
      <c r="AN744" s="14"/>
      <c r="AO744" s="14"/>
      <c r="AP744" s="14"/>
      <c r="AQ744" s="14"/>
      <c r="AR744" s="14"/>
      <c r="AS744" s="14"/>
      <c r="AT744" s="14"/>
      <c r="AU744" s="14"/>
      <c r="AV744" s="14"/>
      <c r="AW744" s="14"/>
      <c r="AX744" s="14"/>
      <c r="AY744" s="14"/>
      <c r="AZ744" s="14"/>
      <c r="BA744" s="14"/>
      <c r="BB744" s="14"/>
      <c r="BC744" s="14"/>
      <c r="BD744" s="14"/>
      <c r="BE744" s="14"/>
      <c r="BF744" s="14"/>
      <c r="BG744" s="14"/>
      <c r="BH744" s="14"/>
      <c r="BI744" s="14"/>
      <c r="BJ744" s="14"/>
      <c r="BK744" s="14"/>
      <c r="BL744" s="14"/>
      <c r="BM744" s="14"/>
      <c r="BN744" s="14"/>
    </row>
    <row r="745" ht="22.5" customHeight="1">
      <c r="A745" s="493"/>
      <c r="B745" s="350"/>
      <c r="C745" s="351"/>
      <c r="D745" s="447"/>
      <c r="E745" s="494"/>
      <c r="F745" s="495"/>
      <c r="G745" s="434"/>
      <c r="H745" s="394"/>
      <c r="I745" s="394"/>
      <c r="J745" s="477"/>
      <c r="K745" s="479"/>
      <c r="L745" s="496"/>
      <c r="M745" s="496"/>
      <c r="N745" s="360"/>
      <c r="O745" s="497"/>
      <c r="P745" s="362"/>
      <c r="Q745" s="387"/>
      <c r="R745" s="387"/>
      <c r="S745" s="439"/>
      <c r="T745" s="439"/>
      <c r="U745" s="498"/>
      <c r="V745" s="430"/>
      <c r="W745" s="382"/>
      <c r="X745" s="366"/>
      <c r="Y745" s="366"/>
      <c r="Z745" s="367"/>
      <c r="AA745" s="367"/>
      <c r="AB745" s="13"/>
      <c r="AC745" s="13"/>
      <c r="AD745" s="13"/>
      <c r="AE745" s="13"/>
      <c r="AF745" s="13"/>
      <c r="AG745" s="13"/>
      <c r="AH745" s="13"/>
      <c r="AI745" s="13"/>
      <c r="AJ745" s="13"/>
      <c r="AK745" s="13"/>
      <c r="AL745" s="13"/>
      <c r="AM745" s="14"/>
      <c r="AN745" s="14"/>
      <c r="AO745" s="14"/>
      <c r="AP745" s="14"/>
      <c r="AQ745" s="14"/>
      <c r="AR745" s="14"/>
      <c r="AS745" s="14"/>
      <c r="AT745" s="14"/>
      <c r="AU745" s="14"/>
      <c r="AV745" s="14"/>
      <c r="AW745" s="14"/>
      <c r="AX745" s="14"/>
      <c r="AY745" s="14"/>
      <c r="AZ745" s="14"/>
      <c r="BA745" s="14"/>
      <c r="BB745" s="14"/>
      <c r="BC745" s="14"/>
      <c r="BD745" s="14"/>
      <c r="BE745" s="14"/>
      <c r="BF745" s="14"/>
      <c r="BG745" s="14"/>
      <c r="BH745" s="14"/>
      <c r="BI745" s="14"/>
      <c r="BJ745" s="14"/>
      <c r="BK745" s="14"/>
      <c r="BL745" s="14"/>
      <c r="BM745" s="14"/>
      <c r="BN745" s="14"/>
    </row>
    <row r="746" ht="22.5" customHeight="1">
      <c r="A746" s="493"/>
      <c r="B746" s="350"/>
      <c r="C746" s="351"/>
      <c r="D746" s="447"/>
      <c r="E746" s="494"/>
      <c r="F746" s="495"/>
      <c r="G746" s="434"/>
      <c r="H746" s="394"/>
      <c r="I746" s="394"/>
      <c r="J746" s="477"/>
      <c r="K746" s="479"/>
      <c r="L746" s="496"/>
      <c r="M746" s="496"/>
      <c r="N746" s="360"/>
      <c r="O746" s="497"/>
      <c r="P746" s="362"/>
      <c r="Q746" s="387"/>
      <c r="R746" s="387"/>
      <c r="S746" s="439"/>
      <c r="T746" s="439"/>
      <c r="U746" s="498"/>
      <c r="V746" s="430"/>
      <c r="W746" s="382"/>
      <c r="X746" s="366"/>
      <c r="Y746" s="366"/>
      <c r="Z746" s="367"/>
      <c r="AA746" s="367"/>
      <c r="AB746" s="13"/>
      <c r="AC746" s="13"/>
      <c r="AD746" s="13"/>
      <c r="AE746" s="13"/>
      <c r="AF746" s="13"/>
      <c r="AG746" s="13"/>
      <c r="AH746" s="13"/>
      <c r="AI746" s="13"/>
      <c r="AJ746" s="13"/>
      <c r="AK746" s="13"/>
      <c r="AL746" s="13"/>
      <c r="AM746" s="14"/>
      <c r="AN746" s="14"/>
      <c r="AO746" s="14"/>
      <c r="AP746" s="14"/>
      <c r="AQ746" s="14"/>
      <c r="AR746" s="14"/>
      <c r="AS746" s="14"/>
      <c r="AT746" s="14"/>
      <c r="AU746" s="14"/>
      <c r="AV746" s="14"/>
      <c r="AW746" s="14"/>
      <c r="AX746" s="14"/>
      <c r="AY746" s="14"/>
      <c r="AZ746" s="14"/>
      <c r="BA746" s="14"/>
      <c r="BB746" s="14"/>
      <c r="BC746" s="14"/>
      <c r="BD746" s="14"/>
      <c r="BE746" s="14"/>
      <c r="BF746" s="14"/>
      <c r="BG746" s="14"/>
      <c r="BH746" s="14"/>
      <c r="BI746" s="14"/>
      <c r="BJ746" s="14"/>
      <c r="BK746" s="14"/>
      <c r="BL746" s="14"/>
      <c r="BM746" s="14"/>
      <c r="BN746" s="14"/>
    </row>
    <row r="747" ht="22.5" customHeight="1">
      <c r="A747" s="493"/>
      <c r="B747" s="350"/>
      <c r="C747" s="351"/>
      <c r="D747" s="447"/>
      <c r="E747" s="494"/>
      <c r="F747" s="495"/>
      <c r="G747" s="434"/>
      <c r="H747" s="394"/>
      <c r="I747" s="394"/>
      <c r="J747" s="477"/>
      <c r="K747" s="479"/>
      <c r="L747" s="496"/>
      <c r="M747" s="496"/>
      <c r="N747" s="360"/>
      <c r="O747" s="497"/>
      <c r="P747" s="362"/>
      <c r="Q747" s="387"/>
      <c r="R747" s="387"/>
      <c r="S747" s="439"/>
      <c r="T747" s="439"/>
      <c r="U747" s="498"/>
      <c r="V747" s="430"/>
      <c r="W747" s="382"/>
      <c r="X747" s="366"/>
      <c r="Y747" s="366"/>
      <c r="Z747" s="367"/>
      <c r="AA747" s="367"/>
      <c r="AB747" s="13"/>
      <c r="AC747" s="13"/>
      <c r="AD747" s="13"/>
      <c r="AE747" s="13"/>
      <c r="AF747" s="13"/>
      <c r="AG747" s="13"/>
      <c r="AH747" s="13"/>
      <c r="AI747" s="13"/>
      <c r="AJ747" s="13"/>
      <c r="AK747" s="13"/>
      <c r="AL747" s="13"/>
      <c r="AM747" s="14"/>
      <c r="AN747" s="14"/>
      <c r="AO747" s="14"/>
      <c r="AP747" s="14"/>
      <c r="AQ747" s="14"/>
      <c r="AR747" s="14"/>
      <c r="AS747" s="14"/>
      <c r="AT747" s="14"/>
      <c r="AU747" s="14"/>
      <c r="AV747" s="14"/>
      <c r="AW747" s="14"/>
      <c r="AX747" s="14"/>
      <c r="AY747" s="14"/>
      <c r="AZ747" s="14"/>
      <c r="BA747" s="14"/>
      <c r="BB747" s="14"/>
      <c r="BC747" s="14"/>
      <c r="BD747" s="14"/>
      <c r="BE747" s="14"/>
      <c r="BF747" s="14"/>
      <c r="BG747" s="14"/>
      <c r="BH747" s="14"/>
      <c r="BI747" s="14"/>
      <c r="BJ747" s="14"/>
      <c r="BK747" s="14"/>
      <c r="BL747" s="14"/>
      <c r="BM747" s="14"/>
      <c r="BN747" s="14"/>
    </row>
    <row r="748" ht="22.5" customHeight="1">
      <c r="A748" s="493"/>
      <c r="B748" s="350"/>
      <c r="C748" s="351"/>
      <c r="D748" s="447"/>
      <c r="E748" s="494"/>
      <c r="F748" s="495"/>
      <c r="G748" s="434"/>
      <c r="H748" s="394"/>
      <c r="I748" s="394"/>
      <c r="J748" s="477"/>
      <c r="K748" s="479"/>
      <c r="L748" s="496"/>
      <c r="M748" s="496"/>
      <c r="N748" s="360"/>
      <c r="O748" s="497"/>
      <c r="P748" s="362"/>
      <c r="Q748" s="387"/>
      <c r="R748" s="387"/>
      <c r="S748" s="439"/>
      <c r="T748" s="439"/>
      <c r="U748" s="498"/>
      <c r="V748" s="430"/>
      <c r="W748" s="382"/>
      <c r="X748" s="366"/>
      <c r="Y748" s="366"/>
      <c r="Z748" s="367"/>
      <c r="AA748" s="367"/>
      <c r="AB748" s="13"/>
      <c r="AC748" s="13"/>
      <c r="AD748" s="13"/>
      <c r="AE748" s="13"/>
      <c r="AF748" s="13"/>
      <c r="AG748" s="13"/>
      <c r="AH748" s="13"/>
      <c r="AI748" s="13"/>
      <c r="AJ748" s="13"/>
      <c r="AK748" s="13"/>
      <c r="AL748" s="13"/>
      <c r="AM748" s="14"/>
      <c r="AN748" s="14"/>
      <c r="AO748" s="14"/>
      <c r="AP748" s="14"/>
      <c r="AQ748" s="14"/>
      <c r="AR748" s="14"/>
      <c r="AS748" s="14"/>
      <c r="AT748" s="14"/>
      <c r="AU748" s="14"/>
      <c r="AV748" s="14"/>
      <c r="AW748" s="14"/>
      <c r="AX748" s="14"/>
      <c r="AY748" s="14"/>
      <c r="AZ748" s="14"/>
      <c r="BA748" s="14"/>
      <c r="BB748" s="14"/>
      <c r="BC748" s="14"/>
      <c r="BD748" s="14"/>
      <c r="BE748" s="14"/>
      <c r="BF748" s="14"/>
      <c r="BG748" s="14"/>
      <c r="BH748" s="14"/>
      <c r="BI748" s="14"/>
      <c r="BJ748" s="14"/>
      <c r="BK748" s="14"/>
      <c r="BL748" s="14"/>
      <c r="BM748" s="14"/>
      <c r="BN748" s="14"/>
    </row>
    <row r="749" ht="22.5" customHeight="1">
      <c r="A749" s="493"/>
      <c r="B749" s="350"/>
      <c r="C749" s="351"/>
      <c r="D749" s="447"/>
      <c r="E749" s="494"/>
      <c r="F749" s="495"/>
      <c r="G749" s="434"/>
      <c r="H749" s="394"/>
      <c r="I749" s="394"/>
      <c r="J749" s="477"/>
      <c r="K749" s="479"/>
      <c r="L749" s="496"/>
      <c r="M749" s="496"/>
      <c r="N749" s="360"/>
      <c r="O749" s="497"/>
      <c r="P749" s="362"/>
      <c r="Q749" s="387"/>
      <c r="R749" s="387"/>
      <c r="S749" s="439"/>
      <c r="T749" s="439"/>
      <c r="U749" s="498"/>
      <c r="V749" s="430"/>
      <c r="W749" s="382"/>
      <c r="X749" s="366"/>
      <c r="Y749" s="366"/>
      <c r="Z749" s="367"/>
      <c r="AA749" s="367"/>
      <c r="AB749" s="13"/>
      <c r="AC749" s="13"/>
      <c r="AD749" s="13"/>
      <c r="AE749" s="13"/>
      <c r="AF749" s="13"/>
      <c r="AG749" s="13"/>
      <c r="AH749" s="13"/>
      <c r="AI749" s="13"/>
      <c r="AJ749" s="13"/>
      <c r="AK749" s="13"/>
      <c r="AL749" s="13"/>
      <c r="AM749" s="14"/>
      <c r="AN749" s="14"/>
      <c r="AO749" s="14"/>
      <c r="AP749" s="14"/>
      <c r="AQ749" s="14"/>
      <c r="AR749" s="14"/>
      <c r="AS749" s="14"/>
      <c r="AT749" s="14"/>
      <c r="AU749" s="14"/>
      <c r="AV749" s="14"/>
      <c r="AW749" s="14"/>
      <c r="AX749" s="14"/>
      <c r="AY749" s="14"/>
      <c r="AZ749" s="14"/>
      <c r="BA749" s="14"/>
      <c r="BB749" s="14"/>
      <c r="BC749" s="14"/>
      <c r="BD749" s="14"/>
      <c r="BE749" s="14"/>
      <c r="BF749" s="14"/>
      <c r="BG749" s="14"/>
      <c r="BH749" s="14"/>
      <c r="BI749" s="14"/>
      <c r="BJ749" s="14"/>
      <c r="BK749" s="14"/>
      <c r="BL749" s="14"/>
      <c r="BM749" s="14"/>
      <c r="BN749" s="14"/>
    </row>
    <row r="750" ht="22.5" customHeight="1">
      <c r="A750" s="493"/>
      <c r="B750" s="350"/>
      <c r="C750" s="351"/>
      <c r="D750" s="447"/>
      <c r="E750" s="494"/>
      <c r="F750" s="495"/>
      <c r="G750" s="434"/>
      <c r="H750" s="394"/>
      <c r="I750" s="394"/>
      <c r="J750" s="477"/>
      <c r="K750" s="479"/>
      <c r="L750" s="496"/>
      <c r="M750" s="496"/>
      <c r="N750" s="360"/>
      <c r="O750" s="497"/>
      <c r="P750" s="362"/>
      <c r="Q750" s="387"/>
      <c r="R750" s="387"/>
      <c r="S750" s="439"/>
      <c r="T750" s="439"/>
      <c r="U750" s="498"/>
      <c r="V750" s="430"/>
      <c r="W750" s="382"/>
      <c r="X750" s="366"/>
      <c r="Y750" s="366"/>
      <c r="Z750" s="367"/>
      <c r="AA750" s="367"/>
      <c r="AB750" s="13"/>
      <c r="AC750" s="13"/>
      <c r="AD750" s="13"/>
      <c r="AE750" s="13"/>
      <c r="AF750" s="13"/>
      <c r="AG750" s="13"/>
      <c r="AH750" s="13"/>
      <c r="AI750" s="13"/>
      <c r="AJ750" s="13"/>
      <c r="AK750" s="13"/>
      <c r="AL750" s="13"/>
      <c r="AM750" s="14"/>
      <c r="AN750" s="14"/>
      <c r="AO750" s="14"/>
      <c r="AP750" s="14"/>
      <c r="AQ750" s="14"/>
      <c r="AR750" s="14"/>
      <c r="AS750" s="14"/>
      <c r="AT750" s="14"/>
      <c r="AU750" s="14"/>
      <c r="AV750" s="14"/>
      <c r="AW750" s="14"/>
      <c r="AX750" s="14"/>
      <c r="AY750" s="14"/>
      <c r="AZ750" s="14"/>
      <c r="BA750" s="14"/>
      <c r="BB750" s="14"/>
      <c r="BC750" s="14"/>
      <c r="BD750" s="14"/>
      <c r="BE750" s="14"/>
      <c r="BF750" s="14"/>
      <c r="BG750" s="14"/>
      <c r="BH750" s="14"/>
      <c r="BI750" s="14"/>
      <c r="BJ750" s="14"/>
      <c r="BK750" s="14"/>
      <c r="BL750" s="14"/>
      <c r="BM750" s="14"/>
      <c r="BN750" s="14"/>
    </row>
    <row r="751" ht="22.5" customHeight="1">
      <c r="A751" s="493"/>
      <c r="B751" s="350"/>
      <c r="C751" s="351"/>
      <c r="D751" s="447"/>
      <c r="E751" s="494"/>
      <c r="F751" s="495"/>
      <c r="G751" s="434"/>
      <c r="H751" s="394"/>
      <c r="I751" s="394"/>
      <c r="J751" s="477"/>
      <c r="K751" s="479"/>
      <c r="L751" s="496"/>
      <c r="M751" s="496"/>
      <c r="N751" s="360"/>
      <c r="O751" s="497"/>
      <c r="P751" s="362"/>
      <c r="Q751" s="387"/>
      <c r="R751" s="387"/>
      <c r="S751" s="439"/>
      <c r="T751" s="439"/>
      <c r="U751" s="498"/>
      <c r="V751" s="430"/>
      <c r="W751" s="382"/>
      <c r="X751" s="366"/>
      <c r="Y751" s="366"/>
      <c r="Z751" s="367"/>
      <c r="AA751" s="367"/>
      <c r="AB751" s="13"/>
      <c r="AC751" s="13"/>
      <c r="AD751" s="13"/>
      <c r="AE751" s="13"/>
      <c r="AF751" s="13"/>
      <c r="AG751" s="13"/>
      <c r="AH751" s="13"/>
      <c r="AI751" s="13"/>
      <c r="AJ751" s="13"/>
      <c r="AK751" s="13"/>
      <c r="AL751" s="13"/>
      <c r="AM751" s="14"/>
      <c r="AN751" s="14"/>
      <c r="AO751" s="14"/>
      <c r="AP751" s="14"/>
      <c r="AQ751" s="14"/>
      <c r="AR751" s="14"/>
      <c r="AS751" s="14"/>
      <c r="AT751" s="14"/>
      <c r="AU751" s="14"/>
      <c r="AV751" s="14"/>
      <c r="AW751" s="14"/>
      <c r="AX751" s="14"/>
      <c r="AY751" s="14"/>
      <c r="AZ751" s="14"/>
      <c r="BA751" s="14"/>
      <c r="BB751" s="14"/>
      <c r="BC751" s="14"/>
      <c r="BD751" s="14"/>
      <c r="BE751" s="14"/>
      <c r="BF751" s="14"/>
      <c r="BG751" s="14"/>
      <c r="BH751" s="14"/>
      <c r="BI751" s="14"/>
      <c r="BJ751" s="14"/>
      <c r="BK751" s="14"/>
      <c r="BL751" s="14"/>
      <c r="BM751" s="14"/>
      <c r="BN751" s="14"/>
    </row>
    <row r="752" ht="22.5" customHeight="1">
      <c r="A752" s="493"/>
      <c r="B752" s="350"/>
      <c r="C752" s="351"/>
      <c r="D752" s="447"/>
      <c r="E752" s="494"/>
      <c r="F752" s="495"/>
      <c r="G752" s="434"/>
      <c r="H752" s="394"/>
      <c r="I752" s="394"/>
      <c r="J752" s="477"/>
      <c r="K752" s="479"/>
      <c r="L752" s="496"/>
      <c r="M752" s="496"/>
      <c r="N752" s="360"/>
      <c r="O752" s="497"/>
      <c r="P752" s="362"/>
      <c r="Q752" s="387"/>
      <c r="R752" s="387"/>
      <c r="S752" s="439"/>
      <c r="T752" s="439"/>
      <c r="U752" s="498"/>
      <c r="V752" s="430"/>
      <c r="W752" s="382"/>
      <c r="X752" s="366"/>
      <c r="Y752" s="366"/>
      <c r="Z752" s="367"/>
      <c r="AA752" s="367"/>
      <c r="AB752" s="13"/>
      <c r="AC752" s="13"/>
      <c r="AD752" s="13"/>
      <c r="AE752" s="13"/>
      <c r="AF752" s="13"/>
      <c r="AG752" s="13"/>
      <c r="AH752" s="13"/>
      <c r="AI752" s="13"/>
      <c r="AJ752" s="13"/>
      <c r="AK752" s="13"/>
      <c r="AL752" s="13"/>
      <c r="AM752" s="14"/>
      <c r="AN752" s="14"/>
      <c r="AO752" s="14"/>
      <c r="AP752" s="14"/>
      <c r="AQ752" s="14"/>
      <c r="AR752" s="14"/>
      <c r="AS752" s="14"/>
      <c r="AT752" s="14"/>
      <c r="AU752" s="14"/>
      <c r="AV752" s="14"/>
      <c r="AW752" s="14"/>
      <c r="AX752" s="14"/>
      <c r="AY752" s="14"/>
      <c r="AZ752" s="14"/>
      <c r="BA752" s="14"/>
      <c r="BB752" s="14"/>
      <c r="BC752" s="14"/>
      <c r="BD752" s="14"/>
      <c r="BE752" s="14"/>
      <c r="BF752" s="14"/>
      <c r="BG752" s="14"/>
      <c r="BH752" s="14"/>
      <c r="BI752" s="14"/>
      <c r="BJ752" s="14"/>
      <c r="BK752" s="14"/>
      <c r="BL752" s="14"/>
      <c r="BM752" s="14"/>
      <c r="BN752" s="14"/>
    </row>
    <row r="753" ht="22.5" customHeight="1">
      <c r="A753" s="493"/>
      <c r="B753" s="350"/>
      <c r="C753" s="351"/>
      <c r="D753" s="447"/>
      <c r="E753" s="494"/>
      <c r="F753" s="495"/>
      <c r="G753" s="434"/>
      <c r="H753" s="394"/>
      <c r="I753" s="394"/>
      <c r="J753" s="477"/>
      <c r="K753" s="479"/>
      <c r="L753" s="496"/>
      <c r="M753" s="496"/>
      <c r="N753" s="360"/>
      <c r="O753" s="497"/>
      <c r="P753" s="362"/>
      <c r="Q753" s="387"/>
      <c r="R753" s="387"/>
      <c r="S753" s="439"/>
      <c r="T753" s="439"/>
      <c r="U753" s="498"/>
      <c r="V753" s="430"/>
      <c r="W753" s="382"/>
      <c r="X753" s="366"/>
      <c r="Y753" s="366"/>
      <c r="Z753" s="367"/>
      <c r="AA753" s="367"/>
      <c r="AB753" s="13"/>
      <c r="AC753" s="13"/>
      <c r="AD753" s="13"/>
      <c r="AE753" s="13"/>
      <c r="AF753" s="13"/>
      <c r="AG753" s="13"/>
      <c r="AH753" s="13"/>
      <c r="AI753" s="13"/>
      <c r="AJ753" s="13"/>
      <c r="AK753" s="13"/>
      <c r="AL753" s="13"/>
      <c r="AM753" s="14"/>
      <c r="AN753" s="14"/>
      <c r="AO753" s="14"/>
      <c r="AP753" s="14"/>
      <c r="AQ753" s="14"/>
      <c r="AR753" s="14"/>
      <c r="AS753" s="14"/>
      <c r="AT753" s="14"/>
      <c r="AU753" s="14"/>
      <c r="AV753" s="14"/>
      <c r="AW753" s="14"/>
      <c r="AX753" s="14"/>
      <c r="AY753" s="14"/>
      <c r="AZ753" s="14"/>
      <c r="BA753" s="14"/>
      <c r="BB753" s="14"/>
      <c r="BC753" s="14"/>
      <c r="BD753" s="14"/>
      <c r="BE753" s="14"/>
      <c r="BF753" s="14"/>
      <c r="BG753" s="14"/>
      <c r="BH753" s="14"/>
      <c r="BI753" s="14"/>
      <c r="BJ753" s="14"/>
      <c r="BK753" s="14"/>
      <c r="BL753" s="14"/>
      <c r="BM753" s="14"/>
      <c r="BN753" s="14"/>
    </row>
    <row r="754" ht="22.5" customHeight="1">
      <c r="A754" s="493"/>
      <c r="B754" s="350"/>
      <c r="C754" s="351"/>
      <c r="D754" s="447"/>
      <c r="E754" s="494"/>
      <c r="F754" s="495"/>
      <c r="G754" s="434"/>
      <c r="H754" s="394"/>
      <c r="I754" s="394"/>
      <c r="J754" s="477"/>
      <c r="K754" s="479"/>
      <c r="L754" s="496"/>
      <c r="M754" s="496"/>
      <c r="N754" s="360"/>
      <c r="O754" s="497"/>
      <c r="P754" s="362"/>
      <c r="Q754" s="387"/>
      <c r="R754" s="387"/>
      <c r="S754" s="439"/>
      <c r="T754" s="439"/>
      <c r="U754" s="498"/>
      <c r="V754" s="430"/>
      <c r="W754" s="382"/>
      <c r="X754" s="366"/>
      <c r="Y754" s="366"/>
      <c r="Z754" s="367"/>
      <c r="AA754" s="367"/>
      <c r="AB754" s="13"/>
      <c r="AC754" s="13"/>
      <c r="AD754" s="13"/>
      <c r="AE754" s="13"/>
      <c r="AF754" s="13"/>
      <c r="AG754" s="13"/>
      <c r="AH754" s="13"/>
      <c r="AI754" s="13"/>
      <c r="AJ754" s="13"/>
      <c r="AK754" s="13"/>
      <c r="AL754" s="13"/>
      <c r="AM754" s="14"/>
      <c r="AN754" s="14"/>
      <c r="AO754" s="14"/>
      <c r="AP754" s="14"/>
      <c r="AQ754" s="14"/>
      <c r="AR754" s="14"/>
      <c r="AS754" s="14"/>
      <c r="AT754" s="14"/>
      <c r="AU754" s="14"/>
      <c r="AV754" s="14"/>
      <c r="AW754" s="14"/>
      <c r="AX754" s="14"/>
      <c r="AY754" s="14"/>
      <c r="AZ754" s="14"/>
      <c r="BA754" s="14"/>
      <c r="BB754" s="14"/>
      <c r="BC754" s="14"/>
      <c r="BD754" s="14"/>
      <c r="BE754" s="14"/>
      <c r="BF754" s="14"/>
      <c r="BG754" s="14"/>
      <c r="BH754" s="14"/>
      <c r="BI754" s="14"/>
      <c r="BJ754" s="14"/>
      <c r="BK754" s="14"/>
      <c r="BL754" s="14"/>
      <c r="BM754" s="14"/>
      <c r="BN754" s="14"/>
    </row>
    <row r="755" ht="22.5" customHeight="1">
      <c r="A755" s="493"/>
      <c r="B755" s="350"/>
      <c r="C755" s="351"/>
      <c r="D755" s="447"/>
      <c r="E755" s="494"/>
      <c r="F755" s="495"/>
      <c r="G755" s="434"/>
      <c r="H755" s="394"/>
      <c r="I755" s="394"/>
      <c r="J755" s="477"/>
      <c r="K755" s="479"/>
      <c r="L755" s="496"/>
      <c r="M755" s="496"/>
      <c r="N755" s="360"/>
      <c r="O755" s="497"/>
      <c r="P755" s="362"/>
      <c r="Q755" s="387"/>
      <c r="R755" s="387"/>
      <c r="S755" s="439"/>
      <c r="T755" s="439"/>
      <c r="U755" s="498"/>
      <c r="V755" s="430"/>
      <c r="W755" s="382"/>
      <c r="X755" s="366"/>
      <c r="Y755" s="366"/>
      <c r="Z755" s="367"/>
      <c r="AA755" s="367"/>
      <c r="AB755" s="13"/>
      <c r="AC755" s="13"/>
      <c r="AD755" s="13"/>
      <c r="AE755" s="13"/>
      <c r="AF755" s="13"/>
      <c r="AG755" s="13"/>
      <c r="AH755" s="13"/>
      <c r="AI755" s="13"/>
      <c r="AJ755" s="13"/>
      <c r="AK755" s="13"/>
      <c r="AL755" s="13"/>
      <c r="AM755" s="14"/>
      <c r="AN755" s="14"/>
      <c r="AO755" s="14"/>
      <c r="AP755" s="14"/>
      <c r="AQ755" s="14"/>
      <c r="AR755" s="14"/>
      <c r="AS755" s="14"/>
      <c r="AT755" s="14"/>
      <c r="AU755" s="14"/>
      <c r="AV755" s="14"/>
      <c r="AW755" s="14"/>
      <c r="AX755" s="14"/>
      <c r="AY755" s="14"/>
      <c r="AZ755" s="14"/>
      <c r="BA755" s="14"/>
      <c r="BB755" s="14"/>
      <c r="BC755" s="14"/>
      <c r="BD755" s="14"/>
      <c r="BE755" s="14"/>
      <c r="BF755" s="14"/>
      <c r="BG755" s="14"/>
      <c r="BH755" s="14"/>
      <c r="BI755" s="14"/>
      <c r="BJ755" s="14"/>
      <c r="BK755" s="14"/>
      <c r="BL755" s="14"/>
      <c r="BM755" s="14"/>
      <c r="BN755" s="14"/>
    </row>
    <row r="756" ht="22.5" customHeight="1">
      <c r="A756" s="493"/>
      <c r="B756" s="350"/>
      <c r="C756" s="351"/>
      <c r="D756" s="447"/>
      <c r="E756" s="494"/>
      <c r="F756" s="495"/>
      <c r="G756" s="434"/>
      <c r="H756" s="394"/>
      <c r="I756" s="394"/>
      <c r="J756" s="477"/>
      <c r="K756" s="479"/>
      <c r="L756" s="496"/>
      <c r="M756" s="496"/>
      <c r="N756" s="360"/>
      <c r="O756" s="497"/>
      <c r="P756" s="362"/>
      <c r="Q756" s="387"/>
      <c r="R756" s="387"/>
      <c r="S756" s="439"/>
      <c r="T756" s="439"/>
      <c r="U756" s="498"/>
      <c r="V756" s="430"/>
      <c r="W756" s="382"/>
      <c r="X756" s="366"/>
      <c r="Y756" s="366"/>
      <c r="Z756" s="367"/>
      <c r="AA756" s="367"/>
      <c r="AB756" s="13"/>
      <c r="AC756" s="13"/>
      <c r="AD756" s="13"/>
      <c r="AE756" s="13"/>
      <c r="AF756" s="13"/>
      <c r="AG756" s="13"/>
      <c r="AH756" s="13"/>
      <c r="AI756" s="13"/>
      <c r="AJ756" s="13"/>
      <c r="AK756" s="13"/>
      <c r="AL756" s="13"/>
      <c r="AM756" s="14"/>
      <c r="AN756" s="14"/>
      <c r="AO756" s="14"/>
      <c r="AP756" s="14"/>
      <c r="AQ756" s="14"/>
      <c r="AR756" s="14"/>
      <c r="AS756" s="14"/>
      <c r="AT756" s="14"/>
      <c r="AU756" s="14"/>
      <c r="AV756" s="14"/>
      <c r="AW756" s="14"/>
      <c r="AX756" s="14"/>
      <c r="AY756" s="14"/>
      <c r="AZ756" s="14"/>
      <c r="BA756" s="14"/>
      <c r="BB756" s="14"/>
      <c r="BC756" s="14"/>
      <c r="BD756" s="14"/>
      <c r="BE756" s="14"/>
      <c r="BF756" s="14"/>
      <c r="BG756" s="14"/>
      <c r="BH756" s="14"/>
      <c r="BI756" s="14"/>
      <c r="BJ756" s="14"/>
      <c r="BK756" s="14"/>
      <c r="BL756" s="14"/>
      <c r="BM756" s="14"/>
      <c r="BN756" s="14"/>
    </row>
    <row r="757" ht="22.5" customHeight="1">
      <c r="A757" s="493"/>
      <c r="B757" s="350"/>
      <c r="C757" s="351"/>
      <c r="D757" s="447"/>
      <c r="E757" s="494"/>
      <c r="F757" s="495"/>
      <c r="G757" s="434"/>
      <c r="H757" s="394"/>
      <c r="I757" s="394"/>
      <c r="J757" s="477"/>
      <c r="K757" s="479"/>
      <c r="L757" s="496"/>
      <c r="M757" s="496"/>
      <c r="N757" s="360"/>
      <c r="O757" s="497"/>
      <c r="P757" s="362"/>
      <c r="Q757" s="387"/>
      <c r="R757" s="387"/>
      <c r="S757" s="439"/>
      <c r="T757" s="439"/>
      <c r="U757" s="498"/>
      <c r="V757" s="430"/>
      <c r="W757" s="382"/>
      <c r="X757" s="366"/>
      <c r="Y757" s="366"/>
      <c r="Z757" s="367"/>
      <c r="AA757" s="367"/>
      <c r="AB757" s="13"/>
      <c r="AC757" s="13"/>
      <c r="AD757" s="13"/>
      <c r="AE757" s="13"/>
      <c r="AF757" s="13"/>
      <c r="AG757" s="13"/>
      <c r="AH757" s="13"/>
      <c r="AI757" s="13"/>
      <c r="AJ757" s="13"/>
      <c r="AK757" s="13"/>
      <c r="AL757" s="13"/>
      <c r="AM757" s="14"/>
      <c r="AN757" s="14"/>
      <c r="AO757" s="14"/>
      <c r="AP757" s="14"/>
      <c r="AQ757" s="14"/>
      <c r="AR757" s="14"/>
      <c r="AS757" s="14"/>
      <c r="AT757" s="14"/>
      <c r="AU757" s="14"/>
      <c r="AV757" s="14"/>
      <c r="AW757" s="14"/>
      <c r="AX757" s="14"/>
      <c r="AY757" s="14"/>
      <c r="AZ757" s="14"/>
      <c r="BA757" s="14"/>
      <c r="BB757" s="14"/>
      <c r="BC757" s="14"/>
      <c r="BD757" s="14"/>
      <c r="BE757" s="14"/>
      <c r="BF757" s="14"/>
      <c r="BG757" s="14"/>
      <c r="BH757" s="14"/>
      <c r="BI757" s="14"/>
      <c r="BJ757" s="14"/>
      <c r="BK757" s="14"/>
      <c r="BL757" s="14"/>
      <c r="BM757" s="14"/>
      <c r="BN757" s="14"/>
    </row>
    <row r="758" ht="22.5" customHeight="1">
      <c r="A758" s="493"/>
      <c r="B758" s="350"/>
      <c r="C758" s="351"/>
      <c r="D758" s="447"/>
      <c r="E758" s="494"/>
      <c r="F758" s="495"/>
      <c r="G758" s="434"/>
      <c r="H758" s="394"/>
      <c r="I758" s="394"/>
      <c r="J758" s="477"/>
      <c r="K758" s="479"/>
      <c r="L758" s="496"/>
      <c r="M758" s="496"/>
      <c r="N758" s="360"/>
      <c r="O758" s="497"/>
      <c r="P758" s="362"/>
      <c r="Q758" s="387"/>
      <c r="R758" s="387"/>
      <c r="S758" s="439"/>
      <c r="T758" s="439"/>
      <c r="U758" s="498"/>
      <c r="V758" s="430"/>
      <c r="W758" s="382"/>
      <c r="X758" s="366"/>
      <c r="Y758" s="366"/>
      <c r="Z758" s="367"/>
      <c r="AA758" s="367"/>
      <c r="AB758" s="13"/>
      <c r="AC758" s="13"/>
      <c r="AD758" s="13"/>
      <c r="AE758" s="13"/>
      <c r="AF758" s="13"/>
      <c r="AG758" s="13"/>
      <c r="AH758" s="13"/>
      <c r="AI758" s="13"/>
      <c r="AJ758" s="13"/>
      <c r="AK758" s="13"/>
      <c r="AL758" s="13"/>
      <c r="AM758" s="14"/>
      <c r="AN758" s="14"/>
      <c r="AO758" s="14"/>
      <c r="AP758" s="14"/>
      <c r="AQ758" s="14"/>
      <c r="AR758" s="14"/>
      <c r="AS758" s="14"/>
      <c r="AT758" s="14"/>
      <c r="AU758" s="14"/>
      <c r="AV758" s="14"/>
      <c r="AW758" s="14"/>
      <c r="AX758" s="14"/>
      <c r="AY758" s="14"/>
      <c r="AZ758" s="14"/>
      <c r="BA758" s="14"/>
      <c r="BB758" s="14"/>
      <c r="BC758" s="14"/>
      <c r="BD758" s="14"/>
      <c r="BE758" s="14"/>
      <c r="BF758" s="14"/>
      <c r="BG758" s="14"/>
      <c r="BH758" s="14"/>
      <c r="BI758" s="14"/>
      <c r="BJ758" s="14"/>
      <c r="BK758" s="14"/>
      <c r="BL758" s="14"/>
      <c r="BM758" s="14"/>
      <c r="BN758" s="14"/>
    </row>
    <row r="759" ht="22.5" customHeight="1">
      <c r="A759" s="493"/>
      <c r="B759" s="350"/>
      <c r="C759" s="351"/>
      <c r="D759" s="447"/>
      <c r="E759" s="494"/>
      <c r="F759" s="495"/>
      <c r="G759" s="434"/>
      <c r="H759" s="394"/>
      <c r="I759" s="394"/>
      <c r="J759" s="477"/>
      <c r="K759" s="479"/>
      <c r="L759" s="496"/>
      <c r="M759" s="496"/>
      <c r="N759" s="360"/>
      <c r="O759" s="497"/>
      <c r="P759" s="362"/>
      <c r="Q759" s="387"/>
      <c r="R759" s="387"/>
      <c r="S759" s="439"/>
      <c r="T759" s="439"/>
      <c r="U759" s="498"/>
      <c r="V759" s="430"/>
      <c r="W759" s="382"/>
      <c r="X759" s="366"/>
      <c r="Y759" s="366"/>
      <c r="Z759" s="367"/>
      <c r="AA759" s="367"/>
      <c r="AB759" s="13"/>
      <c r="AC759" s="13"/>
      <c r="AD759" s="13"/>
      <c r="AE759" s="13"/>
      <c r="AF759" s="13"/>
      <c r="AG759" s="13"/>
      <c r="AH759" s="13"/>
      <c r="AI759" s="13"/>
      <c r="AJ759" s="13"/>
      <c r="AK759" s="13"/>
      <c r="AL759" s="13"/>
      <c r="AM759" s="14"/>
      <c r="AN759" s="14"/>
      <c r="AO759" s="14"/>
      <c r="AP759" s="14"/>
      <c r="AQ759" s="14"/>
      <c r="AR759" s="14"/>
      <c r="AS759" s="14"/>
      <c r="AT759" s="14"/>
      <c r="AU759" s="14"/>
      <c r="AV759" s="14"/>
      <c r="AW759" s="14"/>
      <c r="AX759" s="14"/>
      <c r="AY759" s="14"/>
      <c r="AZ759" s="14"/>
      <c r="BA759" s="14"/>
      <c r="BB759" s="14"/>
      <c r="BC759" s="14"/>
      <c r="BD759" s="14"/>
      <c r="BE759" s="14"/>
      <c r="BF759" s="14"/>
      <c r="BG759" s="14"/>
      <c r="BH759" s="14"/>
      <c r="BI759" s="14"/>
      <c r="BJ759" s="14"/>
      <c r="BK759" s="14"/>
      <c r="BL759" s="14"/>
      <c r="BM759" s="14"/>
      <c r="BN759" s="14"/>
    </row>
    <row r="760" ht="22.5" customHeight="1">
      <c r="A760" s="493"/>
      <c r="B760" s="350"/>
      <c r="C760" s="351"/>
      <c r="D760" s="447"/>
      <c r="E760" s="494"/>
      <c r="F760" s="495"/>
      <c r="G760" s="434"/>
      <c r="H760" s="394"/>
      <c r="I760" s="394"/>
      <c r="J760" s="477"/>
      <c r="K760" s="479"/>
      <c r="L760" s="496"/>
      <c r="M760" s="496"/>
      <c r="N760" s="360"/>
      <c r="O760" s="497"/>
      <c r="P760" s="362"/>
      <c r="Q760" s="387"/>
      <c r="R760" s="387"/>
      <c r="S760" s="439"/>
      <c r="T760" s="439"/>
      <c r="U760" s="498"/>
      <c r="V760" s="430"/>
      <c r="W760" s="382"/>
      <c r="X760" s="366"/>
      <c r="Y760" s="366"/>
      <c r="Z760" s="367"/>
      <c r="AA760" s="367"/>
      <c r="AB760" s="13"/>
      <c r="AC760" s="13"/>
      <c r="AD760" s="13"/>
      <c r="AE760" s="13"/>
      <c r="AF760" s="13"/>
      <c r="AG760" s="13"/>
      <c r="AH760" s="13"/>
      <c r="AI760" s="13"/>
      <c r="AJ760" s="13"/>
      <c r="AK760" s="13"/>
      <c r="AL760" s="13"/>
      <c r="AM760" s="14"/>
      <c r="AN760" s="14"/>
      <c r="AO760" s="14"/>
      <c r="AP760" s="14"/>
      <c r="AQ760" s="14"/>
      <c r="AR760" s="14"/>
      <c r="AS760" s="14"/>
      <c r="AT760" s="14"/>
      <c r="AU760" s="14"/>
      <c r="AV760" s="14"/>
      <c r="AW760" s="14"/>
      <c r="AX760" s="14"/>
      <c r="AY760" s="14"/>
      <c r="AZ760" s="14"/>
      <c r="BA760" s="14"/>
      <c r="BB760" s="14"/>
      <c r="BC760" s="14"/>
      <c r="BD760" s="14"/>
      <c r="BE760" s="14"/>
      <c r="BF760" s="14"/>
      <c r="BG760" s="14"/>
      <c r="BH760" s="14"/>
      <c r="BI760" s="14"/>
      <c r="BJ760" s="14"/>
      <c r="BK760" s="14"/>
      <c r="BL760" s="14"/>
      <c r="BM760" s="14"/>
      <c r="BN760" s="14"/>
    </row>
    <row r="761" ht="22.5" customHeight="1">
      <c r="A761" s="493"/>
      <c r="B761" s="350"/>
      <c r="C761" s="351"/>
      <c r="D761" s="447"/>
      <c r="E761" s="494"/>
      <c r="F761" s="495"/>
      <c r="G761" s="434"/>
      <c r="H761" s="394"/>
      <c r="I761" s="394"/>
      <c r="J761" s="477"/>
      <c r="K761" s="479"/>
      <c r="L761" s="496"/>
      <c r="M761" s="496"/>
      <c r="N761" s="360"/>
      <c r="O761" s="497"/>
      <c r="P761" s="362"/>
      <c r="Q761" s="387"/>
      <c r="R761" s="387"/>
      <c r="S761" s="439"/>
      <c r="T761" s="439"/>
      <c r="U761" s="498"/>
      <c r="V761" s="430"/>
      <c r="W761" s="382"/>
      <c r="X761" s="366"/>
      <c r="Y761" s="366"/>
      <c r="Z761" s="367"/>
      <c r="AA761" s="367"/>
      <c r="AB761" s="13"/>
      <c r="AC761" s="13"/>
      <c r="AD761" s="13"/>
      <c r="AE761" s="13"/>
      <c r="AF761" s="13"/>
      <c r="AG761" s="13"/>
      <c r="AH761" s="13"/>
      <c r="AI761" s="13"/>
      <c r="AJ761" s="13"/>
      <c r="AK761" s="13"/>
      <c r="AL761" s="13"/>
      <c r="AM761" s="14"/>
      <c r="AN761" s="14"/>
      <c r="AO761" s="14"/>
      <c r="AP761" s="14"/>
      <c r="AQ761" s="14"/>
      <c r="AR761" s="14"/>
      <c r="AS761" s="14"/>
      <c r="AT761" s="14"/>
      <c r="AU761" s="14"/>
      <c r="AV761" s="14"/>
      <c r="AW761" s="14"/>
      <c r="AX761" s="14"/>
      <c r="AY761" s="14"/>
      <c r="AZ761" s="14"/>
      <c r="BA761" s="14"/>
      <c r="BB761" s="14"/>
      <c r="BC761" s="14"/>
      <c r="BD761" s="14"/>
      <c r="BE761" s="14"/>
      <c r="BF761" s="14"/>
      <c r="BG761" s="14"/>
      <c r="BH761" s="14"/>
      <c r="BI761" s="14"/>
      <c r="BJ761" s="14"/>
      <c r="BK761" s="14"/>
      <c r="BL761" s="14"/>
      <c r="BM761" s="14"/>
      <c r="BN761" s="14"/>
    </row>
    <row r="762" ht="22.5" customHeight="1">
      <c r="A762" s="493"/>
      <c r="B762" s="350"/>
      <c r="C762" s="351"/>
      <c r="D762" s="447"/>
      <c r="E762" s="494"/>
      <c r="F762" s="495"/>
      <c r="G762" s="434"/>
      <c r="H762" s="394"/>
      <c r="I762" s="394"/>
      <c r="J762" s="477"/>
      <c r="K762" s="479"/>
      <c r="L762" s="496"/>
      <c r="M762" s="496"/>
      <c r="N762" s="360"/>
      <c r="O762" s="497"/>
      <c r="P762" s="362"/>
      <c r="Q762" s="387"/>
      <c r="R762" s="387"/>
      <c r="S762" s="439"/>
      <c r="T762" s="439"/>
      <c r="U762" s="498"/>
      <c r="V762" s="430"/>
      <c r="W762" s="382"/>
      <c r="X762" s="366"/>
      <c r="Y762" s="366"/>
      <c r="Z762" s="367"/>
      <c r="AA762" s="367"/>
      <c r="AB762" s="13"/>
      <c r="AC762" s="13"/>
      <c r="AD762" s="13"/>
      <c r="AE762" s="13"/>
      <c r="AF762" s="13"/>
      <c r="AG762" s="13"/>
      <c r="AH762" s="13"/>
      <c r="AI762" s="13"/>
      <c r="AJ762" s="13"/>
      <c r="AK762" s="13"/>
      <c r="AL762" s="13"/>
      <c r="AM762" s="14"/>
      <c r="AN762" s="14"/>
      <c r="AO762" s="14"/>
      <c r="AP762" s="14"/>
      <c r="AQ762" s="14"/>
      <c r="AR762" s="14"/>
      <c r="AS762" s="14"/>
      <c r="AT762" s="14"/>
      <c r="AU762" s="14"/>
      <c r="AV762" s="14"/>
      <c r="AW762" s="14"/>
      <c r="AX762" s="14"/>
      <c r="AY762" s="14"/>
      <c r="AZ762" s="14"/>
      <c r="BA762" s="14"/>
      <c r="BB762" s="14"/>
      <c r="BC762" s="14"/>
      <c r="BD762" s="14"/>
      <c r="BE762" s="14"/>
      <c r="BF762" s="14"/>
      <c r="BG762" s="14"/>
      <c r="BH762" s="14"/>
      <c r="BI762" s="14"/>
      <c r="BJ762" s="14"/>
      <c r="BK762" s="14"/>
      <c r="BL762" s="14"/>
      <c r="BM762" s="14"/>
      <c r="BN762" s="14"/>
    </row>
    <row r="763" ht="22.5" customHeight="1">
      <c r="A763" s="493"/>
      <c r="B763" s="350"/>
      <c r="C763" s="351"/>
      <c r="D763" s="447"/>
      <c r="E763" s="494"/>
      <c r="F763" s="495"/>
      <c r="G763" s="434"/>
      <c r="H763" s="394"/>
      <c r="I763" s="394"/>
      <c r="J763" s="477"/>
      <c r="K763" s="479"/>
      <c r="L763" s="496"/>
      <c r="M763" s="496"/>
      <c r="N763" s="360"/>
      <c r="O763" s="497"/>
      <c r="P763" s="362"/>
      <c r="Q763" s="387"/>
      <c r="R763" s="387"/>
      <c r="S763" s="439"/>
      <c r="T763" s="439"/>
      <c r="U763" s="498"/>
      <c r="V763" s="430"/>
      <c r="W763" s="382"/>
      <c r="X763" s="366"/>
      <c r="Y763" s="366"/>
      <c r="Z763" s="367"/>
      <c r="AA763" s="367"/>
      <c r="AB763" s="13"/>
      <c r="AC763" s="13"/>
      <c r="AD763" s="13"/>
      <c r="AE763" s="13"/>
      <c r="AF763" s="13"/>
      <c r="AG763" s="13"/>
      <c r="AH763" s="13"/>
      <c r="AI763" s="13"/>
      <c r="AJ763" s="13"/>
      <c r="AK763" s="13"/>
      <c r="AL763" s="13"/>
      <c r="AM763" s="14"/>
      <c r="AN763" s="14"/>
      <c r="AO763" s="14"/>
      <c r="AP763" s="14"/>
      <c r="AQ763" s="14"/>
      <c r="AR763" s="14"/>
      <c r="AS763" s="14"/>
      <c r="AT763" s="14"/>
      <c r="AU763" s="14"/>
      <c r="AV763" s="14"/>
      <c r="AW763" s="14"/>
      <c r="AX763" s="14"/>
      <c r="AY763" s="14"/>
      <c r="AZ763" s="14"/>
      <c r="BA763" s="14"/>
      <c r="BB763" s="14"/>
      <c r="BC763" s="14"/>
      <c r="BD763" s="14"/>
      <c r="BE763" s="14"/>
      <c r="BF763" s="14"/>
      <c r="BG763" s="14"/>
      <c r="BH763" s="14"/>
      <c r="BI763" s="14"/>
      <c r="BJ763" s="14"/>
      <c r="BK763" s="14"/>
      <c r="BL763" s="14"/>
      <c r="BM763" s="14"/>
      <c r="BN763" s="14"/>
    </row>
    <row r="764" ht="22.5" customHeight="1">
      <c r="A764" s="493"/>
      <c r="B764" s="350"/>
      <c r="C764" s="351"/>
      <c r="D764" s="447"/>
      <c r="E764" s="494"/>
      <c r="F764" s="495"/>
      <c r="G764" s="434"/>
      <c r="H764" s="394"/>
      <c r="I764" s="394"/>
      <c r="J764" s="477"/>
      <c r="K764" s="479"/>
      <c r="L764" s="496"/>
      <c r="M764" s="496"/>
      <c r="N764" s="360"/>
      <c r="O764" s="497"/>
      <c r="P764" s="362"/>
      <c r="Q764" s="387"/>
      <c r="R764" s="387"/>
      <c r="S764" s="439"/>
      <c r="T764" s="439"/>
      <c r="U764" s="498"/>
      <c r="V764" s="430"/>
      <c r="W764" s="382"/>
      <c r="X764" s="366"/>
      <c r="Y764" s="366"/>
      <c r="Z764" s="367"/>
      <c r="AA764" s="367"/>
      <c r="AB764" s="13"/>
      <c r="AC764" s="13"/>
      <c r="AD764" s="13"/>
      <c r="AE764" s="13"/>
      <c r="AF764" s="13"/>
      <c r="AG764" s="13"/>
      <c r="AH764" s="13"/>
      <c r="AI764" s="13"/>
      <c r="AJ764" s="13"/>
      <c r="AK764" s="13"/>
      <c r="AL764" s="13"/>
      <c r="AM764" s="14"/>
      <c r="AN764" s="14"/>
      <c r="AO764" s="14"/>
      <c r="AP764" s="14"/>
      <c r="AQ764" s="14"/>
      <c r="AR764" s="14"/>
      <c r="AS764" s="14"/>
      <c r="AT764" s="14"/>
      <c r="AU764" s="14"/>
      <c r="AV764" s="14"/>
      <c r="AW764" s="14"/>
      <c r="AX764" s="14"/>
      <c r="AY764" s="14"/>
      <c r="AZ764" s="14"/>
      <c r="BA764" s="14"/>
      <c r="BB764" s="14"/>
      <c r="BC764" s="14"/>
      <c r="BD764" s="14"/>
      <c r="BE764" s="14"/>
      <c r="BF764" s="14"/>
      <c r="BG764" s="14"/>
      <c r="BH764" s="14"/>
      <c r="BI764" s="14"/>
      <c r="BJ764" s="14"/>
      <c r="BK764" s="14"/>
      <c r="BL764" s="14"/>
      <c r="BM764" s="14"/>
      <c r="BN764" s="14"/>
    </row>
    <row r="765" ht="22.5" customHeight="1">
      <c r="A765" s="493"/>
      <c r="B765" s="350"/>
      <c r="C765" s="351"/>
      <c r="D765" s="447"/>
      <c r="E765" s="494"/>
      <c r="F765" s="495"/>
      <c r="G765" s="434"/>
      <c r="H765" s="394"/>
      <c r="I765" s="394"/>
      <c r="J765" s="477"/>
      <c r="K765" s="479"/>
      <c r="L765" s="496"/>
      <c r="M765" s="496"/>
      <c r="N765" s="360"/>
      <c r="O765" s="497"/>
      <c r="P765" s="362"/>
      <c r="Q765" s="387"/>
      <c r="R765" s="387"/>
      <c r="S765" s="439"/>
      <c r="T765" s="439"/>
      <c r="U765" s="498"/>
      <c r="V765" s="430"/>
      <c r="W765" s="382"/>
      <c r="X765" s="366"/>
      <c r="Y765" s="366"/>
      <c r="Z765" s="367"/>
      <c r="AA765" s="367"/>
      <c r="AB765" s="13"/>
      <c r="AC765" s="13"/>
      <c r="AD765" s="13"/>
      <c r="AE765" s="13"/>
      <c r="AF765" s="13"/>
      <c r="AG765" s="13"/>
      <c r="AH765" s="13"/>
      <c r="AI765" s="13"/>
      <c r="AJ765" s="13"/>
      <c r="AK765" s="13"/>
      <c r="AL765" s="13"/>
      <c r="AM765" s="14"/>
      <c r="AN765" s="14"/>
      <c r="AO765" s="14"/>
      <c r="AP765" s="14"/>
      <c r="AQ765" s="14"/>
      <c r="AR765" s="14"/>
      <c r="AS765" s="14"/>
      <c r="AT765" s="14"/>
      <c r="AU765" s="14"/>
      <c r="AV765" s="14"/>
      <c r="AW765" s="14"/>
      <c r="AX765" s="14"/>
      <c r="AY765" s="14"/>
      <c r="AZ765" s="14"/>
      <c r="BA765" s="14"/>
      <c r="BB765" s="14"/>
      <c r="BC765" s="14"/>
      <c r="BD765" s="14"/>
      <c r="BE765" s="14"/>
      <c r="BF765" s="14"/>
      <c r="BG765" s="14"/>
      <c r="BH765" s="14"/>
      <c r="BI765" s="14"/>
      <c r="BJ765" s="14"/>
      <c r="BK765" s="14"/>
      <c r="BL765" s="14"/>
      <c r="BM765" s="14"/>
      <c r="BN765" s="14"/>
    </row>
    <row r="766" ht="22.5" customHeight="1">
      <c r="A766" s="493"/>
      <c r="B766" s="350"/>
      <c r="C766" s="351"/>
      <c r="D766" s="447"/>
      <c r="E766" s="494"/>
      <c r="F766" s="495"/>
      <c r="G766" s="434"/>
      <c r="H766" s="394"/>
      <c r="I766" s="394"/>
      <c r="J766" s="477"/>
      <c r="K766" s="479"/>
      <c r="L766" s="496"/>
      <c r="M766" s="496"/>
      <c r="N766" s="360"/>
      <c r="O766" s="497"/>
      <c r="P766" s="362"/>
      <c r="Q766" s="387"/>
      <c r="R766" s="387"/>
      <c r="S766" s="439"/>
      <c r="T766" s="439"/>
      <c r="U766" s="498"/>
      <c r="V766" s="430"/>
      <c r="W766" s="382"/>
      <c r="X766" s="366"/>
      <c r="Y766" s="366"/>
      <c r="Z766" s="367"/>
      <c r="AA766" s="367"/>
      <c r="AB766" s="13"/>
      <c r="AC766" s="13"/>
      <c r="AD766" s="13"/>
      <c r="AE766" s="13"/>
      <c r="AF766" s="13"/>
      <c r="AG766" s="13"/>
      <c r="AH766" s="13"/>
      <c r="AI766" s="13"/>
      <c r="AJ766" s="13"/>
      <c r="AK766" s="13"/>
      <c r="AL766" s="13"/>
      <c r="AM766" s="14"/>
      <c r="AN766" s="14"/>
      <c r="AO766" s="14"/>
      <c r="AP766" s="14"/>
      <c r="AQ766" s="14"/>
      <c r="AR766" s="14"/>
      <c r="AS766" s="14"/>
      <c r="AT766" s="14"/>
      <c r="AU766" s="14"/>
      <c r="AV766" s="14"/>
      <c r="AW766" s="14"/>
      <c r="AX766" s="14"/>
      <c r="AY766" s="14"/>
      <c r="AZ766" s="14"/>
      <c r="BA766" s="14"/>
      <c r="BB766" s="14"/>
      <c r="BC766" s="14"/>
      <c r="BD766" s="14"/>
      <c r="BE766" s="14"/>
      <c r="BF766" s="14"/>
      <c r="BG766" s="14"/>
      <c r="BH766" s="14"/>
      <c r="BI766" s="14"/>
      <c r="BJ766" s="14"/>
      <c r="BK766" s="14"/>
      <c r="BL766" s="14"/>
      <c r="BM766" s="14"/>
      <c r="BN766" s="14"/>
    </row>
    <row r="767" ht="22.5" customHeight="1">
      <c r="A767" s="493"/>
      <c r="B767" s="350"/>
      <c r="C767" s="351"/>
      <c r="D767" s="447"/>
      <c r="E767" s="494"/>
      <c r="F767" s="495"/>
      <c r="G767" s="434"/>
      <c r="H767" s="394"/>
      <c r="I767" s="394"/>
      <c r="J767" s="477"/>
      <c r="K767" s="479"/>
      <c r="L767" s="496"/>
      <c r="M767" s="496"/>
      <c r="N767" s="360"/>
      <c r="O767" s="497"/>
      <c r="P767" s="362"/>
      <c r="Q767" s="387"/>
      <c r="R767" s="387"/>
      <c r="S767" s="439"/>
      <c r="T767" s="439"/>
      <c r="U767" s="498"/>
      <c r="V767" s="430"/>
      <c r="W767" s="382"/>
      <c r="X767" s="366"/>
      <c r="Y767" s="366"/>
      <c r="Z767" s="367"/>
      <c r="AA767" s="367"/>
      <c r="AB767" s="13"/>
      <c r="AC767" s="13"/>
      <c r="AD767" s="13"/>
      <c r="AE767" s="13"/>
      <c r="AF767" s="13"/>
      <c r="AG767" s="13"/>
      <c r="AH767" s="13"/>
      <c r="AI767" s="13"/>
      <c r="AJ767" s="13"/>
      <c r="AK767" s="13"/>
      <c r="AL767" s="13"/>
      <c r="AM767" s="14"/>
      <c r="AN767" s="14"/>
      <c r="AO767" s="14"/>
      <c r="AP767" s="14"/>
      <c r="AQ767" s="14"/>
      <c r="AR767" s="14"/>
      <c r="AS767" s="14"/>
      <c r="AT767" s="14"/>
      <c r="AU767" s="14"/>
      <c r="AV767" s="14"/>
      <c r="AW767" s="14"/>
      <c r="AX767" s="14"/>
      <c r="AY767" s="14"/>
      <c r="AZ767" s="14"/>
      <c r="BA767" s="14"/>
      <c r="BB767" s="14"/>
      <c r="BC767" s="14"/>
      <c r="BD767" s="14"/>
      <c r="BE767" s="14"/>
      <c r="BF767" s="14"/>
      <c r="BG767" s="14"/>
      <c r="BH767" s="14"/>
      <c r="BI767" s="14"/>
      <c r="BJ767" s="14"/>
      <c r="BK767" s="14"/>
      <c r="BL767" s="14"/>
      <c r="BM767" s="14"/>
      <c r="BN767" s="14"/>
    </row>
    <row r="768" ht="22.5" customHeight="1">
      <c r="A768" s="493"/>
      <c r="B768" s="350"/>
      <c r="C768" s="351"/>
      <c r="D768" s="447"/>
      <c r="E768" s="494"/>
      <c r="F768" s="495"/>
      <c r="G768" s="434"/>
      <c r="H768" s="394"/>
      <c r="I768" s="394"/>
      <c r="J768" s="477"/>
      <c r="K768" s="479"/>
      <c r="L768" s="496"/>
      <c r="M768" s="496"/>
      <c r="N768" s="360"/>
      <c r="O768" s="497"/>
      <c r="P768" s="362"/>
      <c r="Q768" s="387"/>
      <c r="R768" s="387"/>
      <c r="S768" s="439"/>
      <c r="T768" s="439"/>
      <c r="U768" s="498"/>
      <c r="V768" s="430"/>
      <c r="W768" s="382"/>
      <c r="X768" s="366"/>
      <c r="Y768" s="366"/>
      <c r="Z768" s="367"/>
      <c r="AA768" s="367"/>
      <c r="AB768" s="13"/>
      <c r="AC768" s="13"/>
      <c r="AD768" s="13"/>
      <c r="AE768" s="13"/>
      <c r="AF768" s="13"/>
      <c r="AG768" s="13"/>
      <c r="AH768" s="13"/>
      <c r="AI768" s="13"/>
      <c r="AJ768" s="13"/>
      <c r="AK768" s="13"/>
      <c r="AL768" s="13"/>
      <c r="AM768" s="14"/>
      <c r="AN768" s="14"/>
      <c r="AO768" s="14"/>
      <c r="AP768" s="14"/>
      <c r="AQ768" s="14"/>
      <c r="AR768" s="14"/>
      <c r="AS768" s="14"/>
      <c r="AT768" s="14"/>
      <c r="AU768" s="14"/>
      <c r="AV768" s="14"/>
      <c r="AW768" s="14"/>
      <c r="AX768" s="14"/>
      <c r="AY768" s="14"/>
      <c r="AZ768" s="14"/>
      <c r="BA768" s="14"/>
      <c r="BB768" s="14"/>
      <c r="BC768" s="14"/>
      <c r="BD768" s="14"/>
      <c r="BE768" s="14"/>
      <c r="BF768" s="14"/>
      <c r="BG768" s="14"/>
      <c r="BH768" s="14"/>
      <c r="BI768" s="14"/>
      <c r="BJ768" s="14"/>
      <c r="BK768" s="14"/>
      <c r="BL768" s="14"/>
      <c r="BM768" s="14"/>
      <c r="BN768" s="14"/>
    </row>
    <row r="769" ht="22.5" customHeight="1">
      <c r="A769" s="493"/>
      <c r="B769" s="350"/>
      <c r="C769" s="351"/>
      <c r="D769" s="447"/>
      <c r="E769" s="494"/>
      <c r="F769" s="495"/>
      <c r="G769" s="434"/>
      <c r="H769" s="394"/>
      <c r="I769" s="394"/>
      <c r="J769" s="477"/>
      <c r="K769" s="479"/>
      <c r="L769" s="496"/>
      <c r="M769" s="496"/>
      <c r="N769" s="360"/>
      <c r="O769" s="497"/>
      <c r="P769" s="362"/>
      <c r="Q769" s="387"/>
      <c r="R769" s="387"/>
      <c r="S769" s="439"/>
      <c r="T769" s="439"/>
      <c r="U769" s="498"/>
      <c r="V769" s="430"/>
      <c r="W769" s="382"/>
      <c r="X769" s="366"/>
      <c r="Y769" s="366"/>
      <c r="Z769" s="367"/>
      <c r="AA769" s="367"/>
      <c r="AB769" s="13"/>
      <c r="AC769" s="13"/>
      <c r="AD769" s="13"/>
      <c r="AE769" s="13"/>
      <c r="AF769" s="13"/>
      <c r="AG769" s="13"/>
      <c r="AH769" s="13"/>
      <c r="AI769" s="13"/>
      <c r="AJ769" s="13"/>
      <c r="AK769" s="13"/>
      <c r="AL769" s="13"/>
      <c r="AM769" s="14"/>
      <c r="AN769" s="14"/>
      <c r="AO769" s="14"/>
      <c r="AP769" s="14"/>
      <c r="AQ769" s="14"/>
      <c r="AR769" s="14"/>
      <c r="AS769" s="14"/>
      <c r="AT769" s="14"/>
      <c r="AU769" s="14"/>
      <c r="AV769" s="14"/>
      <c r="AW769" s="14"/>
      <c r="AX769" s="14"/>
      <c r="AY769" s="14"/>
      <c r="AZ769" s="14"/>
      <c r="BA769" s="14"/>
      <c r="BB769" s="14"/>
      <c r="BC769" s="14"/>
      <c r="BD769" s="14"/>
      <c r="BE769" s="14"/>
      <c r="BF769" s="14"/>
      <c r="BG769" s="14"/>
      <c r="BH769" s="14"/>
      <c r="BI769" s="14"/>
      <c r="BJ769" s="14"/>
      <c r="BK769" s="14"/>
      <c r="BL769" s="14"/>
      <c r="BM769" s="14"/>
      <c r="BN769" s="14"/>
    </row>
    <row r="770" ht="22.5" customHeight="1">
      <c r="A770" s="493"/>
      <c r="B770" s="350"/>
      <c r="C770" s="351"/>
      <c r="D770" s="447"/>
      <c r="E770" s="494"/>
      <c r="F770" s="495"/>
      <c r="G770" s="434"/>
      <c r="H770" s="394"/>
      <c r="I770" s="394"/>
      <c r="J770" s="477"/>
      <c r="K770" s="479"/>
      <c r="L770" s="496"/>
      <c r="M770" s="496"/>
      <c r="N770" s="360"/>
      <c r="O770" s="497"/>
      <c r="P770" s="362"/>
      <c r="Q770" s="387"/>
      <c r="R770" s="387"/>
      <c r="S770" s="439"/>
      <c r="T770" s="439"/>
      <c r="U770" s="498"/>
      <c r="V770" s="430"/>
      <c r="W770" s="382"/>
      <c r="X770" s="366"/>
      <c r="Y770" s="366"/>
      <c r="Z770" s="367"/>
      <c r="AA770" s="367"/>
      <c r="AB770" s="13"/>
      <c r="AC770" s="13"/>
      <c r="AD770" s="13"/>
      <c r="AE770" s="13"/>
      <c r="AF770" s="13"/>
      <c r="AG770" s="13"/>
      <c r="AH770" s="13"/>
      <c r="AI770" s="13"/>
      <c r="AJ770" s="13"/>
      <c r="AK770" s="13"/>
      <c r="AL770" s="13"/>
      <c r="AM770" s="14"/>
      <c r="AN770" s="14"/>
      <c r="AO770" s="14"/>
      <c r="AP770" s="14"/>
      <c r="AQ770" s="14"/>
      <c r="AR770" s="14"/>
      <c r="AS770" s="14"/>
      <c r="AT770" s="14"/>
      <c r="AU770" s="14"/>
      <c r="AV770" s="14"/>
      <c r="AW770" s="14"/>
      <c r="AX770" s="14"/>
      <c r="AY770" s="14"/>
      <c r="AZ770" s="14"/>
      <c r="BA770" s="14"/>
      <c r="BB770" s="14"/>
      <c r="BC770" s="14"/>
      <c r="BD770" s="14"/>
      <c r="BE770" s="14"/>
      <c r="BF770" s="14"/>
      <c r="BG770" s="14"/>
      <c r="BH770" s="14"/>
      <c r="BI770" s="14"/>
      <c r="BJ770" s="14"/>
      <c r="BK770" s="14"/>
      <c r="BL770" s="14"/>
      <c r="BM770" s="14"/>
      <c r="BN770" s="14"/>
    </row>
    <row r="771" ht="22.5" customHeight="1">
      <c r="A771" s="493"/>
      <c r="B771" s="350"/>
      <c r="C771" s="351"/>
      <c r="D771" s="447"/>
      <c r="E771" s="494"/>
      <c r="F771" s="495"/>
      <c r="G771" s="434"/>
      <c r="H771" s="394"/>
      <c r="I771" s="394"/>
      <c r="J771" s="477"/>
      <c r="K771" s="479"/>
      <c r="L771" s="496"/>
      <c r="M771" s="496"/>
      <c r="N771" s="360"/>
      <c r="O771" s="497"/>
      <c r="P771" s="362"/>
      <c r="Q771" s="387"/>
      <c r="R771" s="387"/>
      <c r="S771" s="439"/>
      <c r="T771" s="439"/>
      <c r="U771" s="498"/>
      <c r="V771" s="430"/>
      <c r="W771" s="382"/>
      <c r="X771" s="366"/>
      <c r="Y771" s="366"/>
      <c r="Z771" s="367"/>
      <c r="AA771" s="367"/>
      <c r="AB771" s="13"/>
      <c r="AC771" s="13"/>
      <c r="AD771" s="13"/>
      <c r="AE771" s="13"/>
      <c r="AF771" s="13"/>
      <c r="AG771" s="13"/>
      <c r="AH771" s="13"/>
      <c r="AI771" s="13"/>
      <c r="AJ771" s="13"/>
      <c r="AK771" s="13"/>
      <c r="AL771" s="13"/>
      <c r="AM771" s="14"/>
      <c r="AN771" s="14"/>
      <c r="AO771" s="14"/>
      <c r="AP771" s="14"/>
      <c r="AQ771" s="14"/>
      <c r="AR771" s="14"/>
      <c r="AS771" s="14"/>
      <c r="AT771" s="14"/>
      <c r="AU771" s="14"/>
      <c r="AV771" s="14"/>
      <c r="AW771" s="14"/>
      <c r="AX771" s="14"/>
      <c r="AY771" s="14"/>
      <c r="AZ771" s="14"/>
      <c r="BA771" s="14"/>
      <c r="BB771" s="14"/>
      <c r="BC771" s="14"/>
      <c r="BD771" s="14"/>
      <c r="BE771" s="14"/>
      <c r="BF771" s="14"/>
      <c r="BG771" s="14"/>
      <c r="BH771" s="14"/>
      <c r="BI771" s="14"/>
      <c r="BJ771" s="14"/>
      <c r="BK771" s="14"/>
      <c r="BL771" s="14"/>
      <c r="BM771" s="14"/>
      <c r="BN771" s="14"/>
    </row>
    <row r="772" ht="22.5" customHeight="1">
      <c r="A772" s="493"/>
      <c r="B772" s="350"/>
      <c r="C772" s="351"/>
      <c r="D772" s="447"/>
      <c r="E772" s="494"/>
      <c r="F772" s="495"/>
      <c r="G772" s="434"/>
      <c r="H772" s="394"/>
      <c r="I772" s="394"/>
      <c r="J772" s="477"/>
      <c r="K772" s="479"/>
      <c r="L772" s="496"/>
      <c r="M772" s="496"/>
      <c r="N772" s="360"/>
      <c r="O772" s="497"/>
      <c r="P772" s="362"/>
      <c r="Q772" s="387"/>
      <c r="R772" s="387"/>
      <c r="S772" s="439"/>
      <c r="T772" s="439"/>
      <c r="U772" s="498"/>
      <c r="V772" s="430"/>
      <c r="W772" s="382"/>
      <c r="X772" s="366"/>
      <c r="Y772" s="366"/>
      <c r="Z772" s="367"/>
      <c r="AA772" s="367"/>
      <c r="AB772" s="13"/>
      <c r="AC772" s="13"/>
      <c r="AD772" s="13"/>
      <c r="AE772" s="13"/>
      <c r="AF772" s="13"/>
      <c r="AG772" s="13"/>
      <c r="AH772" s="13"/>
      <c r="AI772" s="13"/>
      <c r="AJ772" s="13"/>
      <c r="AK772" s="13"/>
      <c r="AL772" s="13"/>
      <c r="AM772" s="14"/>
      <c r="AN772" s="14"/>
      <c r="AO772" s="14"/>
      <c r="AP772" s="14"/>
      <c r="AQ772" s="14"/>
      <c r="AR772" s="14"/>
      <c r="AS772" s="14"/>
      <c r="AT772" s="14"/>
      <c r="AU772" s="14"/>
      <c r="AV772" s="14"/>
      <c r="AW772" s="14"/>
      <c r="AX772" s="14"/>
      <c r="AY772" s="14"/>
      <c r="AZ772" s="14"/>
      <c r="BA772" s="14"/>
      <c r="BB772" s="14"/>
      <c r="BC772" s="14"/>
      <c r="BD772" s="14"/>
      <c r="BE772" s="14"/>
      <c r="BF772" s="14"/>
      <c r="BG772" s="14"/>
      <c r="BH772" s="14"/>
      <c r="BI772" s="14"/>
      <c r="BJ772" s="14"/>
      <c r="BK772" s="14"/>
      <c r="BL772" s="14"/>
      <c r="BM772" s="14"/>
      <c r="BN772" s="14"/>
    </row>
    <row r="773" ht="22.5" customHeight="1">
      <c r="A773" s="493"/>
      <c r="B773" s="350"/>
      <c r="C773" s="351"/>
      <c r="D773" s="447"/>
      <c r="E773" s="494"/>
      <c r="F773" s="495"/>
      <c r="G773" s="434"/>
      <c r="H773" s="394"/>
      <c r="I773" s="394"/>
      <c r="J773" s="477"/>
      <c r="K773" s="479"/>
      <c r="L773" s="496"/>
      <c r="M773" s="496"/>
      <c r="N773" s="360"/>
      <c r="O773" s="497"/>
      <c r="P773" s="362"/>
      <c r="Q773" s="387"/>
      <c r="R773" s="387"/>
      <c r="S773" s="439"/>
      <c r="T773" s="439"/>
      <c r="U773" s="498"/>
      <c r="V773" s="430"/>
      <c r="W773" s="382"/>
      <c r="X773" s="366"/>
      <c r="Y773" s="366"/>
      <c r="Z773" s="367"/>
      <c r="AA773" s="367"/>
      <c r="AB773" s="13"/>
      <c r="AC773" s="13"/>
      <c r="AD773" s="13"/>
      <c r="AE773" s="13"/>
      <c r="AF773" s="13"/>
      <c r="AG773" s="13"/>
      <c r="AH773" s="13"/>
      <c r="AI773" s="13"/>
      <c r="AJ773" s="13"/>
      <c r="AK773" s="13"/>
      <c r="AL773" s="13"/>
      <c r="AM773" s="14"/>
      <c r="AN773" s="14"/>
      <c r="AO773" s="14"/>
      <c r="AP773" s="14"/>
      <c r="AQ773" s="14"/>
      <c r="AR773" s="14"/>
      <c r="AS773" s="14"/>
      <c r="AT773" s="14"/>
      <c r="AU773" s="14"/>
      <c r="AV773" s="14"/>
      <c r="AW773" s="14"/>
      <c r="AX773" s="14"/>
      <c r="AY773" s="14"/>
      <c r="AZ773" s="14"/>
      <c r="BA773" s="14"/>
      <c r="BB773" s="14"/>
      <c r="BC773" s="14"/>
      <c r="BD773" s="14"/>
      <c r="BE773" s="14"/>
      <c r="BF773" s="14"/>
      <c r="BG773" s="14"/>
      <c r="BH773" s="14"/>
      <c r="BI773" s="14"/>
      <c r="BJ773" s="14"/>
      <c r="BK773" s="14"/>
      <c r="BL773" s="14"/>
      <c r="BM773" s="14"/>
      <c r="BN773" s="14"/>
    </row>
    <row r="774" ht="22.5" customHeight="1">
      <c r="A774" s="493"/>
      <c r="B774" s="350"/>
      <c r="C774" s="351"/>
      <c r="D774" s="447"/>
      <c r="E774" s="494"/>
      <c r="F774" s="495"/>
      <c r="G774" s="434"/>
      <c r="H774" s="394"/>
      <c r="I774" s="394"/>
      <c r="J774" s="477"/>
      <c r="K774" s="479"/>
      <c r="L774" s="496"/>
      <c r="M774" s="496"/>
      <c r="N774" s="360"/>
      <c r="O774" s="497"/>
      <c r="P774" s="362"/>
      <c r="Q774" s="387"/>
      <c r="R774" s="387"/>
      <c r="S774" s="439"/>
      <c r="T774" s="439"/>
      <c r="U774" s="498"/>
      <c r="V774" s="430"/>
      <c r="W774" s="382"/>
      <c r="X774" s="366"/>
      <c r="Y774" s="366"/>
      <c r="Z774" s="367"/>
      <c r="AA774" s="367"/>
      <c r="AB774" s="13"/>
      <c r="AC774" s="13"/>
      <c r="AD774" s="13"/>
      <c r="AE774" s="13"/>
      <c r="AF774" s="13"/>
      <c r="AG774" s="13"/>
      <c r="AH774" s="13"/>
      <c r="AI774" s="13"/>
      <c r="AJ774" s="13"/>
      <c r="AK774" s="13"/>
      <c r="AL774" s="13"/>
      <c r="AM774" s="14"/>
      <c r="AN774" s="14"/>
      <c r="AO774" s="14"/>
      <c r="AP774" s="14"/>
      <c r="AQ774" s="14"/>
      <c r="AR774" s="14"/>
      <c r="AS774" s="14"/>
      <c r="AT774" s="14"/>
      <c r="AU774" s="14"/>
      <c r="AV774" s="14"/>
      <c r="AW774" s="14"/>
      <c r="AX774" s="14"/>
      <c r="AY774" s="14"/>
      <c r="AZ774" s="14"/>
      <c r="BA774" s="14"/>
      <c r="BB774" s="14"/>
      <c r="BC774" s="14"/>
      <c r="BD774" s="14"/>
      <c r="BE774" s="14"/>
      <c r="BF774" s="14"/>
      <c r="BG774" s="14"/>
      <c r="BH774" s="14"/>
      <c r="BI774" s="14"/>
      <c r="BJ774" s="14"/>
      <c r="BK774" s="14"/>
      <c r="BL774" s="14"/>
      <c r="BM774" s="14"/>
      <c r="BN774" s="14"/>
    </row>
    <row r="775" ht="22.5" customHeight="1">
      <c r="A775" s="493"/>
      <c r="B775" s="350"/>
      <c r="C775" s="351"/>
      <c r="D775" s="447"/>
      <c r="E775" s="494"/>
      <c r="F775" s="495"/>
      <c r="G775" s="434"/>
      <c r="H775" s="394"/>
      <c r="I775" s="394"/>
      <c r="J775" s="477"/>
      <c r="K775" s="479"/>
      <c r="L775" s="496"/>
      <c r="M775" s="496"/>
      <c r="N775" s="360"/>
      <c r="O775" s="497"/>
      <c r="P775" s="362"/>
      <c r="Q775" s="387"/>
      <c r="R775" s="387"/>
      <c r="S775" s="439"/>
      <c r="T775" s="439"/>
      <c r="U775" s="498"/>
      <c r="V775" s="430"/>
      <c r="W775" s="382"/>
      <c r="X775" s="366"/>
      <c r="Y775" s="366"/>
      <c r="Z775" s="367"/>
      <c r="AA775" s="367"/>
      <c r="AB775" s="13"/>
      <c r="AC775" s="13"/>
      <c r="AD775" s="13"/>
      <c r="AE775" s="13"/>
      <c r="AF775" s="13"/>
      <c r="AG775" s="13"/>
      <c r="AH775" s="13"/>
      <c r="AI775" s="13"/>
      <c r="AJ775" s="13"/>
      <c r="AK775" s="13"/>
      <c r="AL775" s="13"/>
      <c r="AM775" s="14"/>
      <c r="AN775" s="14"/>
      <c r="AO775" s="14"/>
      <c r="AP775" s="14"/>
      <c r="AQ775" s="14"/>
      <c r="AR775" s="14"/>
      <c r="AS775" s="14"/>
      <c r="AT775" s="14"/>
      <c r="AU775" s="14"/>
      <c r="AV775" s="14"/>
      <c r="AW775" s="14"/>
      <c r="AX775" s="14"/>
      <c r="AY775" s="14"/>
      <c r="AZ775" s="14"/>
      <c r="BA775" s="14"/>
      <c r="BB775" s="14"/>
      <c r="BC775" s="14"/>
      <c r="BD775" s="14"/>
      <c r="BE775" s="14"/>
      <c r="BF775" s="14"/>
      <c r="BG775" s="14"/>
      <c r="BH775" s="14"/>
      <c r="BI775" s="14"/>
      <c r="BJ775" s="14"/>
      <c r="BK775" s="14"/>
      <c r="BL775" s="14"/>
      <c r="BM775" s="14"/>
      <c r="BN775" s="14"/>
    </row>
    <row r="776" ht="22.5" customHeight="1">
      <c r="A776" s="493"/>
      <c r="B776" s="350"/>
      <c r="C776" s="351"/>
      <c r="D776" s="447"/>
      <c r="E776" s="494"/>
      <c r="F776" s="495"/>
      <c r="G776" s="434"/>
      <c r="H776" s="394"/>
      <c r="I776" s="394"/>
      <c r="J776" s="477"/>
      <c r="K776" s="479"/>
      <c r="L776" s="496"/>
      <c r="M776" s="496"/>
      <c r="N776" s="360"/>
      <c r="O776" s="497"/>
      <c r="P776" s="362"/>
      <c r="Q776" s="387"/>
      <c r="R776" s="387"/>
      <c r="S776" s="439"/>
      <c r="T776" s="439"/>
      <c r="U776" s="498"/>
      <c r="V776" s="430"/>
      <c r="W776" s="382"/>
      <c r="X776" s="366"/>
      <c r="Y776" s="366"/>
      <c r="Z776" s="367"/>
      <c r="AA776" s="367"/>
      <c r="AB776" s="13"/>
      <c r="AC776" s="13"/>
      <c r="AD776" s="13"/>
      <c r="AE776" s="13"/>
      <c r="AF776" s="13"/>
      <c r="AG776" s="13"/>
      <c r="AH776" s="13"/>
      <c r="AI776" s="13"/>
      <c r="AJ776" s="13"/>
      <c r="AK776" s="13"/>
      <c r="AL776" s="13"/>
      <c r="AM776" s="14"/>
      <c r="AN776" s="14"/>
      <c r="AO776" s="14"/>
      <c r="AP776" s="14"/>
      <c r="AQ776" s="14"/>
      <c r="AR776" s="14"/>
      <c r="AS776" s="14"/>
      <c r="AT776" s="14"/>
      <c r="AU776" s="14"/>
      <c r="AV776" s="14"/>
      <c r="AW776" s="14"/>
      <c r="AX776" s="14"/>
      <c r="AY776" s="14"/>
      <c r="AZ776" s="14"/>
      <c r="BA776" s="14"/>
      <c r="BB776" s="14"/>
      <c r="BC776" s="14"/>
      <c r="BD776" s="14"/>
      <c r="BE776" s="14"/>
      <c r="BF776" s="14"/>
      <c r="BG776" s="14"/>
      <c r="BH776" s="14"/>
      <c r="BI776" s="14"/>
      <c r="BJ776" s="14"/>
      <c r="BK776" s="14"/>
      <c r="BL776" s="14"/>
      <c r="BM776" s="14"/>
      <c r="BN776" s="14"/>
    </row>
    <row r="777" ht="22.5" customHeight="1">
      <c r="A777" s="493"/>
      <c r="B777" s="350"/>
      <c r="C777" s="351"/>
      <c r="D777" s="447"/>
      <c r="E777" s="494"/>
      <c r="F777" s="495"/>
      <c r="G777" s="434"/>
      <c r="H777" s="394"/>
      <c r="I777" s="394"/>
      <c r="J777" s="477"/>
      <c r="K777" s="479"/>
      <c r="L777" s="496"/>
      <c r="M777" s="496"/>
      <c r="N777" s="360"/>
      <c r="O777" s="497"/>
      <c r="P777" s="362"/>
      <c r="Q777" s="387"/>
      <c r="R777" s="387"/>
      <c r="S777" s="439"/>
      <c r="T777" s="439"/>
      <c r="U777" s="498"/>
      <c r="V777" s="430"/>
      <c r="W777" s="382"/>
      <c r="X777" s="366"/>
      <c r="Y777" s="366"/>
      <c r="Z777" s="367"/>
      <c r="AA777" s="367"/>
      <c r="AB777" s="13"/>
      <c r="AC777" s="13"/>
      <c r="AD777" s="13"/>
      <c r="AE777" s="13"/>
      <c r="AF777" s="13"/>
      <c r="AG777" s="13"/>
      <c r="AH777" s="13"/>
      <c r="AI777" s="13"/>
      <c r="AJ777" s="13"/>
      <c r="AK777" s="13"/>
      <c r="AL777" s="13"/>
      <c r="AM777" s="14"/>
      <c r="AN777" s="14"/>
      <c r="AO777" s="14"/>
      <c r="AP777" s="14"/>
      <c r="AQ777" s="14"/>
      <c r="AR777" s="14"/>
      <c r="AS777" s="14"/>
      <c r="AT777" s="14"/>
      <c r="AU777" s="14"/>
      <c r="AV777" s="14"/>
      <c r="AW777" s="14"/>
      <c r="AX777" s="14"/>
      <c r="AY777" s="14"/>
      <c r="AZ777" s="14"/>
      <c r="BA777" s="14"/>
      <c r="BB777" s="14"/>
      <c r="BC777" s="14"/>
      <c r="BD777" s="14"/>
      <c r="BE777" s="14"/>
      <c r="BF777" s="14"/>
      <c r="BG777" s="14"/>
      <c r="BH777" s="14"/>
      <c r="BI777" s="14"/>
      <c r="BJ777" s="14"/>
      <c r="BK777" s="14"/>
      <c r="BL777" s="14"/>
      <c r="BM777" s="14"/>
      <c r="BN777" s="14"/>
    </row>
    <row r="778" ht="22.5" customHeight="1">
      <c r="A778" s="493"/>
      <c r="B778" s="350"/>
      <c r="C778" s="351"/>
      <c r="D778" s="447"/>
      <c r="E778" s="494"/>
      <c r="F778" s="495"/>
      <c r="G778" s="434"/>
      <c r="H778" s="394"/>
      <c r="I778" s="394"/>
      <c r="J778" s="477"/>
      <c r="K778" s="479"/>
      <c r="L778" s="496"/>
      <c r="M778" s="496"/>
      <c r="N778" s="360"/>
      <c r="O778" s="497"/>
      <c r="P778" s="362"/>
      <c r="Q778" s="387"/>
      <c r="R778" s="387"/>
      <c r="S778" s="439"/>
      <c r="T778" s="439"/>
      <c r="U778" s="498"/>
      <c r="V778" s="430"/>
      <c r="W778" s="382"/>
      <c r="X778" s="366"/>
      <c r="Y778" s="366"/>
      <c r="Z778" s="367"/>
      <c r="AA778" s="367"/>
      <c r="AB778" s="13"/>
      <c r="AC778" s="13"/>
      <c r="AD778" s="13"/>
      <c r="AE778" s="13"/>
      <c r="AF778" s="13"/>
      <c r="AG778" s="13"/>
      <c r="AH778" s="13"/>
      <c r="AI778" s="13"/>
      <c r="AJ778" s="13"/>
      <c r="AK778" s="13"/>
      <c r="AL778" s="13"/>
      <c r="AM778" s="14"/>
      <c r="AN778" s="14"/>
      <c r="AO778" s="14"/>
      <c r="AP778" s="14"/>
      <c r="AQ778" s="14"/>
      <c r="AR778" s="14"/>
      <c r="AS778" s="14"/>
      <c r="AT778" s="14"/>
      <c r="AU778" s="14"/>
      <c r="AV778" s="14"/>
      <c r="AW778" s="14"/>
      <c r="AX778" s="14"/>
      <c r="AY778" s="14"/>
      <c r="AZ778" s="14"/>
      <c r="BA778" s="14"/>
      <c r="BB778" s="14"/>
      <c r="BC778" s="14"/>
      <c r="BD778" s="14"/>
      <c r="BE778" s="14"/>
      <c r="BF778" s="14"/>
      <c r="BG778" s="14"/>
      <c r="BH778" s="14"/>
      <c r="BI778" s="14"/>
      <c r="BJ778" s="14"/>
      <c r="BK778" s="14"/>
      <c r="BL778" s="14"/>
      <c r="BM778" s="14"/>
      <c r="BN778" s="14"/>
    </row>
    <row r="779" ht="22.5" customHeight="1">
      <c r="A779" s="493"/>
      <c r="B779" s="350"/>
      <c r="C779" s="351"/>
      <c r="D779" s="447"/>
      <c r="E779" s="494"/>
      <c r="F779" s="495"/>
      <c r="G779" s="434"/>
      <c r="H779" s="394"/>
      <c r="I779" s="394"/>
      <c r="J779" s="477"/>
      <c r="K779" s="479"/>
      <c r="L779" s="496"/>
      <c r="M779" s="496"/>
      <c r="N779" s="360"/>
      <c r="O779" s="497"/>
      <c r="P779" s="362"/>
      <c r="Q779" s="387"/>
      <c r="R779" s="387"/>
      <c r="S779" s="439"/>
      <c r="T779" s="439"/>
      <c r="U779" s="498"/>
      <c r="V779" s="430"/>
      <c r="W779" s="382"/>
      <c r="X779" s="366"/>
      <c r="Y779" s="366"/>
      <c r="Z779" s="367"/>
      <c r="AA779" s="367"/>
      <c r="AB779" s="13"/>
      <c r="AC779" s="13"/>
      <c r="AD779" s="13"/>
      <c r="AE779" s="13"/>
      <c r="AF779" s="13"/>
      <c r="AG779" s="13"/>
      <c r="AH779" s="13"/>
      <c r="AI779" s="13"/>
      <c r="AJ779" s="13"/>
      <c r="AK779" s="13"/>
      <c r="AL779" s="13"/>
      <c r="AM779" s="14"/>
      <c r="AN779" s="14"/>
      <c r="AO779" s="14"/>
      <c r="AP779" s="14"/>
      <c r="AQ779" s="14"/>
      <c r="AR779" s="14"/>
      <c r="AS779" s="14"/>
      <c r="AT779" s="14"/>
      <c r="AU779" s="14"/>
      <c r="AV779" s="14"/>
      <c r="AW779" s="14"/>
      <c r="AX779" s="14"/>
      <c r="AY779" s="14"/>
      <c r="AZ779" s="14"/>
      <c r="BA779" s="14"/>
      <c r="BB779" s="14"/>
      <c r="BC779" s="14"/>
      <c r="BD779" s="14"/>
      <c r="BE779" s="14"/>
      <c r="BF779" s="14"/>
      <c r="BG779" s="14"/>
      <c r="BH779" s="14"/>
      <c r="BI779" s="14"/>
      <c r="BJ779" s="14"/>
      <c r="BK779" s="14"/>
      <c r="BL779" s="14"/>
      <c r="BM779" s="14"/>
      <c r="BN779" s="14"/>
    </row>
    <row r="780" ht="22.5" customHeight="1">
      <c r="A780" s="493"/>
      <c r="B780" s="350"/>
      <c r="C780" s="351"/>
      <c r="D780" s="447"/>
      <c r="E780" s="494"/>
      <c r="F780" s="495"/>
      <c r="G780" s="434"/>
      <c r="H780" s="394"/>
      <c r="I780" s="394"/>
      <c r="J780" s="477"/>
      <c r="K780" s="479"/>
      <c r="L780" s="496"/>
      <c r="M780" s="496"/>
      <c r="N780" s="360"/>
      <c r="O780" s="497"/>
      <c r="P780" s="362"/>
      <c r="Q780" s="387"/>
      <c r="R780" s="387"/>
      <c r="S780" s="439"/>
      <c r="T780" s="439"/>
      <c r="U780" s="498"/>
      <c r="V780" s="430"/>
      <c r="W780" s="382"/>
      <c r="X780" s="366"/>
      <c r="Y780" s="366"/>
      <c r="Z780" s="367"/>
      <c r="AA780" s="367"/>
      <c r="AB780" s="13"/>
      <c r="AC780" s="13"/>
      <c r="AD780" s="13"/>
      <c r="AE780" s="13"/>
      <c r="AF780" s="13"/>
      <c r="AG780" s="13"/>
      <c r="AH780" s="13"/>
      <c r="AI780" s="13"/>
      <c r="AJ780" s="13"/>
      <c r="AK780" s="13"/>
      <c r="AL780" s="13"/>
      <c r="AM780" s="14"/>
      <c r="AN780" s="14"/>
      <c r="AO780" s="14"/>
      <c r="AP780" s="14"/>
      <c r="AQ780" s="14"/>
      <c r="AR780" s="14"/>
      <c r="AS780" s="14"/>
      <c r="AT780" s="14"/>
      <c r="AU780" s="14"/>
      <c r="AV780" s="14"/>
      <c r="AW780" s="14"/>
      <c r="AX780" s="14"/>
      <c r="AY780" s="14"/>
      <c r="AZ780" s="14"/>
      <c r="BA780" s="14"/>
      <c r="BB780" s="14"/>
      <c r="BC780" s="14"/>
      <c r="BD780" s="14"/>
      <c r="BE780" s="14"/>
      <c r="BF780" s="14"/>
      <c r="BG780" s="14"/>
      <c r="BH780" s="14"/>
      <c r="BI780" s="14"/>
      <c r="BJ780" s="14"/>
      <c r="BK780" s="14"/>
      <c r="BL780" s="14"/>
      <c r="BM780" s="14"/>
      <c r="BN780" s="14"/>
    </row>
    <row r="781" ht="22.5" customHeight="1">
      <c r="A781" s="493"/>
      <c r="B781" s="350"/>
      <c r="C781" s="351"/>
      <c r="D781" s="447"/>
      <c r="E781" s="494"/>
      <c r="F781" s="495"/>
      <c r="G781" s="434"/>
      <c r="H781" s="394"/>
      <c r="I781" s="394"/>
      <c r="J781" s="477"/>
      <c r="K781" s="479"/>
      <c r="L781" s="496"/>
      <c r="M781" s="496"/>
      <c r="N781" s="360"/>
      <c r="O781" s="497"/>
      <c r="P781" s="362"/>
      <c r="Q781" s="387"/>
      <c r="R781" s="387"/>
      <c r="S781" s="439"/>
      <c r="T781" s="439"/>
      <c r="U781" s="498"/>
      <c r="V781" s="430"/>
      <c r="W781" s="382"/>
      <c r="X781" s="366"/>
      <c r="Y781" s="366"/>
      <c r="Z781" s="367"/>
      <c r="AA781" s="367"/>
      <c r="AB781" s="13"/>
      <c r="AC781" s="13"/>
      <c r="AD781" s="13"/>
      <c r="AE781" s="13"/>
      <c r="AF781" s="13"/>
      <c r="AG781" s="13"/>
      <c r="AH781" s="13"/>
      <c r="AI781" s="13"/>
      <c r="AJ781" s="13"/>
      <c r="AK781" s="13"/>
      <c r="AL781" s="13"/>
      <c r="AM781" s="14"/>
      <c r="AN781" s="14"/>
      <c r="AO781" s="14"/>
      <c r="AP781" s="14"/>
      <c r="AQ781" s="14"/>
      <c r="AR781" s="14"/>
      <c r="AS781" s="14"/>
      <c r="AT781" s="14"/>
      <c r="AU781" s="14"/>
      <c r="AV781" s="14"/>
      <c r="AW781" s="14"/>
      <c r="AX781" s="14"/>
      <c r="AY781" s="14"/>
      <c r="AZ781" s="14"/>
      <c r="BA781" s="14"/>
      <c r="BB781" s="14"/>
      <c r="BC781" s="14"/>
      <c r="BD781" s="14"/>
      <c r="BE781" s="14"/>
      <c r="BF781" s="14"/>
      <c r="BG781" s="14"/>
      <c r="BH781" s="14"/>
      <c r="BI781" s="14"/>
      <c r="BJ781" s="14"/>
      <c r="BK781" s="14"/>
      <c r="BL781" s="14"/>
      <c r="BM781" s="14"/>
      <c r="BN781" s="14"/>
    </row>
    <row r="782" ht="22.5" customHeight="1">
      <c r="A782" s="493"/>
      <c r="B782" s="350"/>
      <c r="C782" s="351"/>
      <c r="D782" s="447"/>
      <c r="E782" s="494"/>
      <c r="F782" s="495"/>
      <c r="G782" s="434"/>
      <c r="H782" s="394"/>
      <c r="I782" s="394"/>
      <c r="J782" s="477"/>
      <c r="K782" s="479"/>
      <c r="L782" s="496"/>
      <c r="M782" s="496"/>
      <c r="N782" s="360"/>
      <c r="O782" s="497"/>
      <c r="P782" s="362"/>
      <c r="Q782" s="387"/>
      <c r="R782" s="387"/>
      <c r="S782" s="439"/>
      <c r="T782" s="439"/>
      <c r="U782" s="498"/>
      <c r="V782" s="430"/>
      <c r="W782" s="382"/>
      <c r="X782" s="366"/>
      <c r="Y782" s="366"/>
      <c r="Z782" s="367"/>
      <c r="AA782" s="367"/>
      <c r="AB782" s="13"/>
      <c r="AC782" s="13"/>
      <c r="AD782" s="13"/>
      <c r="AE782" s="13"/>
      <c r="AF782" s="13"/>
      <c r="AG782" s="13"/>
      <c r="AH782" s="13"/>
      <c r="AI782" s="13"/>
      <c r="AJ782" s="13"/>
      <c r="AK782" s="13"/>
      <c r="AL782" s="13"/>
      <c r="AM782" s="14"/>
      <c r="AN782" s="14"/>
      <c r="AO782" s="14"/>
      <c r="AP782" s="14"/>
      <c r="AQ782" s="14"/>
      <c r="AR782" s="14"/>
      <c r="AS782" s="14"/>
      <c r="AT782" s="14"/>
      <c r="AU782" s="14"/>
      <c r="AV782" s="14"/>
      <c r="AW782" s="14"/>
      <c r="AX782" s="14"/>
      <c r="AY782" s="14"/>
      <c r="AZ782" s="14"/>
      <c r="BA782" s="14"/>
      <c r="BB782" s="14"/>
      <c r="BC782" s="14"/>
      <c r="BD782" s="14"/>
      <c r="BE782" s="14"/>
      <c r="BF782" s="14"/>
      <c r="BG782" s="14"/>
      <c r="BH782" s="14"/>
      <c r="BI782" s="14"/>
      <c r="BJ782" s="14"/>
      <c r="BK782" s="14"/>
      <c r="BL782" s="14"/>
      <c r="BM782" s="14"/>
      <c r="BN782" s="14"/>
    </row>
    <row r="783" ht="22.5" customHeight="1">
      <c r="A783" s="493"/>
      <c r="B783" s="350"/>
      <c r="C783" s="351"/>
      <c r="D783" s="447"/>
      <c r="E783" s="494"/>
      <c r="F783" s="495"/>
      <c r="G783" s="434"/>
      <c r="H783" s="394"/>
      <c r="I783" s="394"/>
      <c r="J783" s="477"/>
      <c r="K783" s="479"/>
      <c r="L783" s="496"/>
      <c r="M783" s="496"/>
      <c r="N783" s="360"/>
      <c r="O783" s="497"/>
      <c r="P783" s="362"/>
      <c r="Q783" s="387"/>
      <c r="R783" s="387"/>
      <c r="S783" s="439"/>
      <c r="T783" s="439"/>
      <c r="U783" s="498"/>
      <c r="V783" s="430"/>
      <c r="W783" s="382"/>
      <c r="X783" s="366"/>
      <c r="Y783" s="366"/>
      <c r="Z783" s="367"/>
      <c r="AA783" s="367"/>
      <c r="AB783" s="13"/>
      <c r="AC783" s="13"/>
      <c r="AD783" s="13"/>
      <c r="AE783" s="13"/>
      <c r="AF783" s="13"/>
      <c r="AG783" s="13"/>
      <c r="AH783" s="13"/>
      <c r="AI783" s="13"/>
      <c r="AJ783" s="13"/>
      <c r="AK783" s="13"/>
      <c r="AL783" s="13"/>
      <c r="AM783" s="14"/>
      <c r="AN783" s="14"/>
      <c r="AO783" s="14"/>
      <c r="AP783" s="14"/>
      <c r="AQ783" s="14"/>
      <c r="AR783" s="14"/>
      <c r="AS783" s="14"/>
      <c r="AT783" s="14"/>
      <c r="AU783" s="14"/>
      <c r="AV783" s="14"/>
      <c r="AW783" s="14"/>
      <c r="AX783" s="14"/>
      <c r="AY783" s="14"/>
      <c r="AZ783" s="14"/>
      <c r="BA783" s="14"/>
      <c r="BB783" s="14"/>
      <c r="BC783" s="14"/>
      <c r="BD783" s="14"/>
      <c r="BE783" s="14"/>
      <c r="BF783" s="14"/>
      <c r="BG783" s="14"/>
      <c r="BH783" s="14"/>
      <c r="BI783" s="14"/>
      <c r="BJ783" s="14"/>
      <c r="BK783" s="14"/>
      <c r="BL783" s="14"/>
      <c r="BM783" s="14"/>
      <c r="BN783" s="14"/>
    </row>
    <row r="784" ht="22.5" customHeight="1">
      <c r="A784" s="493"/>
      <c r="B784" s="350"/>
      <c r="C784" s="351"/>
      <c r="D784" s="447"/>
      <c r="E784" s="494"/>
      <c r="F784" s="495"/>
      <c r="G784" s="434"/>
      <c r="H784" s="394"/>
      <c r="I784" s="394"/>
      <c r="J784" s="477"/>
      <c r="K784" s="479"/>
      <c r="L784" s="496"/>
      <c r="M784" s="496"/>
      <c r="N784" s="360"/>
      <c r="O784" s="497"/>
      <c r="P784" s="362"/>
      <c r="Q784" s="387"/>
      <c r="R784" s="387"/>
      <c r="S784" s="439"/>
      <c r="T784" s="439"/>
      <c r="U784" s="498"/>
      <c r="V784" s="430"/>
      <c r="W784" s="382"/>
      <c r="X784" s="366"/>
      <c r="Y784" s="366"/>
      <c r="Z784" s="367"/>
      <c r="AA784" s="367"/>
      <c r="AB784" s="13"/>
      <c r="AC784" s="13"/>
      <c r="AD784" s="13"/>
      <c r="AE784" s="13"/>
      <c r="AF784" s="13"/>
      <c r="AG784" s="13"/>
      <c r="AH784" s="13"/>
      <c r="AI784" s="13"/>
      <c r="AJ784" s="13"/>
      <c r="AK784" s="13"/>
      <c r="AL784" s="13"/>
      <c r="AM784" s="14"/>
      <c r="AN784" s="14"/>
      <c r="AO784" s="14"/>
      <c r="AP784" s="14"/>
      <c r="AQ784" s="14"/>
      <c r="AR784" s="14"/>
      <c r="AS784" s="14"/>
      <c r="AT784" s="14"/>
      <c r="AU784" s="14"/>
      <c r="AV784" s="14"/>
      <c r="AW784" s="14"/>
      <c r="AX784" s="14"/>
      <c r="AY784" s="14"/>
      <c r="AZ784" s="14"/>
      <c r="BA784" s="14"/>
      <c r="BB784" s="14"/>
      <c r="BC784" s="14"/>
      <c r="BD784" s="14"/>
      <c r="BE784" s="14"/>
      <c r="BF784" s="14"/>
      <c r="BG784" s="14"/>
      <c r="BH784" s="14"/>
      <c r="BI784" s="14"/>
      <c r="BJ784" s="14"/>
      <c r="BK784" s="14"/>
      <c r="BL784" s="14"/>
      <c r="BM784" s="14"/>
      <c r="BN784" s="14"/>
    </row>
    <row r="785" ht="22.5" customHeight="1">
      <c r="A785" s="493"/>
      <c r="B785" s="350"/>
      <c r="C785" s="351"/>
      <c r="D785" s="447"/>
      <c r="E785" s="494"/>
      <c r="F785" s="495"/>
      <c r="G785" s="434"/>
      <c r="H785" s="394"/>
      <c r="I785" s="394"/>
      <c r="J785" s="477"/>
      <c r="K785" s="479"/>
      <c r="L785" s="496"/>
      <c r="M785" s="496"/>
      <c r="N785" s="360"/>
      <c r="O785" s="497"/>
      <c r="P785" s="362"/>
      <c r="Q785" s="387"/>
      <c r="R785" s="387"/>
      <c r="S785" s="439"/>
      <c r="T785" s="439"/>
      <c r="U785" s="498"/>
      <c r="V785" s="430"/>
      <c r="W785" s="382"/>
      <c r="X785" s="366"/>
      <c r="Y785" s="366"/>
      <c r="Z785" s="367"/>
      <c r="AA785" s="367"/>
      <c r="AB785" s="13"/>
      <c r="AC785" s="13"/>
      <c r="AD785" s="13"/>
      <c r="AE785" s="13"/>
      <c r="AF785" s="13"/>
      <c r="AG785" s="13"/>
      <c r="AH785" s="13"/>
      <c r="AI785" s="13"/>
      <c r="AJ785" s="13"/>
      <c r="AK785" s="13"/>
      <c r="AL785" s="13"/>
      <c r="AM785" s="14"/>
      <c r="AN785" s="14"/>
      <c r="AO785" s="14"/>
      <c r="AP785" s="14"/>
      <c r="AQ785" s="14"/>
      <c r="AR785" s="14"/>
      <c r="AS785" s="14"/>
      <c r="AT785" s="14"/>
      <c r="AU785" s="14"/>
      <c r="AV785" s="14"/>
      <c r="AW785" s="14"/>
      <c r="AX785" s="14"/>
      <c r="AY785" s="14"/>
      <c r="AZ785" s="14"/>
      <c r="BA785" s="14"/>
      <c r="BB785" s="14"/>
      <c r="BC785" s="14"/>
      <c r="BD785" s="14"/>
      <c r="BE785" s="14"/>
      <c r="BF785" s="14"/>
      <c r="BG785" s="14"/>
      <c r="BH785" s="14"/>
      <c r="BI785" s="14"/>
      <c r="BJ785" s="14"/>
      <c r="BK785" s="14"/>
      <c r="BL785" s="14"/>
      <c r="BM785" s="14"/>
      <c r="BN785" s="14"/>
    </row>
    <row r="786" ht="22.5" customHeight="1">
      <c r="A786" s="493"/>
      <c r="B786" s="350"/>
      <c r="C786" s="351"/>
      <c r="D786" s="447"/>
      <c r="E786" s="494"/>
      <c r="F786" s="495"/>
      <c r="G786" s="434"/>
      <c r="H786" s="394"/>
      <c r="I786" s="394"/>
      <c r="J786" s="477"/>
      <c r="K786" s="479"/>
      <c r="L786" s="496"/>
      <c r="M786" s="496"/>
      <c r="N786" s="360"/>
      <c r="O786" s="497"/>
      <c r="P786" s="362"/>
      <c r="Q786" s="387"/>
      <c r="R786" s="387"/>
      <c r="S786" s="439"/>
      <c r="T786" s="439"/>
      <c r="U786" s="498"/>
      <c r="V786" s="430"/>
      <c r="W786" s="382"/>
      <c r="X786" s="366"/>
      <c r="Y786" s="366"/>
      <c r="Z786" s="367"/>
      <c r="AA786" s="367"/>
      <c r="AB786" s="13"/>
      <c r="AC786" s="13"/>
      <c r="AD786" s="13"/>
      <c r="AE786" s="13"/>
      <c r="AF786" s="13"/>
      <c r="AG786" s="13"/>
      <c r="AH786" s="13"/>
      <c r="AI786" s="13"/>
      <c r="AJ786" s="13"/>
      <c r="AK786" s="13"/>
      <c r="AL786" s="13"/>
      <c r="AM786" s="14"/>
      <c r="AN786" s="14"/>
      <c r="AO786" s="14"/>
      <c r="AP786" s="14"/>
      <c r="AQ786" s="14"/>
      <c r="AR786" s="14"/>
      <c r="AS786" s="14"/>
      <c r="AT786" s="14"/>
      <c r="AU786" s="14"/>
      <c r="AV786" s="14"/>
      <c r="AW786" s="14"/>
      <c r="AX786" s="14"/>
      <c r="AY786" s="14"/>
      <c r="AZ786" s="14"/>
      <c r="BA786" s="14"/>
      <c r="BB786" s="14"/>
      <c r="BC786" s="14"/>
      <c r="BD786" s="14"/>
      <c r="BE786" s="14"/>
      <c r="BF786" s="14"/>
      <c r="BG786" s="14"/>
      <c r="BH786" s="14"/>
      <c r="BI786" s="14"/>
      <c r="BJ786" s="14"/>
      <c r="BK786" s="14"/>
      <c r="BL786" s="14"/>
      <c r="BM786" s="14"/>
      <c r="BN786" s="14"/>
    </row>
    <row r="787" ht="22.5" customHeight="1">
      <c r="A787" s="493"/>
      <c r="B787" s="350"/>
      <c r="C787" s="351"/>
      <c r="D787" s="447"/>
      <c r="E787" s="494"/>
      <c r="F787" s="495"/>
      <c r="G787" s="434"/>
      <c r="H787" s="394"/>
      <c r="I787" s="394"/>
      <c r="J787" s="477"/>
      <c r="K787" s="479"/>
      <c r="L787" s="496"/>
      <c r="M787" s="496"/>
      <c r="N787" s="360"/>
      <c r="O787" s="497"/>
      <c r="P787" s="362"/>
      <c r="Q787" s="387"/>
      <c r="R787" s="387"/>
      <c r="S787" s="439"/>
      <c r="T787" s="439"/>
      <c r="U787" s="498"/>
      <c r="V787" s="430"/>
      <c r="W787" s="382"/>
      <c r="X787" s="366"/>
      <c r="Y787" s="366"/>
      <c r="Z787" s="367"/>
      <c r="AA787" s="367"/>
      <c r="AB787" s="13"/>
      <c r="AC787" s="13"/>
      <c r="AD787" s="13"/>
      <c r="AE787" s="13"/>
      <c r="AF787" s="13"/>
      <c r="AG787" s="13"/>
      <c r="AH787" s="13"/>
      <c r="AI787" s="13"/>
      <c r="AJ787" s="13"/>
      <c r="AK787" s="13"/>
      <c r="AL787" s="13"/>
      <c r="AM787" s="14"/>
      <c r="AN787" s="14"/>
      <c r="AO787" s="14"/>
      <c r="AP787" s="14"/>
      <c r="AQ787" s="14"/>
      <c r="AR787" s="14"/>
      <c r="AS787" s="14"/>
      <c r="AT787" s="14"/>
      <c r="AU787" s="14"/>
      <c r="AV787" s="14"/>
      <c r="AW787" s="14"/>
      <c r="AX787" s="14"/>
      <c r="AY787" s="14"/>
      <c r="AZ787" s="14"/>
      <c r="BA787" s="14"/>
      <c r="BB787" s="14"/>
      <c r="BC787" s="14"/>
      <c r="BD787" s="14"/>
      <c r="BE787" s="14"/>
      <c r="BF787" s="14"/>
      <c r="BG787" s="14"/>
      <c r="BH787" s="14"/>
      <c r="BI787" s="14"/>
      <c r="BJ787" s="14"/>
      <c r="BK787" s="14"/>
      <c r="BL787" s="14"/>
      <c r="BM787" s="14"/>
      <c r="BN787" s="14"/>
    </row>
    <row r="788" ht="22.5" customHeight="1">
      <c r="A788" s="493"/>
      <c r="B788" s="350"/>
      <c r="C788" s="351"/>
      <c r="D788" s="447"/>
      <c r="E788" s="494"/>
      <c r="F788" s="495"/>
      <c r="G788" s="434"/>
      <c r="H788" s="394"/>
      <c r="I788" s="394"/>
      <c r="J788" s="477"/>
      <c r="K788" s="479"/>
      <c r="L788" s="496"/>
      <c r="M788" s="496"/>
      <c r="N788" s="360"/>
      <c r="O788" s="497"/>
      <c r="P788" s="362"/>
      <c r="Q788" s="387"/>
      <c r="R788" s="387"/>
      <c r="S788" s="439"/>
      <c r="T788" s="439"/>
      <c r="U788" s="498"/>
      <c r="V788" s="430"/>
      <c r="W788" s="382"/>
      <c r="X788" s="366"/>
      <c r="Y788" s="366"/>
      <c r="Z788" s="367"/>
      <c r="AA788" s="367"/>
      <c r="AB788" s="13"/>
      <c r="AC788" s="13"/>
      <c r="AD788" s="13"/>
      <c r="AE788" s="13"/>
      <c r="AF788" s="13"/>
      <c r="AG788" s="13"/>
      <c r="AH788" s="13"/>
      <c r="AI788" s="13"/>
      <c r="AJ788" s="13"/>
      <c r="AK788" s="13"/>
      <c r="AL788" s="13"/>
      <c r="AM788" s="14"/>
      <c r="AN788" s="14"/>
      <c r="AO788" s="14"/>
      <c r="AP788" s="14"/>
      <c r="AQ788" s="14"/>
      <c r="AR788" s="14"/>
      <c r="AS788" s="14"/>
      <c r="AT788" s="14"/>
      <c r="AU788" s="14"/>
      <c r="AV788" s="14"/>
      <c r="AW788" s="14"/>
      <c r="AX788" s="14"/>
      <c r="AY788" s="14"/>
      <c r="AZ788" s="14"/>
      <c r="BA788" s="14"/>
      <c r="BB788" s="14"/>
      <c r="BC788" s="14"/>
      <c r="BD788" s="14"/>
      <c r="BE788" s="14"/>
      <c r="BF788" s="14"/>
      <c r="BG788" s="14"/>
      <c r="BH788" s="14"/>
      <c r="BI788" s="14"/>
      <c r="BJ788" s="14"/>
      <c r="BK788" s="14"/>
      <c r="BL788" s="14"/>
      <c r="BM788" s="14"/>
      <c r="BN788" s="14"/>
    </row>
    <row r="789" ht="22.5" customHeight="1">
      <c r="A789" s="493"/>
      <c r="B789" s="350"/>
      <c r="C789" s="351"/>
      <c r="D789" s="447"/>
      <c r="E789" s="494"/>
      <c r="F789" s="495"/>
      <c r="G789" s="434"/>
      <c r="H789" s="394"/>
      <c r="I789" s="394"/>
      <c r="J789" s="477"/>
      <c r="K789" s="479"/>
      <c r="L789" s="496"/>
      <c r="M789" s="496"/>
      <c r="N789" s="360"/>
      <c r="O789" s="497"/>
      <c r="P789" s="362"/>
      <c r="Q789" s="387"/>
      <c r="R789" s="387"/>
      <c r="S789" s="439"/>
      <c r="T789" s="439"/>
      <c r="U789" s="498"/>
      <c r="V789" s="430"/>
      <c r="W789" s="382"/>
      <c r="X789" s="366"/>
      <c r="Y789" s="366"/>
      <c r="Z789" s="367"/>
      <c r="AA789" s="367"/>
      <c r="AB789" s="13"/>
      <c r="AC789" s="13"/>
      <c r="AD789" s="13"/>
      <c r="AE789" s="13"/>
      <c r="AF789" s="13"/>
      <c r="AG789" s="13"/>
      <c r="AH789" s="13"/>
      <c r="AI789" s="13"/>
      <c r="AJ789" s="13"/>
      <c r="AK789" s="13"/>
      <c r="AL789" s="13"/>
      <c r="AM789" s="14"/>
      <c r="AN789" s="14"/>
      <c r="AO789" s="14"/>
      <c r="AP789" s="14"/>
      <c r="AQ789" s="14"/>
      <c r="AR789" s="14"/>
      <c r="AS789" s="14"/>
      <c r="AT789" s="14"/>
      <c r="AU789" s="14"/>
      <c r="AV789" s="14"/>
      <c r="AW789" s="14"/>
      <c r="AX789" s="14"/>
      <c r="AY789" s="14"/>
      <c r="AZ789" s="14"/>
      <c r="BA789" s="14"/>
      <c r="BB789" s="14"/>
      <c r="BC789" s="14"/>
      <c r="BD789" s="14"/>
      <c r="BE789" s="14"/>
      <c r="BF789" s="14"/>
      <c r="BG789" s="14"/>
      <c r="BH789" s="14"/>
      <c r="BI789" s="14"/>
      <c r="BJ789" s="14"/>
      <c r="BK789" s="14"/>
      <c r="BL789" s="14"/>
      <c r="BM789" s="14"/>
      <c r="BN789" s="14"/>
    </row>
    <row r="790" ht="22.5" customHeight="1">
      <c r="A790" s="493"/>
      <c r="B790" s="350"/>
      <c r="C790" s="351"/>
      <c r="D790" s="447"/>
      <c r="E790" s="494"/>
      <c r="F790" s="495"/>
      <c r="G790" s="434"/>
      <c r="H790" s="394"/>
      <c r="I790" s="394"/>
      <c r="J790" s="477"/>
      <c r="K790" s="479"/>
      <c r="L790" s="496"/>
      <c r="M790" s="496"/>
      <c r="N790" s="360"/>
      <c r="O790" s="497"/>
      <c r="P790" s="362"/>
      <c r="Q790" s="387"/>
      <c r="R790" s="387"/>
      <c r="S790" s="439"/>
      <c r="T790" s="439"/>
      <c r="U790" s="498"/>
      <c r="V790" s="430"/>
      <c r="W790" s="382"/>
      <c r="X790" s="366"/>
      <c r="Y790" s="366"/>
      <c r="Z790" s="367"/>
      <c r="AA790" s="367"/>
      <c r="AB790" s="13"/>
      <c r="AC790" s="13"/>
      <c r="AD790" s="13"/>
      <c r="AE790" s="13"/>
      <c r="AF790" s="13"/>
      <c r="AG790" s="13"/>
      <c r="AH790" s="13"/>
      <c r="AI790" s="13"/>
      <c r="AJ790" s="13"/>
      <c r="AK790" s="13"/>
      <c r="AL790" s="13"/>
      <c r="AM790" s="14"/>
      <c r="AN790" s="14"/>
      <c r="AO790" s="14"/>
      <c r="AP790" s="14"/>
      <c r="AQ790" s="14"/>
      <c r="AR790" s="14"/>
      <c r="AS790" s="14"/>
      <c r="AT790" s="14"/>
      <c r="AU790" s="14"/>
      <c r="AV790" s="14"/>
      <c r="AW790" s="14"/>
      <c r="AX790" s="14"/>
      <c r="AY790" s="14"/>
      <c r="AZ790" s="14"/>
      <c r="BA790" s="14"/>
      <c r="BB790" s="14"/>
      <c r="BC790" s="14"/>
      <c r="BD790" s="14"/>
      <c r="BE790" s="14"/>
      <c r="BF790" s="14"/>
      <c r="BG790" s="14"/>
      <c r="BH790" s="14"/>
      <c r="BI790" s="14"/>
      <c r="BJ790" s="14"/>
      <c r="BK790" s="14"/>
      <c r="BL790" s="14"/>
      <c r="BM790" s="14"/>
      <c r="BN790" s="14"/>
    </row>
    <row r="791" ht="22.5" customHeight="1">
      <c r="A791" s="493"/>
      <c r="B791" s="350"/>
      <c r="C791" s="351"/>
      <c r="D791" s="447"/>
      <c r="E791" s="494"/>
      <c r="F791" s="495"/>
      <c r="G791" s="434"/>
      <c r="H791" s="394"/>
      <c r="I791" s="394"/>
      <c r="J791" s="477"/>
      <c r="K791" s="479"/>
      <c r="L791" s="496"/>
      <c r="M791" s="496"/>
      <c r="N791" s="360"/>
      <c r="O791" s="497"/>
      <c r="P791" s="362"/>
      <c r="Q791" s="387"/>
      <c r="R791" s="387"/>
      <c r="S791" s="439"/>
      <c r="T791" s="439"/>
      <c r="U791" s="498"/>
      <c r="V791" s="430"/>
      <c r="W791" s="382"/>
      <c r="X791" s="366"/>
      <c r="Y791" s="366"/>
      <c r="Z791" s="367"/>
      <c r="AA791" s="367"/>
      <c r="AB791" s="13"/>
      <c r="AC791" s="13"/>
      <c r="AD791" s="13"/>
      <c r="AE791" s="13"/>
      <c r="AF791" s="13"/>
      <c r="AG791" s="13"/>
      <c r="AH791" s="13"/>
      <c r="AI791" s="13"/>
      <c r="AJ791" s="13"/>
      <c r="AK791" s="13"/>
      <c r="AL791" s="13"/>
      <c r="AM791" s="14"/>
      <c r="AN791" s="14"/>
      <c r="AO791" s="14"/>
      <c r="AP791" s="14"/>
      <c r="AQ791" s="14"/>
      <c r="AR791" s="14"/>
      <c r="AS791" s="14"/>
      <c r="AT791" s="14"/>
      <c r="AU791" s="14"/>
      <c r="AV791" s="14"/>
      <c r="AW791" s="14"/>
      <c r="AX791" s="14"/>
      <c r="AY791" s="14"/>
      <c r="AZ791" s="14"/>
      <c r="BA791" s="14"/>
      <c r="BB791" s="14"/>
      <c r="BC791" s="14"/>
      <c r="BD791" s="14"/>
      <c r="BE791" s="14"/>
      <c r="BF791" s="14"/>
      <c r="BG791" s="14"/>
      <c r="BH791" s="14"/>
      <c r="BI791" s="14"/>
      <c r="BJ791" s="14"/>
      <c r="BK791" s="14"/>
      <c r="BL791" s="14"/>
      <c r="BM791" s="14"/>
      <c r="BN791" s="14"/>
    </row>
    <row r="792" ht="22.5" customHeight="1">
      <c r="A792" s="493"/>
      <c r="B792" s="350"/>
      <c r="C792" s="351"/>
      <c r="D792" s="447"/>
      <c r="E792" s="494"/>
      <c r="F792" s="495"/>
      <c r="G792" s="434"/>
      <c r="H792" s="394"/>
      <c r="I792" s="394"/>
      <c r="J792" s="477"/>
      <c r="K792" s="479"/>
      <c r="L792" s="496"/>
      <c r="M792" s="496"/>
      <c r="N792" s="360"/>
      <c r="O792" s="497"/>
      <c r="P792" s="362"/>
      <c r="Q792" s="387"/>
      <c r="R792" s="387"/>
      <c r="S792" s="439"/>
      <c r="T792" s="439"/>
      <c r="U792" s="498"/>
      <c r="V792" s="430"/>
      <c r="W792" s="382"/>
      <c r="X792" s="366"/>
      <c r="Y792" s="366"/>
      <c r="Z792" s="367"/>
      <c r="AA792" s="367"/>
      <c r="AB792" s="13"/>
      <c r="AC792" s="13"/>
      <c r="AD792" s="13"/>
      <c r="AE792" s="13"/>
      <c r="AF792" s="13"/>
      <c r="AG792" s="13"/>
      <c r="AH792" s="13"/>
      <c r="AI792" s="13"/>
      <c r="AJ792" s="13"/>
      <c r="AK792" s="13"/>
      <c r="AL792" s="13"/>
      <c r="AM792" s="14"/>
      <c r="AN792" s="14"/>
      <c r="AO792" s="14"/>
      <c r="AP792" s="14"/>
      <c r="AQ792" s="14"/>
      <c r="AR792" s="14"/>
      <c r="AS792" s="14"/>
      <c r="AT792" s="14"/>
      <c r="AU792" s="14"/>
      <c r="AV792" s="14"/>
      <c r="AW792" s="14"/>
      <c r="AX792" s="14"/>
      <c r="AY792" s="14"/>
      <c r="AZ792" s="14"/>
      <c r="BA792" s="14"/>
      <c r="BB792" s="14"/>
      <c r="BC792" s="14"/>
      <c r="BD792" s="14"/>
      <c r="BE792" s="14"/>
      <c r="BF792" s="14"/>
      <c r="BG792" s="14"/>
      <c r="BH792" s="14"/>
      <c r="BI792" s="14"/>
      <c r="BJ792" s="14"/>
      <c r="BK792" s="14"/>
      <c r="BL792" s="14"/>
      <c r="BM792" s="14"/>
      <c r="BN792" s="14"/>
    </row>
    <row r="793" ht="22.5" customHeight="1">
      <c r="A793" s="493"/>
      <c r="B793" s="350"/>
      <c r="C793" s="351"/>
      <c r="D793" s="447"/>
      <c r="E793" s="494"/>
      <c r="F793" s="495"/>
      <c r="G793" s="434"/>
      <c r="H793" s="394"/>
      <c r="I793" s="394"/>
      <c r="J793" s="477"/>
      <c r="K793" s="479"/>
      <c r="L793" s="496"/>
      <c r="M793" s="496"/>
      <c r="N793" s="360"/>
      <c r="O793" s="497"/>
      <c r="P793" s="362"/>
      <c r="Q793" s="387"/>
      <c r="R793" s="387"/>
      <c r="S793" s="439"/>
      <c r="T793" s="439"/>
      <c r="U793" s="498"/>
      <c r="V793" s="430"/>
      <c r="W793" s="382"/>
      <c r="X793" s="366"/>
      <c r="Y793" s="366"/>
      <c r="Z793" s="367"/>
      <c r="AA793" s="367"/>
      <c r="AB793" s="13"/>
      <c r="AC793" s="13"/>
      <c r="AD793" s="13"/>
      <c r="AE793" s="13"/>
      <c r="AF793" s="13"/>
      <c r="AG793" s="13"/>
      <c r="AH793" s="13"/>
      <c r="AI793" s="13"/>
      <c r="AJ793" s="13"/>
      <c r="AK793" s="13"/>
      <c r="AL793" s="13"/>
      <c r="AM793" s="14"/>
      <c r="AN793" s="14"/>
      <c r="AO793" s="14"/>
      <c r="AP793" s="14"/>
      <c r="AQ793" s="14"/>
      <c r="AR793" s="14"/>
      <c r="AS793" s="14"/>
      <c r="AT793" s="14"/>
      <c r="AU793" s="14"/>
      <c r="AV793" s="14"/>
      <c r="AW793" s="14"/>
      <c r="AX793" s="14"/>
      <c r="AY793" s="14"/>
      <c r="AZ793" s="14"/>
      <c r="BA793" s="14"/>
      <c r="BB793" s="14"/>
      <c r="BC793" s="14"/>
      <c r="BD793" s="14"/>
      <c r="BE793" s="14"/>
      <c r="BF793" s="14"/>
      <c r="BG793" s="14"/>
      <c r="BH793" s="14"/>
      <c r="BI793" s="14"/>
      <c r="BJ793" s="14"/>
      <c r="BK793" s="14"/>
      <c r="BL793" s="14"/>
      <c r="BM793" s="14"/>
      <c r="BN793" s="14"/>
    </row>
    <row r="794" ht="22.5" customHeight="1">
      <c r="A794" s="493"/>
      <c r="B794" s="350"/>
      <c r="C794" s="351"/>
      <c r="D794" s="447"/>
      <c r="E794" s="494"/>
      <c r="F794" s="495"/>
      <c r="G794" s="434"/>
      <c r="H794" s="394"/>
      <c r="I794" s="394"/>
      <c r="J794" s="477"/>
      <c r="K794" s="479"/>
      <c r="L794" s="496"/>
      <c r="M794" s="496"/>
      <c r="N794" s="360"/>
      <c r="O794" s="497"/>
      <c r="P794" s="362"/>
      <c r="Q794" s="387"/>
      <c r="R794" s="387"/>
      <c r="S794" s="439"/>
      <c r="T794" s="439"/>
      <c r="U794" s="498"/>
      <c r="V794" s="430"/>
      <c r="W794" s="382"/>
      <c r="X794" s="366"/>
      <c r="Y794" s="366"/>
      <c r="Z794" s="367"/>
      <c r="AA794" s="367"/>
      <c r="AB794" s="13"/>
      <c r="AC794" s="13"/>
      <c r="AD794" s="13"/>
      <c r="AE794" s="13"/>
      <c r="AF794" s="13"/>
      <c r="AG794" s="13"/>
      <c r="AH794" s="13"/>
      <c r="AI794" s="13"/>
      <c r="AJ794" s="13"/>
      <c r="AK794" s="13"/>
      <c r="AL794" s="13"/>
      <c r="AM794" s="14"/>
      <c r="AN794" s="14"/>
      <c r="AO794" s="14"/>
      <c r="AP794" s="14"/>
      <c r="AQ794" s="14"/>
      <c r="AR794" s="14"/>
      <c r="AS794" s="14"/>
      <c r="AT794" s="14"/>
      <c r="AU794" s="14"/>
      <c r="AV794" s="14"/>
      <c r="AW794" s="14"/>
      <c r="AX794" s="14"/>
      <c r="AY794" s="14"/>
      <c r="AZ794" s="14"/>
      <c r="BA794" s="14"/>
      <c r="BB794" s="14"/>
      <c r="BC794" s="14"/>
      <c r="BD794" s="14"/>
      <c r="BE794" s="14"/>
      <c r="BF794" s="14"/>
      <c r="BG794" s="14"/>
      <c r="BH794" s="14"/>
      <c r="BI794" s="14"/>
      <c r="BJ794" s="14"/>
      <c r="BK794" s="14"/>
      <c r="BL794" s="14"/>
      <c r="BM794" s="14"/>
      <c r="BN794" s="14"/>
    </row>
    <row r="795" ht="22.5" customHeight="1">
      <c r="A795" s="493"/>
      <c r="B795" s="350"/>
      <c r="C795" s="351"/>
      <c r="D795" s="447"/>
      <c r="E795" s="494"/>
      <c r="F795" s="495"/>
      <c r="G795" s="434"/>
      <c r="H795" s="394"/>
      <c r="I795" s="394"/>
      <c r="J795" s="477"/>
      <c r="K795" s="479"/>
      <c r="L795" s="496"/>
      <c r="M795" s="496"/>
      <c r="N795" s="360"/>
      <c r="O795" s="497"/>
      <c r="P795" s="362"/>
      <c r="Q795" s="387"/>
      <c r="R795" s="387"/>
      <c r="S795" s="439"/>
      <c r="T795" s="439"/>
      <c r="U795" s="498"/>
      <c r="V795" s="430"/>
      <c r="W795" s="382"/>
      <c r="X795" s="366"/>
      <c r="Y795" s="366"/>
      <c r="Z795" s="367"/>
      <c r="AA795" s="367"/>
      <c r="AB795" s="13"/>
      <c r="AC795" s="13"/>
      <c r="AD795" s="13"/>
      <c r="AE795" s="13"/>
      <c r="AF795" s="13"/>
      <c r="AG795" s="13"/>
      <c r="AH795" s="13"/>
      <c r="AI795" s="13"/>
      <c r="AJ795" s="13"/>
      <c r="AK795" s="13"/>
      <c r="AL795" s="13"/>
      <c r="AM795" s="14"/>
      <c r="AN795" s="14"/>
      <c r="AO795" s="14"/>
      <c r="AP795" s="14"/>
      <c r="AQ795" s="14"/>
      <c r="AR795" s="14"/>
      <c r="AS795" s="14"/>
      <c r="AT795" s="14"/>
      <c r="AU795" s="14"/>
      <c r="AV795" s="14"/>
      <c r="AW795" s="14"/>
      <c r="AX795" s="14"/>
      <c r="AY795" s="14"/>
      <c r="AZ795" s="14"/>
      <c r="BA795" s="14"/>
      <c r="BB795" s="14"/>
      <c r="BC795" s="14"/>
      <c r="BD795" s="14"/>
      <c r="BE795" s="14"/>
      <c r="BF795" s="14"/>
      <c r="BG795" s="14"/>
      <c r="BH795" s="14"/>
      <c r="BI795" s="14"/>
      <c r="BJ795" s="14"/>
      <c r="BK795" s="14"/>
      <c r="BL795" s="14"/>
      <c r="BM795" s="14"/>
      <c r="BN795" s="14"/>
    </row>
    <row r="796" ht="22.5" customHeight="1">
      <c r="A796" s="493"/>
      <c r="B796" s="350"/>
      <c r="C796" s="351"/>
      <c r="D796" s="447"/>
      <c r="E796" s="494"/>
      <c r="F796" s="495"/>
      <c r="G796" s="434"/>
      <c r="H796" s="394"/>
      <c r="I796" s="394"/>
      <c r="J796" s="477"/>
      <c r="K796" s="479"/>
      <c r="L796" s="496"/>
      <c r="M796" s="496"/>
      <c r="N796" s="360"/>
      <c r="O796" s="497"/>
      <c r="P796" s="362"/>
      <c r="Q796" s="387"/>
      <c r="R796" s="387"/>
      <c r="S796" s="439"/>
      <c r="T796" s="439"/>
      <c r="U796" s="498"/>
      <c r="V796" s="430"/>
      <c r="W796" s="382"/>
      <c r="X796" s="366"/>
      <c r="Y796" s="366"/>
      <c r="Z796" s="367"/>
      <c r="AA796" s="367"/>
      <c r="AB796" s="13"/>
      <c r="AC796" s="13"/>
      <c r="AD796" s="13"/>
      <c r="AE796" s="13"/>
      <c r="AF796" s="13"/>
      <c r="AG796" s="13"/>
      <c r="AH796" s="13"/>
      <c r="AI796" s="13"/>
      <c r="AJ796" s="13"/>
      <c r="AK796" s="13"/>
      <c r="AL796" s="13"/>
      <c r="AM796" s="14"/>
      <c r="AN796" s="14"/>
      <c r="AO796" s="14"/>
      <c r="AP796" s="14"/>
      <c r="AQ796" s="14"/>
      <c r="AR796" s="14"/>
      <c r="AS796" s="14"/>
      <c r="AT796" s="14"/>
      <c r="AU796" s="14"/>
      <c r="AV796" s="14"/>
      <c r="AW796" s="14"/>
      <c r="AX796" s="14"/>
      <c r="AY796" s="14"/>
      <c r="AZ796" s="14"/>
      <c r="BA796" s="14"/>
      <c r="BB796" s="14"/>
      <c r="BC796" s="14"/>
      <c r="BD796" s="14"/>
      <c r="BE796" s="14"/>
      <c r="BF796" s="14"/>
      <c r="BG796" s="14"/>
      <c r="BH796" s="14"/>
      <c r="BI796" s="14"/>
      <c r="BJ796" s="14"/>
      <c r="BK796" s="14"/>
      <c r="BL796" s="14"/>
      <c r="BM796" s="14"/>
      <c r="BN796" s="14"/>
    </row>
    <row r="797" ht="22.5" customHeight="1">
      <c r="A797" s="493"/>
      <c r="B797" s="350"/>
      <c r="C797" s="351"/>
      <c r="D797" s="447"/>
      <c r="E797" s="494"/>
      <c r="F797" s="495"/>
      <c r="G797" s="434"/>
      <c r="H797" s="394"/>
      <c r="I797" s="394"/>
      <c r="J797" s="477"/>
      <c r="K797" s="479"/>
      <c r="L797" s="496"/>
      <c r="M797" s="496"/>
      <c r="N797" s="360"/>
      <c r="O797" s="497"/>
      <c r="P797" s="362"/>
      <c r="Q797" s="387"/>
      <c r="R797" s="387"/>
      <c r="S797" s="439"/>
      <c r="T797" s="439"/>
      <c r="U797" s="498"/>
      <c r="V797" s="430"/>
      <c r="W797" s="382"/>
      <c r="X797" s="366"/>
      <c r="Y797" s="366"/>
      <c r="Z797" s="367"/>
      <c r="AA797" s="367"/>
      <c r="AB797" s="13"/>
      <c r="AC797" s="13"/>
      <c r="AD797" s="13"/>
      <c r="AE797" s="13"/>
      <c r="AF797" s="13"/>
      <c r="AG797" s="13"/>
      <c r="AH797" s="13"/>
      <c r="AI797" s="13"/>
      <c r="AJ797" s="13"/>
      <c r="AK797" s="13"/>
      <c r="AL797" s="13"/>
      <c r="AM797" s="14"/>
      <c r="AN797" s="14"/>
      <c r="AO797" s="14"/>
      <c r="AP797" s="14"/>
      <c r="AQ797" s="14"/>
      <c r="AR797" s="14"/>
      <c r="AS797" s="14"/>
      <c r="AT797" s="14"/>
      <c r="AU797" s="14"/>
      <c r="AV797" s="14"/>
      <c r="AW797" s="14"/>
      <c r="AX797" s="14"/>
      <c r="AY797" s="14"/>
      <c r="AZ797" s="14"/>
      <c r="BA797" s="14"/>
      <c r="BB797" s="14"/>
      <c r="BC797" s="14"/>
      <c r="BD797" s="14"/>
      <c r="BE797" s="14"/>
      <c r="BF797" s="14"/>
      <c r="BG797" s="14"/>
      <c r="BH797" s="14"/>
      <c r="BI797" s="14"/>
      <c r="BJ797" s="14"/>
      <c r="BK797" s="14"/>
      <c r="BL797" s="14"/>
      <c r="BM797" s="14"/>
      <c r="BN797" s="14"/>
    </row>
    <row r="798" ht="22.5" customHeight="1">
      <c r="A798" s="493"/>
      <c r="B798" s="350"/>
      <c r="C798" s="351"/>
      <c r="D798" s="447"/>
      <c r="E798" s="494"/>
      <c r="F798" s="495"/>
      <c r="G798" s="434"/>
      <c r="H798" s="394"/>
      <c r="I798" s="394"/>
      <c r="J798" s="477"/>
      <c r="K798" s="479"/>
      <c r="L798" s="496"/>
      <c r="M798" s="496"/>
      <c r="N798" s="360"/>
      <c r="O798" s="497"/>
      <c r="P798" s="362"/>
      <c r="Q798" s="387"/>
      <c r="R798" s="387"/>
      <c r="S798" s="439"/>
      <c r="T798" s="439"/>
      <c r="U798" s="498"/>
      <c r="V798" s="430"/>
      <c r="W798" s="382"/>
      <c r="X798" s="366"/>
      <c r="Y798" s="366"/>
      <c r="Z798" s="367"/>
      <c r="AA798" s="367"/>
      <c r="AB798" s="13"/>
      <c r="AC798" s="13"/>
      <c r="AD798" s="13"/>
      <c r="AE798" s="13"/>
      <c r="AF798" s="13"/>
      <c r="AG798" s="13"/>
      <c r="AH798" s="13"/>
      <c r="AI798" s="13"/>
      <c r="AJ798" s="13"/>
      <c r="AK798" s="13"/>
      <c r="AL798" s="13"/>
      <c r="AM798" s="14"/>
      <c r="AN798" s="14"/>
      <c r="AO798" s="14"/>
      <c r="AP798" s="14"/>
      <c r="AQ798" s="14"/>
      <c r="AR798" s="14"/>
      <c r="AS798" s="14"/>
      <c r="AT798" s="14"/>
      <c r="AU798" s="14"/>
      <c r="AV798" s="14"/>
      <c r="AW798" s="14"/>
      <c r="AX798" s="14"/>
      <c r="AY798" s="14"/>
      <c r="AZ798" s="14"/>
      <c r="BA798" s="14"/>
      <c r="BB798" s="14"/>
      <c r="BC798" s="14"/>
      <c r="BD798" s="14"/>
      <c r="BE798" s="14"/>
      <c r="BF798" s="14"/>
      <c r="BG798" s="14"/>
      <c r="BH798" s="14"/>
      <c r="BI798" s="14"/>
      <c r="BJ798" s="14"/>
      <c r="BK798" s="14"/>
      <c r="BL798" s="14"/>
      <c r="BM798" s="14"/>
      <c r="BN798" s="14"/>
    </row>
    <row r="799" ht="22.5" customHeight="1">
      <c r="A799" s="493"/>
      <c r="B799" s="350"/>
      <c r="C799" s="351"/>
      <c r="D799" s="447"/>
      <c r="E799" s="494"/>
      <c r="F799" s="495"/>
      <c r="G799" s="434"/>
      <c r="H799" s="394"/>
      <c r="I799" s="394"/>
      <c r="J799" s="477"/>
      <c r="K799" s="479"/>
      <c r="L799" s="496"/>
      <c r="M799" s="496"/>
      <c r="N799" s="360"/>
      <c r="O799" s="497"/>
      <c r="P799" s="362"/>
      <c r="Q799" s="387"/>
      <c r="R799" s="387"/>
      <c r="S799" s="439"/>
      <c r="T799" s="439"/>
      <c r="U799" s="498"/>
      <c r="V799" s="430"/>
      <c r="W799" s="382"/>
      <c r="X799" s="366"/>
      <c r="Y799" s="366"/>
      <c r="Z799" s="367"/>
      <c r="AA799" s="367"/>
      <c r="AB799" s="13"/>
      <c r="AC799" s="13"/>
      <c r="AD799" s="13"/>
      <c r="AE799" s="13"/>
      <c r="AF799" s="13"/>
      <c r="AG799" s="13"/>
      <c r="AH799" s="13"/>
      <c r="AI799" s="13"/>
      <c r="AJ799" s="13"/>
      <c r="AK799" s="13"/>
      <c r="AL799" s="13"/>
      <c r="AM799" s="14"/>
      <c r="AN799" s="14"/>
      <c r="AO799" s="14"/>
      <c r="AP799" s="14"/>
      <c r="AQ799" s="14"/>
      <c r="AR799" s="14"/>
      <c r="AS799" s="14"/>
      <c r="AT799" s="14"/>
      <c r="AU799" s="14"/>
      <c r="AV799" s="14"/>
      <c r="AW799" s="14"/>
      <c r="AX799" s="14"/>
      <c r="AY799" s="14"/>
      <c r="AZ799" s="14"/>
      <c r="BA799" s="14"/>
      <c r="BB799" s="14"/>
      <c r="BC799" s="14"/>
      <c r="BD799" s="14"/>
      <c r="BE799" s="14"/>
      <c r="BF799" s="14"/>
      <c r="BG799" s="14"/>
      <c r="BH799" s="14"/>
      <c r="BI799" s="14"/>
      <c r="BJ799" s="14"/>
      <c r="BK799" s="14"/>
      <c r="BL799" s="14"/>
      <c r="BM799" s="14"/>
      <c r="BN799" s="14"/>
    </row>
    <row r="800" ht="22.5" customHeight="1">
      <c r="A800" s="493"/>
      <c r="B800" s="350"/>
      <c r="C800" s="351"/>
      <c r="D800" s="447"/>
      <c r="E800" s="494"/>
      <c r="F800" s="495"/>
      <c r="G800" s="434"/>
      <c r="H800" s="394"/>
      <c r="I800" s="394"/>
      <c r="J800" s="477"/>
      <c r="K800" s="479"/>
      <c r="L800" s="496"/>
      <c r="M800" s="496"/>
      <c r="N800" s="360"/>
      <c r="O800" s="497"/>
      <c r="P800" s="362"/>
      <c r="Q800" s="387"/>
      <c r="R800" s="387"/>
      <c r="S800" s="439"/>
      <c r="T800" s="439"/>
      <c r="U800" s="498"/>
      <c r="V800" s="430"/>
      <c r="W800" s="382"/>
      <c r="X800" s="366"/>
      <c r="Y800" s="366"/>
      <c r="Z800" s="367"/>
      <c r="AA800" s="367"/>
      <c r="AB800" s="13"/>
      <c r="AC800" s="13"/>
      <c r="AD800" s="13"/>
      <c r="AE800" s="13"/>
      <c r="AF800" s="13"/>
      <c r="AG800" s="13"/>
      <c r="AH800" s="13"/>
      <c r="AI800" s="13"/>
      <c r="AJ800" s="13"/>
      <c r="AK800" s="13"/>
      <c r="AL800" s="13"/>
      <c r="AM800" s="14"/>
      <c r="AN800" s="14"/>
      <c r="AO800" s="14"/>
      <c r="AP800" s="14"/>
      <c r="AQ800" s="14"/>
      <c r="AR800" s="14"/>
      <c r="AS800" s="14"/>
      <c r="AT800" s="14"/>
      <c r="AU800" s="14"/>
      <c r="AV800" s="14"/>
      <c r="AW800" s="14"/>
      <c r="AX800" s="14"/>
      <c r="AY800" s="14"/>
      <c r="AZ800" s="14"/>
      <c r="BA800" s="14"/>
      <c r="BB800" s="14"/>
      <c r="BC800" s="14"/>
      <c r="BD800" s="14"/>
      <c r="BE800" s="14"/>
      <c r="BF800" s="14"/>
      <c r="BG800" s="14"/>
      <c r="BH800" s="14"/>
      <c r="BI800" s="14"/>
      <c r="BJ800" s="14"/>
      <c r="BK800" s="14"/>
      <c r="BL800" s="14"/>
      <c r="BM800" s="14"/>
      <c r="BN800" s="14"/>
    </row>
    <row r="801" ht="22.5" customHeight="1">
      <c r="A801" s="493"/>
      <c r="B801" s="350"/>
      <c r="C801" s="351"/>
      <c r="D801" s="447"/>
      <c r="E801" s="494"/>
      <c r="F801" s="495"/>
      <c r="G801" s="434"/>
      <c r="H801" s="394"/>
      <c r="I801" s="394"/>
      <c r="J801" s="477"/>
      <c r="K801" s="479"/>
      <c r="L801" s="496"/>
      <c r="M801" s="496"/>
      <c r="N801" s="360"/>
      <c r="O801" s="497"/>
      <c r="P801" s="362"/>
      <c r="Q801" s="387"/>
      <c r="R801" s="387"/>
      <c r="S801" s="439"/>
      <c r="T801" s="439"/>
      <c r="U801" s="498"/>
      <c r="V801" s="430"/>
      <c r="W801" s="382"/>
      <c r="X801" s="366"/>
      <c r="Y801" s="366"/>
      <c r="Z801" s="367"/>
      <c r="AA801" s="367"/>
      <c r="AB801" s="13"/>
      <c r="AC801" s="13"/>
      <c r="AD801" s="13"/>
      <c r="AE801" s="13"/>
      <c r="AF801" s="13"/>
      <c r="AG801" s="13"/>
      <c r="AH801" s="13"/>
      <c r="AI801" s="13"/>
      <c r="AJ801" s="13"/>
      <c r="AK801" s="13"/>
      <c r="AL801" s="13"/>
      <c r="AM801" s="14"/>
      <c r="AN801" s="14"/>
      <c r="AO801" s="14"/>
      <c r="AP801" s="14"/>
      <c r="AQ801" s="14"/>
      <c r="AR801" s="14"/>
      <c r="AS801" s="14"/>
      <c r="AT801" s="14"/>
      <c r="AU801" s="14"/>
      <c r="AV801" s="14"/>
      <c r="AW801" s="14"/>
      <c r="AX801" s="14"/>
      <c r="AY801" s="14"/>
      <c r="AZ801" s="14"/>
      <c r="BA801" s="14"/>
      <c r="BB801" s="14"/>
      <c r="BC801" s="14"/>
      <c r="BD801" s="14"/>
      <c r="BE801" s="14"/>
      <c r="BF801" s="14"/>
      <c r="BG801" s="14"/>
      <c r="BH801" s="14"/>
      <c r="BI801" s="14"/>
      <c r="BJ801" s="14"/>
      <c r="BK801" s="14"/>
      <c r="BL801" s="14"/>
      <c r="BM801" s="14"/>
      <c r="BN801" s="14"/>
    </row>
    <row r="802" ht="22.5" customHeight="1">
      <c r="A802" s="493"/>
      <c r="B802" s="350"/>
      <c r="C802" s="351"/>
      <c r="D802" s="447"/>
      <c r="E802" s="494"/>
      <c r="F802" s="495"/>
      <c r="G802" s="434"/>
      <c r="H802" s="394"/>
      <c r="I802" s="394"/>
      <c r="J802" s="477"/>
      <c r="K802" s="479"/>
      <c r="L802" s="496"/>
      <c r="M802" s="496"/>
      <c r="N802" s="360"/>
      <c r="O802" s="497"/>
      <c r="P802" s="362"/>
      <c r="Q802" s="387"/>
      <c r="R802" s="387"/>
      <c r="S802" s="439"/>
      <c r="T802" s="439"/>
      <c r="U802" s="498"/>
      <c r="V802" s="430"/>
      <c r="W802" s="382"/>
      <c r="X802" s="366"/>
      <c r="Y802" s="366"/>
      <c r="Z802" s="367"/>
      <c r="AA802" s="367"/>
      <c r="AB802" s="13"/>
      <c r="AC802" s="13"/>
      <c r="AD802" s="13"/>
      <c r="AE802" s="13"/>
      <c r="AF802" s="13"/>
      <c r="AG802" s="13"/>
      <c r="AH802" s="13"/>
      <c r="AI802" s="13"/>
      <c r="AJ802" s="13"/>
      <c r="AK802" s="13"/>
      <c r="AL802" s="13"/>
      <c r="AM802" s="14"/>
      <c r="AN802" s="14"/>
      <c r="AO802" s="14"/>
      <c r="AP802" s="14"/>
      <c r="AQ802" s="14"/>
      <c r="AR802" s="14"/>
      <c r="AS802" s="14"/>
      <c r="AT802" s="14"/>
      <c r="AU802" s="14"/>
      <c r="AV802" s="14"/>
      <c r="AW802" s="14"/>
      <c r="AX802" s="14"/>
      <c r="AY802" s="14"/>
      <c r="AZ802" s="14"/>
      <c r="BA802" s="14"/>
      <c r="BB802" s="14"/>
      <c r="BC802" s="14"/>
      <c r="BD802" s="14"/>
      <c r="BE802" s="14"/>
      <c r="BF802" s="14"/>
      <c r="BG802" s="14"/>
      <c r="BH802" s="14"/>
      <c r="BI802" s="14"/>
      <c r="BJ802" s="14"/>
      <c r="BK802" s="14"/>
      <c r="BL802" s="14"/>
      <c r="BM802" s="14"/>
      <c r="BN802" s="14"/>
    </row>
    <row r="803" ht="22.5" customHeight="1">
      <c r="A803" s="493"/>
      <c r="B803" s="350"/>
      <c r="C803" s="351"/>
      <c r="D803" s="447"/>
      <c r="E803" s="494"/>
      <c r="F803" s="495"/>
      <c r="G803" s="434"/>
      <c r="H803" s="394"/>
      <c r="I803" s="394"/>
      <c r="J803" s="477"/>
      <c r="K803" s="479"/>
      <c r="L803" s="496"/>
      <c r="M803" s="496"/>
      <c r="N803" s="360"/>
      <c r="O803" s="497"/>
      <c r="P803" s="362"/>
      <c r="Q803" s="387"/>
      <c r="R803" s="387"/>
      <c r="S803" s="439"/>
      <c r="T803" s="439"/>
      <c r="U803" s="498"/>
      <c r="V803" s="430"/>
      <c r="W803" s="382"/>
      <c r="X803" s="366"/>
      <c r="Y803" s="366"/>
      <c r="Z803" s="367"/>
      <c r="AA803" s="367"/>
      <c r="AB803" s="13"/>
      <c r="AC803" s="13"/>
      <c r="AD803" s="13"/>
      <c r="AE803" s="13"/>
      <c r="AF803" s="13"/>
      <c r="AG803" s="13"/>
      <c r="AH803" s="13"/>
      <c r="AI803" s="13"/>
      <c r="AJ803" s="13"/>
      <c r="AK803" s="13"/>
      <c r="AL803" s="13"/>
      <c r="AM803" s="14"/>
      <c r="AN803" s="14"/>
      <c r="AO803" s="14"/>
      <c r="AP803" s="14"/>
      <c r="AQ803" s="14"/>
      <c r="AR803" s="14"/>
      <c r="AS803" s="14"/>
      <c r="AT803" s="14"/>
      <c r="AU803" s="14"/>
      <c r="AV803" s="14"/>
      <c r="AW803" s="14"/>
      <c r="AX803" s="14"/>
      <c r="AY803" s="14"/>
      <c r="AZ803" s="14"/>
      <c r="BA803" s="14"/>
      <c r="BB803" s="14"/>
      <c r="BC803" s="14"/>
      <c r="BD803" s="14"/>
      <c r="BE803" s="14"/>
      <c r="BF803" s="14"/>
      <c r="BG803" s="14"/>
      <c r="BH803" s="14"/>
      <c r="BI803" s="14"/>
      <c r="BJ803" s="14"/>
      <c r="BK803" s="14"/>
      <c r="BL803" s="14"/>
      <c r="BM803" s="14"/>
      <c r="BN803" s="14"/>
    </row>
    <row r="804" ht="22.5" customHeight="1">
      <c r="A804" s="493"/>
      <c r="B804" s="350"/>
      <c r="C804" s="351"/>
      <c r="D804" s="447"/>
      <c r="E804" s="494"/>
      <c r="F804" s="495"/>
      <c r="G804" s="434"/>
      <c r="H804" s="394"/>
      <c r="I804" s="394"/>
      <c r="J804" s="477"/>
      <c r="K804" s="479"/>
      <c r="L804" s="496"/>
      <c r="M804" s="496"/>
      <c r="N804" s="360"/>
      <c r="O804" s="497"/>
      <c r="P804" s="362"/>
      <c r="Q804" s="387"/>
      <c r="R804" s="387"/>
      <c r="S804" s="439"/>
      <c r="T804" s="439"/>
      <c r="U804" s="498"/>
      <c r="V804" s="430"/>
      <c r="W804" s="382"/>
      <c r="X804" s="366"/>
      <c r="Y804" s="366"/>
      <c r="Z804" s="367"/>
      <c r="AA804" s="367"/>
      <c r="AB804" s="13"/>
      <c r="AC804" s="13"/>
      <c r="AD804" s="13"/>
      <c r="AE804" s="13"/>
      <c r="AF804" s="13"/>
      <c r="AG804" s="13"/>
      <c r="AH804" s="13"/>
      <c r="AI804" s="13"/>
      <c r="AJ804" s="13"/>
      <c r="AK804" s="13"/>
      <c r="AL804" s="13"/>
      <c r="AM804" s="14"/>
      <c r="AN804" s="14"/>
      <c r="AO804" s="14"/>
      <c r="AP804" s="14"/>
      <c r="AQ804" s="14"/>
      <c r="AR804" s="14"/>
      <c r="AS804" s="14"/>
      <c r="AT804" s="14"/>
      <c r="AU804" s="14"/>
      <c r="AV804" s="14"/>
      <c r="AW804" s="14"/>
      <c r="AX804" s="14"/>
      <c r="AY804" s="14"/>
      <c r="AZ804" s="14"/>
      <c r="BA804" s="14"/>
      <c r="BB804" s="14"/>
      <c r="BC804" s="14"/>
      <c r="BD804" s="14"/>
      <c r="BE804" s="14"/>
      <c r="BF804" s="14"/>
      <c r="BG804" s="14"/>
      <c r="BH804" s="14"/>
      <c r="BI804" s="14"/>
      <c r="BJ804" s="14"/>
      <c r="BK804" s="14"/>
      <c r="BL804" s="14"/>
      <c r="BM804" s="14"/>
      <c r="BN804" s="14"/>
    </row>
    <row r="805" ht="22.5" customHeight="1">
      <c r="A805" s="493"/>
      <c r="B805" s="350"/>
      <c r="C805" s="351"/>
      <c r="D805" s="447"/>
      <c r="E805" s="494"/>
      <c r="F805" s="495"/>
      <c r="G805" s="434"/>
      <c r="H805" s="394"/>
      <c r="I805" s="394"/>
      <c r="J805" s="477"/>
      <c r="K805" s="479"/>
      <c r="L805" s="496"/>
      <c r="M805" s="496"/>
      <c r="N805" s="360"/>
      <c r="O805" s="497"/>
      <c r="P805" s="362"/>
      <c r="Q805" s="387"/>
      <c r="R805" s="387"/>
      <c r="S805" s="439"/>
      <c r="T805" s="439"/>
      <c r="U805" s="498"/>
      <c r="V805" s="430"/>
      <c r="W805" s="382"/>
      <c r="X805" s="366"/>
      <c r="Y805" s="366"/>
      <c r="Z805" s="367"/>
      <c r="AA805" s="367"/>
      <c r="AB805" s="13"/>
      <c r="AC805" s="13"/>
      <c r="AD805" s="13"/>
      <c r="AE805" s="13"/>
      <c r="AF805" s="13"/>
      <c r="AG805" s="13"/>
      <c r="AH805" s="13"/>
      <c r="AI805" s="13"/>
      <c r="AJ805" s="13"/>
      <c r="AK805" s="13"/>
      <c r="AL805" s="13"/>
      <c r="AM805" s="14"/>
      <c r="AN805" s="14"/>
      <c r="AO805" s="14"/>
      <c r="AP805" s="14"/>
      <c r="AQ805" s="14"/>
      <c r="AR805" s="14"/>
      <c r="AS805" s="14"/>
      <c r="AT805" s="14"/>
      <c r="AU805" s="14"/>
      <c r="AV805" s="14"/>
      <c r="AW805" s="14"/>
      <c r="AX805" s="14"/>
      <c r="AY805" s="14"/>
      <c r="AZ805" s="14"/>
      <c r="BA805" s="14"/>
      <c r="BB805" s="14"/>
      <c r="BC805" s="14"/>
      <c r="BD805" s="14"/>
      <c r="BE805" s="14"/>
      <c r="BF805" s="14"/>
      <c r="BG805" s="14"/>
      <c r="BH805" s="14"/>
      <c r="BI805" s="14"/>
      <c r="BJ805" s="14"/>
      <c r="BK805" s="14"/>
      <c r="BL805" s="14"/>
      <c r="BM805" s="14"/>
      <c r="BN805" s="14"/>
    </row>
    <row r="806" ht="22.5" customHeight="1">
      <c r="A806" s="493"/>
      <c r="B806" s="350"/>
      <c r="C806" s="351"/>
      <c r="D806" s="447"/>
      <c r="E806" s="494"/>
      <c r="F806" s="495"/>
      <c r="G806" s="434"/>
      <c r="H806" s="394"/>
      <c r="I806" s="394"/>
      <c r="J806" s="477"/>
      <c r="K806" s="479"/>
      <c r="L806" s="496"/>
      <c r="M806" s="496"/>
      <c r="N806" s="360"/>
      <c r="O806" s="497"/>
      <c r="P806" s="362"/>
      <c r="Q806" s="387"/>
      <c r="R806" s="387"/>
      <c r="S806" s="439"/>
      <c r="T806" s="439"/>
      <c r="U806" s="498"/>
      <c r="V806" s="430"/>
      <c r="W806" s="382"/>
      <c r="X806" s="366"/>
      <c r="Y806" s="366"/>
      <c r="Z806" s="367"/>
      <c r="AA806" s="367"/>
      <c r="AB806" s="13"/>
      <c r="AC806" s="13"/>
      <c r="AD806" s="13"/>
      <c r="AE806" s="13"/>
      <c r="AF806" s="13"/>
      <c r="AG806" s="13"/>
      <c r="AH806" s="13"/>
      <c r="AI806" s="13"/>
      <c r="AJ806" s="13"/>
      <c r="AK806" s="13"/>
      <c r="AL806" s="13"/>
      <c r="AM806" s="14"/>
      <c r="AN806" s="14"/>
      <c r="AO806" s="14"/>
      <c r="AP806" s="14"/>
      <c r="AQ806" s="14"/>
      <c r="AR806" s="14"/>
      <c r="AS806" s="14"/>
      <c r="AT806" s="14"/>
      <c r="AU806" s="14"/>
      <c r="AV806" s="14"/>
      <c r="AW806" s="14"/>
      <c r="AX806" s="14"/>
      <c r="AY806" s="14"/>
      <c r="AZ806" s="14"/>
      <c r="BA806" s="14"/>
      <c r="BB806" s="14"/>
      <c r="BC806" s="14"/>
      <c r="BD806" s="14"/>
      <c r="BE806" s="14"/>
      <c r="BF806" s="14"/>
      <c r="BG806" s="14"/>
      <c r="BH806" s="14"/>
      <c r="BI806" s="14"/>
      <c r="BJ806" s="14"/>
      <c r="BK806" s="14"/>
      <c r="BL806" s="14"/>
      <c r="BM806" s="14"/>
      <c r="BN806" s="14"/>
    </row>
    <row r="807" ht="22.5" customHeight="1">
      <c r="A807" s="493"/>
      <c r="B807" s="350"/>
      <c r="C807" s="351"/>
      <c r="D807" s="447"/>
      <c r="E807" s="494"/>
      <c r="F807" s="495"/>
      <c r="G807" s="434"/>
      <c r="H807" s="394"/>
      <c r="I807" s="394"/>
      <c r="J807" s="477"/>
      <c r="K807" s="479"/>
      <c r="L807" s="496"/>
      <c r="M807" s="496"/>
      <c r="N807" s="360"/>
      <c r="O807" s="497"/>
      <c r="P807" s="362"/>
      <c r="Q807" s="387"/>
      <c r="R807" s="387"/>
      <c r="S807" s="439"/>
      <c r="T807" s="439"/>
      <c r="U807" s="498"/>
      <c r="V807" s="430"/>
      <c r="W807" s="382"/>
      <c r="X807" s="366"/>
      <c r="Y807" s="366"/>
      <c r="Z807" s="367"/>
      <c r="AA807" s="367"/>
      <c r="AB807" s="13"/>
      <c r="AC807" s="13"/>
      <c r="AD807" s="13"/>
      <c r="AE807" s="13"/>
      <c r="AF807" s="13"/>
      <c r="AG807" s="13"/>
      <c r="AH807" s="13"/>
      <c r="AI807" s="13"/>
      <c r="AJ807" s="13"/>
      <c r="AK807" s="13"/>
      <c r="AL807" s="13"/>
      <c r="AM807" s="14"/>
      <c r="AN807" s="14"/>
      <c r="AO807" s="14"/>
      <c r="AP807" s="14"/>
      <c r="AQ807" s="14"/>
      <c r="AR807" s="14"/>
      <c r="AS807" s="14"/>
      <c r="AT807" s="14"/>
      <c r="AU807" s="14"/>
      <c r="AV807" s="14"/>
      <c r="AW807" s="14"/>
      <c r="AX807" s="14"/>
      <c r="AY807" s="14"/>
      <c r="AZ807" s="14"/>
      <c r="BA807" s="14"/>
      <c r="BB807" s="14"/>
      <c r="BC807" s="14"/>
      <c r="BD807" s="14"/>
      <c r="BE807" s="14"/>
      <c r="BF807" s="14"/>
      <c r="BG807" s="14"/>
      <c r="BH807" s="14"/>
      <c r="BI807" s="14"/>
      <c r="BJ807" s="14"/>
      <c r="BK807" s="14"/>
      <c r="BL807" s="14"/>
      <c r="BM807" s="14"/>
      <c r="BN807" s="14"/>
    </row>
    <row r="808" ht="22.5" customHeight="1">
      <c r="A808" s="493"/>
      <c r="B808" s="350"/>
      <c r="C808" s="351"/>
      <c r="D808" s="447"/>
      <c r="E808" s="494"/>
      <c r="F808" s="495"/>
      <c r="G808" s="434"/>
      <c r="H808" s="394"/>
      <c r="I808" s="394"/>
      <c r="J808" s="477"/>
      <c r="K808" s="479"/>
      <c r="L808" s="496"/>
      <c r="M808" s="496"/>
      <c r="N808" s="360"/>
      <c r="O808" s="497"/>
      <c r="P808" s="362"/>
      <c r="Q808" s="387"/>
      <c r="R808" s="387"/>
      <c r="S808" s="439"/>
      <c r="T808" s="439"/>
      <c r="U808" s="498"/>
      <c r="V808" s="430"/>
      <c r="W808" s="382"/>
      <c r="X808" s="366"/>
      <c r="Y808" s="366"/>
      <c r="Z808" s="367"/>
      <c r="AA808" s="367"/>
      <c r="AB808" s="13"/>
      <c r="AC808" s="13"/>
      <c r="AD808" s="13"/>
      <c r="AE808" s="13"/>
      <c r="AF808" s="13"/>
      <c r="AG808" s="13"/>
      <c r="AH808" s="13"/>
      <c r="AI808" s="13"/>
      <c r="AJ808" s="13"/>
      <c r="AK808" s="13"/>
      <c r="AL808" s="13"/>
      <c r="AM808" s="14"/>
      <c r="AN808" s="14"/>
      <c r="AO808" s="14"/>
      <c r="AP808" s="14"/>
      <c r="AQ808" s="14"/>
      <c r="AR808" s="14"/>
      <c r="AS808" s="14"/>
      <c r="AT808" s="14"/>
      <c r="AU808" s="14"/>
      <c r="AV808" s="14"/>
      <c r="AW808" s="14"/>
      <c r="AX808" s="14"/>
      <c r="AY808" s="14"/>
      <c r="AZ808" s="14"/>
      <c r="BA808" s="14"/>
      <c r="BB808" s="14"/>
      <c r="BC808" s="14"/>
      <c r="BD808" s="14"/>
      <c r="BE808" s="14"/>
      <c r="BF808" s="14"/>
      <c r="BG808" s="14"/>
      <c r="BH808" s="14"/>
      <c r="BI808" s="14"/>
      <c r="BJ808" s="14"/>
      <c r="BK808" s="14"/>
      <c r="BL808" s="14"/>
      <c r="BM808" s="14"/>
      <c r="BN808" s="14"/>
    </row>
    <row r="809" ht="22.5" customHeight="1">
      <c r="A809" s="493"/>
      <c r="B809" s="350"/>
      <c r="C809" s="351"/>
      <c r="D809" s="447"/>
      <c r="E809" s="494"/>
      <c r="F809" s="495"/>
      <c r="G809" s="434"/>
      <c r="H809" s="394"/>
      <c r="I809" s="394"/>
      <c r="J809" s="477"/>
      <c r="K809" s="479"/>
      <c r="L809" s="496"/>
      <c r="M809" s="496"/>
      <c r="N809" s="360"/>
      <c r="O809" s="497"/>
      <c r="P809" s="362"/>
      <c r="Q809" s="387"/>
      <c r="R809" s="387"/>
      <c r="S809" s="439"/>
      <c r="T809" s="439"/>
      <c r="U809" s="498"/>
      <c r="V809" s="430"/>
      <c r="W809" s="382"/>
      <c r="X809" s="366"/>
      <c r="Y809" s="366"/>
      <c r="Z809" s="367"/>
      <c r="AA809" s="367"/>
      <c r="AB809" s="13"/>
      <c r="AC809" s="13"/>
      <c r="AD809" s="13"/>
      <c r="AE809" s="13"/>
      <c r="AF809" s="13"/>
      <c r="AG809" s="13"/>
      <c r="AH809" s="13"/>
      <c r="AI809" s="13"/>
      <c r="AJ809" s="13"/>
      <c r="AK809" s="13"/>
      <c r="AL809" s="13"/>
      <c r="AM809" s="14"/>
      <c r="AN809" s="14"/>
      <c r="AO809" s="14"/>
      <c r="AP809" s="14"/>
      <c r="AQ809" s="14"/>
      <c r="AR809" s="14"/>
      <c r="AS809" s="14"/>
      <c r="AT809" s="14"/>
      <c r="AU809" s="14"/>
      <c r="AV809" s="14"/>
      <c r="AW809" s="14"/>
      <c r="AX809" s="14"/>
      <c r="AY809" s="14"/>
      <c r="AZ809" s="14"/>
      <c r="BA809" s="14"/>
      <c r="BB809" s="14"/>
      <c r="BC809" s="14"/>
      <c r="BD809" s="14"/>
      <c r="BE809" s="14"/>
      <c r="BF809" s="14"/>
      <c r="BG809" s="14"/>
      <c r="BH809" s="14"/>
      <c r="BI809" s="14"/>
      <c r="BJ809" s="14"/>
      <c r="BK809" s="14"/>
      <c r="BL809" s="14"/>
      <c r="BM809" s="14"/>
      <c r="BN809" s="14"/>
    </row>
    <row r="810" ht="22.5" customHeight="1">
      <c r="A810" s="493"/>
      <c r="B810" s="350"/>
      <c r="C810" s="351"/>
      <c r="D810" s="447"/>
      <c r="E810" s="494"/>
      <c r="F810" s="495"/>
      <c r="G810" s="434"/>
      <c r="H810" s="394"/>
      <c r="I810" s="394"/>
      <c r="J810" s="477"/>
      <c r="K810" s="479"/>
      <c r="L810" s="496"/>
      <c r="M810" s="496"/>
      <c r="N810" s="360"/>
      <c r="O810" s="497"/>
      <c r="P810" s="362"/>
      <c r="Q810" s="387"/>
      <c r="R810" s="387"/>
      <c r="S810" s="439"/>
      <c r="T810" s="439"/>
      <c r="U810" s="498"/>
      <c r="V810" s="430"/>
      <c r="W810" s="382"/>
      <c r="X810" s="366"/>
      <c r="Y810" s="366"/>
      <c r="Z810" s="367"/>
      <c r="AA810" s="367"/>
      <c r="AB810" s="13"/>
      <c r="AC810" s="13"/>
      <c r="AD810" s="13"/>
      <c r="AE810" s="13"/>
      <c r="AF810" s="13"/>
      <c r="AG810" s="13"/>
      <c r="AH810" s="13"/>
      <c r="AI810" s="13"/>
      <c r="AJ810" s="13"/>
      <c r="AK810" s="13"/>
      <c r="AL810" s="13"/>
      <c r="AM810" s="14"/>
      <c r="AN810" s="14"/>
      <c r="AO810" s="14"/>
      <c r="AP810" s="14"/>
      <c r="AQ810" s="14"/>
      <c r="AR810" s="14"/>
      <c r="AS810" s="14"/>
      <c r="AT810" s="14"/>
      <c r="AU810" s="14"/>
      <c r="AV810" s="14"/>
      <c r="AW810" s="14"/>
      <c r="AX810" s="14"/>
      <c r="AY810" s="14"/>
      <c r="AZ810" s="14"/>
      <c r="BA810" s="14"/>
      <c r="BB810" s="14"/>
      <c r="BC810" s="14"/>
      <c r="BD810" s="14"/>
      <c r="BE810" s="14"/>
      <c r="BF810" s="14"/>
      <c r="BG810" s="14"/>
      <c r="BH810" s="14"/>
      <c r="BI810" s="14"/>
      <c r="BJ810" s="14"/>
      <c r="BK810" s="14"/>
      <c r="BL810" s="14"/>
      <c r="BM810" s="14"/>
      <c r="BN810" s="14"/>
    </row>
    <row r="811" ht="22.5" customHeight="1">
      <c r="A811" s="493"/>
      <c r="B811" s="350"/>
      <c r="C811" s="351"/>
      <c r="D811" s="447"/>
      <c r="E811" s="494"/>
      <c r="F811" s="495"/>
      <c r="G811" s="434"/>
      <c r="H811" s="394"/>
      <c r="I811" s="394"/>
      <c r="J811" s="477"/>
      <c r="K811" s="479"/>
      <c r="L811" s="496"/>
      <c r="M811" s="496"/>
      <c r="N811" s="360"/>
      <c r="O811" s="497"/>
      <c r="P811" s="362"/>
      <c r="Q811" s="387"/>
      <c r="R811" s="387"/>
      <c r="S811" s="439"/>
      <c r="T811" s="439"/>
      <c r="U811" s="498"/>
      <c r="V811" s="430"/>
      <c r="W811" s="382"/>
      <c r="X811" s="366"/>
      <c r="Y811" s="366"/>
      <c r="Z811" s="367"/>
      <c r="AA811" s="367"/>
      <c r="AB811" s="13"/>
      <c r="AC811" s="13"/>
      <c r="AD811" s="13"/>
      <c r="AE811" s="13"/>
      <c r="AF811" s="13"/>
      <c r="AG811" s="13"/>
      <c r="AH811" s="13"/>
      <c r="AI811" s="13"/>
      <c r="AJ811" s="13"/>
      <c r="AK811" s="13"/>
      <c r="AL811" s="13"/>
      <c r="AM811" s="14"/>
      <c r="AN811" s="14"/>
      <c r="AO811" s="14"/>
      <c r="AP811" s="14"/>
      <c r="AQ811" s="14"/>
      <c r="AR811" s="14"/>
      <c r="AS811" s="14"/>
      <c r="AT811" s="14"/>
      <c r="AU811" s="14"/>
      <c r="AV811" s="14"/>
      <c r="AW811" s="14"/>
      <c r="AX811" s="14"/>
      <c r="AY811" s="14"/>
      <c r="AZ811" s="14"/>
      <c r="BA811" s="14"/>
      <c r="BB811" s="14"/>
      <c r="BC811" s="14"/>
      <c r="BD811" s="14"/>
      <c r="BE811" s="14"/>
      <c r="BF811" s="14"/>
      <c r="BG811" s="14"/>
      <c r="BH811" s="14"/>
      <c r="BI811" s="14"/>
      <c r="BJ811" s="14"/>
      <c r="BK811" s="14"/>
      <c r="BL811" s="14"/>
      <c r="BM811" s="14"/>
      <c r="BN811" s="14"/>
    </row>
    <row r="812" ht="22.5" customHeight="1">
      <c r="A812" s="493"/>
      <c r="B812" s="350"/>
      <c r="C812" s="351"/>
      <c r="D812" s="447"/>
      <c r="E812" s="494"/>
      <c r="F812" s="495"/>
      <c r="G812" s="434"/>
      <c r="H812" s="394"/>
      <c r="I812" s="394"/>
      <c r="J812" s="477"/>
      <c r="K812" s="479"/>
      <c r="L812" s="496"/>
      <c r="M812" s="496"/>
      <c r="N812" s="360"/>
      <c r="O812" s="497"/>
      <c r="P812" s="362"/>
      <c r="Q812" s="387"/>
      <c r="R812" s="387"/>
      <c r="S812" s="439"/>
      <c r="T812" s="439"/>
      <c r="U812" s="498"/>
      <c r="V812" s="430"/>
      <c r="W812" s="382"/>
      <c r="X812" s="366"/>
      <c r="Y812" s="366"/>
      <c r="Z812" s="367"/>
      <c r="AA812" s="367"/>
      <c r="AB812" s="13"/>
      <c r="AC812" s="13"/>
      <c r="AD812" s="13"/>
      <c r="AE812" s="13"/>
      <c r="AF812" s="13"/>
      <c r="AG812" s="13"/>
      <c r="AH812" s="13"/>
      <c r="AI812" s="13"/>
      <c r="AJ812" s="13"/>
      <c r="AK812" s="13"/>
      <c r="AL812" s="13"/>
      <c r="AM812" s="14"/>
      <c r="AN812" s="14"/>
      <c r="AO812" s="14"/>
      <c r="AP812" s="14"/>
      <c r="AQ812" s="14"/>
      <c r="AR812" s="14"/>
      <c r="AS812" s="14"/>
      <c r="AT812" s="14"/>
      <c r="AU812" s="14"/>
      <c r="AV812" s="14"/>
      <c r="AW812" s="14"/>
      <c r="AX812" s="14"/>
      <c r="AY812" s="14"/>
      <c r="AZ812" s="14"/>
      <c r="BA812" s="14"/>
      <c r="BB812" s="14"/>
      <c r="BC812" s="14"/>
      <c r="BD812" s="14"/>
      <c r="BE812" s="14"/>
      <c r="BF812" s="14"/>
      <c r="BG812" s="14"/>
      <c r="BH812" s="14"/>
      <c r="BI812" s="14"/>
      <c r="BJ812" s="14"/>
      <c r="BK812" s="14"/>
      <c r="BL812" s="14"/>
      <c r="BM812" s="14"/>
      <c r="BN812" s="14"/>
    </row>
    <row r="813" ht="22.5" customHeight="1">
      <c r="A813" s="493"/>
      <c r="B813" s="350"/>
      <c r="C813" s="351"/>
      <c r="D813" s="447"/>
      <c r="E813" s="494"/>
      <c r="F813" s="495"/>
      <c r="G813" s="434"/>
      <c r="H813" s="394"/>
      <c r="I813" s="394"/>
      <c r="J813" s="477"/>
      <c r="K813" s="479"/>
      <c r="L813" s="496"/>
      <c r="M813" s="496"/>
      <c r="N813" s="360"/>
      <c r="O813" s="497"/>
      <c r="P813" s="362"/>
      <c r="Q813" s="387"/>
      <c r="R813" s="387"/>
      <c r="S813" s="439"/>
      <c r="T813" s="439"/>
      <c r="U813" s="498"/>
      <c r="V813" s="430"/>
      <c r="W813" s="382"/>
      <c r="X813" s="366"/>
      <c r="Y813" s="366"/>
      <c r="Z813" s="367"/>
      <c r="AA813" s="367"/>
      <c r="AB813" s="13"/>
      <c r="AC813" s="13"/>
      <c r="AD813" s="13"/>
      <c r="AE813" s="13"/>
      <c r="AF813" s="13"/>
      <c r="AG813" s="13"/>
      <c r="AH813" s="13"/>
      <c r="AI813" s="13"/>
      <c r="AJ813" s="13"/>
      <c r="AK813" s="13"/>
      <c r="AL813" s="13"/>
      <c r="AM813" s="14"/>
      <c r="AN813" s="14"/>
      <c r="AO813" s="14"/>
      <c r="AP813" s="14"/>
      <c r="AQ813" s="14"/>
      <c r="AR813" s="14"/>
      <c r="AS813" s="14"/>
      <c r="AT813" s="14"/>
      <c r="AU813" s="14"/>
      <c r="AV813" s="14"/>
      <c r="AW813" s="14"/>
      <c r="AX813" s="14"/>
      <c r="AY813" s="14"/>
      <c r="AZ813" s="14"/>
      <c r="BA813" s="14"/>
      <c r="BB813" s="14"/>
      <c r="BC813" s="14"/>
      <c r="BD813" s="14"/>
      <c r="BE813" s="14"/>
      <c r="BF813" s="14"/>
      <c r="BG813" s="14"/>
      <c r="BH813" s="14"/>
      <c r="BI813" s="14"/>
      <c r="BJ813" s="14"/>
      <c r="BK813" s="14"/>
      <c r="BL813" s="14"/>
      <c r="BM813" s="14"/>
      <c r="BN813" s="14"/>
    </row>
    <row r="814" ht="22.5" customHeight="1">
      <c r="A814" s="493"/>
      <c r="B814" s="350"/>
      <c r="C814" s="351"/>
      <c r="D814" s="447"/>
      <c r="E814" s="494"/>
      <c r="F814" s="495"/>
      <c r="G814" s="434"/>
      <c r="H814" s="394"/>
      <c r="I814" s="394"/>
      <c r="J814" s="477"/>
      <c r="K814" s="479"/>
      <c r="L814" s="496"/>
      <c r="M814" s="496"/>
      <c r="N814" s="360"/>
      <c r="O814" s="497"/>
      <c r="P814" s="362"/>
      <c r="Q814" s="387"/>
      <c r="R814" s="387"/>
      <c r="S814" s="439"/>
      <c r="T814" s="439"/>
      <c r="U814" s="498"/>
      <c r="V814" s="430"/>
      <c r="W814" s="382"/>
      <c r="X814" s="366"/>
      <c r="Y814" s="366"/>
      <c r="Z814" s="367"/>
      <c r="AA814" s="367"/>
      <c r="AB814" s="13"/>
      <c r="AC814" s="13"/>
      <c r="AD814" s="13"/>
      <c r="AE814" s="13"/>
      <c r="AF814" s="13"/>
      <c r="AG814" s="13"/>
      <c r="AH814" s="13"/>
      <c r="AI814" s="13"/>
      <c r="AJ814" s="13"/>
      <c r="AK814" s="13"/>
      <c r="AL814" s="13"/>
      <c r="AM814" s="14"/>
      <c r="AN814" s="14"/>
      <c r="AO814" s="14"/>
      <c r="AP814" s="14"/>
      <c r="AQ814" s="14"/>
      <c r="AR814" s="14"/>
      <c r="AS814" s="14"/>
      <c r="AT814" s="14"/>
      <c r="AU814" s="14"/>
      <c r="AV814" s="14"/>
      <c r="AW814" s="14"/>
      <c r="AX814" s="14"/>
      <c r="AY814" s="14"/>
      <c r="AZ814" s="14"/>
      <c r="BA814" s="14"/>
      <c r="BB814" s="14"/>
      <c r="BC814" s="14"/>
      <c r="BD814" s="14"/>
      <c r="BE814" s="14"/>
      <c r="BF814" s="14"/>
      <c r="BG814" s="14"/>
      <c r="BH814" s="14"/>
      <c r="BI814" s="14"/>
      <c r="BJ814" s="14"/>
      <c r="BK814" s="14"/>
      <c r="BL814" s="14"/>
      <c r="BM814" s="14"/>
      <c r="BN814" s="14"/>
    </row>
    <row r="815" ht="22.5" customHeight="1">
      <c r="A815" s="493"/>
      <c r="B815" s="350"/>
      <c r="C815" s="351"/>
      <c r="D815" s="447"/>
      <c r="E815" s="494"/>
      <c r="F815" s="495"/>
      <c r="G815" s="434"/>
      <c r="H815" s="394"/>
      <c r="I815" s="394"/>
      <c r="J815" s="477"/>
      <c r="K815" s="479"/>
      <c r="L815" s="496"/>
      <c r="M815" s="496"/>
      <c r="N815" s="360"/>
      <c r="O815" s="497"/>
      <c r="P815" s="362"/>
      <c r="Q815" s="387"/>
      <c r="R815" s="387"/>
      <c r="S815" s="439"/>
      <c r="T815" s="439"/>
      <c r="U815" s="498"/>
      <c r="V815" s="430"/>
      <c r="W815" s="382"/>
      <c r="X815" s="366"/>
      <c r="Y815" s="366"/>
      <c r="Z815" s="367"/>
      <c r="AA815" s="367"/>
      <c r="AB815" s="13"/>
      <c r="AC815" s="13"/>
      <c r="AD815" s="13"/>
      <c r="AE815" s="13"/>
      <c r="AF815" s="13"/>
      <c r="AG815" s="13"/>
      <c r="AH815" s="13"/>
      <c r="AI815" s="13"/>
      <c r="AJ815" s="13"/>
      <c r="AK815" s="13"/>
      <c r="AL815" s="13"/>
      <c r="AM815" s="14"/>
      <c r="AN815" s="14"/>
      <c r="AO815" s="14"/>
      <c r="AP815" s="14"/>
      <c r="AQ815" s="14"/>
      <c r="AR815" s="14"/>
      <c r="AS815" s="14"/>
      <c r="AT815" s="14"/>
      <c r="AU815" s="14"/>
      <c r="AV815" s="14"/>
      <c r="AW815" s="14"/>
      <c r="AX815" s="14"/>
      <c r="AY815" s="14"/>
      <c r="AZ815" s="14"/>
      <c r="BA815" s="14"/>
      <c r="BB815" s="14"/>
      <c r="BC815" s="14"/>
      <c r="BD815" s="14"/>
      <c r="BE815" s="14"/>
      <c r="BF815" s="14"/>
      <c r="BG815" s="14"/>
      <c r="BH815" s="14"/>
      <c r="BI815" s="14"/>
      <c r="BJ815" s="14"/>
      <c r="BK815" s="14"/>
      <c r="BL815" s="14"/>
      <c r="BM815" s="14"/>
      <c r="BN815" s="14"/>
    </row>
    <row r="816" ht="22.5" customHeight="1">
      <c r="A816" s="493"/>
      <c r="B816" s="350"/>
      <c r="C816" s="351"/>
      <c r="D816" s="447"/>
      <c r="E816" s="494"/>
      <c r="F816" s="495"/>
      <c r="G816" s="434"/>
      <c r="H816" s="394"/>
      <c r="I816" s="394"/>
      <c r="J816" s="477"/>
      <c r="K816" s="479"/>
      <c r="L816" s="496"/>
      <c r="M816" s="496"/>
      <c r="N816" s="360"/>
      <c r="O816" s="497"/>
      <c r="P816" s="362"/>
      <c r="Q816" s="387"/>
      <c r="R816" s="387"/>
      <c r="S816" s="439"/>
      <c r="T816" s="439"/>
      <c r="U816" s="498"/>
      <c r="V816" s="430"/>
      <c r="W816" s="382"/>
      <c r="X816" s="366"/>
      <c r="Y816" s="366"/>
      <c r="Z816" s="367"/>
      <c r="AA816" s="367"/>
      <c r="AB816" s="13"/>
      <c r="AC816" s="13"/>
      <c r="AD816" s="13"/>
      <c r="AE816" s="13"/>
      <c r="AF816" s="13"/>
      <c r="AG816" s="13"/>
      <c r="AH816" s="13"/>
      <c r="AI816" s="13"/>
      <c r="AJ816" s="13"/>
      <c r="AK816" s="13"/>
      <c r="AL816" s="13"/>
      <c r="AM816" s="14"/>
      <c r="AN816" s="14"/>
      <c r="AO816" s="14"/>
      <c r="AP816" s="14"/>
      <c r="AQ816" s="14"/>
      <c r="AR816" s="14"/>
      <c r="AS816" s="14"/>
      <c r="AT816" s="14"/>
      <c r="AU816" s="14"/>
      <c r="AV816" s="14"/>
      <c r="AW816" s="14"/>
      <c r="AX816" s="14"/>
      <c r="AY816" s="14"/>
      <c r="AZ816" s="14"/>
      <c r="BA816" s="14"/>
      <c r="BB816" s="14"/>
      <c r="BC816" s="14"/>
      <c r="BD816" s="14"/>
      <c r="BE816" s="14"/>
      <c r="BF816" s="14"/>
      <c r="BG816" s="14"/>
      <c r="BH816" s="14"/>
      <c r="BI816" s="14"/>
      <c r="BJ816" s="14"/>
      <c r="BK816" s="14"/>
      <c r="BL816" s="14"/>
      <c r="BM816" s="14"/>
      <c r="BN816" s="14"/>
    </row>
    <row r="817" ht="22.5" customHeight="1">
      <c r="A817" s="493"/>
      <c r="B817" s="350"/>
      <c r="C817" s="351"/>
      <c r="D817" s="447"/>
      <c r="E817" s="494"/>
      <c r="F817" s="495"/>
      <c r="G817" s="434"/>
      <c r="H817" s="394"/>
      <c r="I817" s="394"/>
      <c r="J817" s="477"/>
      <c r="K817" s="479"/>
      <c r="L817" s="496"/>
      <c r="M817" s="496"/>
      <c r="N817" s="360"/>
      <c r="O817" s="497"/>
      <c r="P817" s="362"/>
      <c r="Q817" s="387"/>
      <c r="R817" s="387"/>
      <c r="S817" s="439"/>
      <c r="T817" s="439"/>
      <c r="U817" s="498"/>
      <c r="V817" s="430"/>
      <c r="W817" s="382"/>
      <c r="X817" s="366"/>
      <c r="Y817" s="366"/>
      <c r="Z817" s="367"/>
      <c r="AA817" s="367"/>
      <c r="AB817" s="13"/>
      <c r="AC817" s="13"/>
      <c r="AD817" s="13"/>
      <c r="AE817" s="13"/>
      <c r="AF817" s="13"/>
      <c r="AG817" s="13"/>
      <c r="AH817" s="13"/>
      <c r="AI817" s="13"/>
      <c r="AJ817" s="13"/>
      <c r="AK817" s="13"/>
      <c r="AL817" s="13"/>
      <c r="AM817" s="14"/>
      <c r="AN817" s="14"/>
      <c r="AO817" s="14"/>
      <c r="AP817" s="14"/>
      <c r="AQ817" s="14"/>
      <c r="AR817" s="14"/>
      <c r="AS817" s="14"/>
      <c r="AT817" s="14"/>
      <c r="AU817" s="14"/>
      <c r="AV817" s="14"/>
      <c r="AW817" s="14"/>
      <c r="AX817" s="14"/>
      <c r="AY817" s="14"/>
      <c r="AZ817" s="14"/>
      <c r="BA817" s="14"/>
      <c r="BB817" s="14"/>
      <c r="BC817" s="14"/>
      <c r="BD817" s="14"/>
      <c r="BE817" s="14"/>
      <c r="BF817" s="14"/>
      <c r="BG817" s="14"/>
      <c r="BH817" s="14"/>
      <c r="BI817" s="14"/>
      <c r="BJ817" s="14"/>
      <c r="BK817" s="14"/>
      <c r="BL817" s="14"/>
      <c r="BM817" s="14"/>
      <c r="BN817" s="14"/>
    </row>
    <row r="818" ht="22.5" customHeight="1">
      <c r="A818" s="493"/>
      <c r="B818" s="350"/>
      <c r="C818" s="351"/>
      <c r="D818" s="447"/>
      <c r="E818" s="494"/>
      <c r="F818" s="495"/>
      <c r="G818" s="434"/>
      <c r="H818" s="394"/>
      <c r="I818" s="394"/>
      <c r="J818" s="477"/>
      <c r="K818" s="479"/>
      <c r="L818" s="496"/>
      <c r="M818" s="496"/>
      <c r="N818" s="360"/>
      <c r="O818" s="497"/>
      <c r="P818" s="362"/>
      <c r="Q818" s="387"/>
      <c r="R818" s="387"/>
      <c r="S818" s="439"/>
      <c r="T818" s="439"/>
      <c r="U818" s="498"/>
      <c r="V818" s="430"/>
      <c r="W818" s="382"/>
      <c r="X818" s="366"/>
      <c r="Y818" s="366"/>
      <c r="Z818" s="367"/>
      <c r="AA818" s="367"/>
      <c r="AB818" s="13"/>
      <c r="AC818" s="13"/>
      <c r="AD818" s="13"/>
      <c r="AE818" s="13"/>
      <c r="AF818" s="13"/>
      <c r="AG818" s="13"/>
      <c r="AH818" s="13"/>
      <c r="AI818" s="13"/>
      <c r="AJ818" s="13"/>
      <c r="AK818" s="13"/>
      <c r="AL818" s="13"/>
      <c r="AM818" s="14"/>
      <c r="AN818" s="14"/>
      <c r="AO818" s="14"/>
      <c r="AP818" s="14"/>
      <c r="AQ818" s="14"/>
      <c r="AR818" s="14"/>
      <c r="AS818" s="14"/>
      <c r="AT818" s="14"/>
      <c r="AU818" s="14"/>
      <c r="AV818" s="14"/>
      <c r="AW818" s="14"/>
      <c r="AX818" s="14"/>
      <c r="AY818" s="14"/>
      <c r="AZ818" s="14"/>
      <c r="BA818" s="14"/>
      <c r="BB818" s="14"/>
      <c r="BC818" s="14"/>
      <c r="BD818" s="14"/>
      <c r="BE818" s="14"/>
      <c r="BF818" s="14"/>
      <c r="BG818" s="14"/>
      <c r="BH818" s="14"/>
      <c r="BI818" s="14"/>
      <c r="BJ818" s="14"/>
      <c r="BK818" s="14"/>
      <c r="BL818" s="14"/>
      <c r="BM818" s="14"/>
      <c r="BN818" s="14"/>
    </row>
    <row r="819" ht="22.5" customHeight="1">
      <c r="A819" s="493"/>
      <c r="B819" s="350"/>
      <c r="C819" s="351"/>
      <c r="D819" s="447"/>
      <c r="E819" s="494"/>
      <c r="F819" s="495"/>
      <c r="G819" s="434"/>
      <c r="H819" s="394"/>
      <c r="I819" s="394"/>
      <c r="J819" s="477"/>
      <c r="K819" s="479"/>
      <c r="L819" s="496"/>
      <c r="M819" s="496"/>
      <c r="N819" s="360"/>
      <c r="O819" s="497"/>
      <c r="P819" s="362"/>
      <c r="Q819" s="387"/>
      <c r="R819" s="387"/>
      <c r="S819" s="439"/>
      <c r="T819" s="439"/>
      <c r="U819" s="498"/>
      <c r="V819" s="430"/>
      <c r="W819" s="382"/>
      <c r="X819" s="366"/>
      <c r="Y819" s="366"/>
      <c r="Z819" s="367"/>
      <c r="AA819" s="367"/>
      <c r="AB819" s="13"/>
      <c r="AC819" s="13"/>
      <c r="AD819" s="13"/>
      <c r="AE819" s="13"/>
      <c r="AF819" s="13"/>
      <c r="AG819" s="13"/>
      <c r="AH819" s="13"/>
      <c r="AI819" s="13"/>
      <c r="AJ819" s="13"/>
      <c r="AK819" s="13"/>
      <c r="AL819" s="13"/>
      <c r="AM819" s="14"/>
      <c r="AN819" s="14"/>
      <c r="AO819" s="14"/>
      <c r="AP819" s="14"/>
      <c r="AQ819" s="14"/>
      <c r="AR819" s="14"/>
      <c r="AS819" s="14"/>
      <c r="AT819" s="14"/>
      <c r="AU819" s="14"/>
      <c r="AV819" s="14"/>
      <c r="AW819" s="14"/>
      <c r="AX819" s="14"/>
      <c r="AY819" s="14"/>
      <c r="AZ819" s="14"/>
      <c r="BA819" s="14"/>
      <c r="BB819" s="14"/>
      <c r="BC819" s="14"/>
      <c r="BD819" s="14"/>
      <c r="BE819" s="14"/>
      <c r="BF819" s="14"/>
      <c r="BG819" s="14"/>
      <c r="BH819" s="14"/>
      <c r="BI819" s="14"/>
      <c r="BJ819" s="14"/>
      <c r="BK819" s="14"/>
      <c r="BL819" s="14"/>
      <c r="BM819" s="14"/>
      <c r="BN819" s="14"/>
    </row>
    <row r="820" ht="22.5" customHeight="1">
      <c r="A820" s="493"/>
      <c r="B820" s="350"/>
      <c r="C820" s="351"/>
      <c r="D820" s="447"/>
      <c r="E820" s="494"/>
      <c r="F820" s="495"/>
      <c r="G820" s="434"/>
      <c r="H820" s="394"/>
      <c r="I820" s="394"/>
      <c r="J820" s="477"/>
      <c r="K820" s="479"/>
      <c r="L820" s="496"/>
      <c r="M820" s="496"/>
      <c r="N820" s="360"/>
      <c r="O820" s="497"/>
      <c r="P820" s="362"/>
      <c r="Q820" s="387"/>
      <c r="R820" s="387"/>
      <c r="S820" s="439"/>
      <c r="T820" s="439"/>
      <c r="U820" s="498"/>
      <c r="V820" s="430"/>
      <c r="W820" s="382"/>
      <c r="X820" s="366"/>
      <c r="Y820" s="366"/>
      <c r="Z820" s="367"/>
      <c r="AA820" s="367"/>
      <c r="AB820" s="13"/>
      <c r="AC820" s="13"/>
      <c r="AD820" s="13"/>
      <c r="AE820" s="13"/>
      <c r="AF820" s="13"/>
      <c r="AG820" s="13"/>
      <c r="AH820" s="13"/>
      <c r="AI820" s="13"/>
      <c r="AJ820" s="13"/>
      <c r="AK820" s="13"/>
      <c r="AL820" s="13"/>
      <c r="AM820" s="14"/>
      <c r="AN820" s="14"/>
      <c r="AO820" s="14"/>
      <c r="AP820" s="14"/>
      <c r="AQ820" s="14"/>
      <c r="AR820" s="14"/>
      <c r="AS820" s="14"/>
      <c r="AT820" s="14"/>
      <c r="AU820" s="14"/>
      <c r="AV820" s="14"/>
      <c r="AW820" s="14"/>
      <c r="AX820" s="14"/>
      <c r="AY820" s="14"/>
      <c r="AZ820" s="14"/>
      <c r="BA820" s="14"/>
      <c r="BB820" s="14"/>
      <c r="BC820" s="14"/>
      <c r="BD820" s="14"/>
      <c r="BE820" s="14"/>
      <c r="BF820" s="14"/>
      <c r="BG820" s="14"/>
      <c r="BH820" s="14"/>
      <c r="BI820" s="14"/>
      <c r="BJ820" s="14"/>
      <c r="BK820" s="14"/>
      <c r="BL820" s="14"/>
      <c r="BM820" s="14"/>
      <c r="BN820" s="14"/>
    </row>
    <row r="821" ht="22.5" customHeight="1">
      <c r="A821" s="493"/>
      <c r="B821" s="350"/>
      <c r="C821" s="351"/>
      <c r="D821" s="447"/>
      <c r="E821" s="494"/>
      <c r="F821" s="495"/>
      <c r="G821" s="434"/>
      <c r="H821" s="394"/>
      <c r="I821" s="394"/>
      <c r="J821" s="477"/>
      <c r="K821" s="479"/>
      <c r="L821" s="496"/>
      <c r="M821" s="496"/>
      <c r="N821" s="360"/>
      <c r="O821" s="497"/>
      <c r="P821" s="362"/>
      <c r="Q821" s="387"/>
      <c r="R821" s="387"/>
      <c r="S821" s="439"/>
      <c r="T821" s="439"/>
      <c r="U821" s="498"/>
      <c r="V821" s="430"/>
      <c r="W821" s="382"/>
      <c r="X821" s="366"/>
      <c r="Y821" s="366"/>
      <c r="Z821" s="367"/>
      <c r="AA821" s="367"/>
      <c r="AB821" s="13"/>
      <c r="AC821" s="13"/>
      <c r="AD821" s="13"/>
      <c r="AE821" s="13"/>
      <c r="AF821" s="13"/>
      <c r="AG821" s="13"/>
      <c r="AH821" s="13"/>
      <c r="AI821" s="13"/>
      <c r="AJ821" s="13"/>
      <c r="AK821" s="13"/>
      <c r="AL821" s="13"/>
      <c r="AM821" s="14"/>
      <c r="AN821" s="14"/>
      <c r="AO821" s="14"/>
      <c r="AP821" s="14"/>
      <c r="AQ821" s="14"/>
      <c r="AR821" s="14"/>
      <c r="AS821" s="14"/>
      <c r="AT821" s="14"/>
      <c r="AU821" s="14"/>
      <c r="AV821" s="14"/>
      <c r="AW821" s="14"/>
      <c r="AX821" s="14"/>
      <c r="AY821" s="14"/>
      <c r="AZ821" s="14"/>
      <c r="BA821" s="14"/>
      <c r="BB821" s="14"/>
      <c r="BC821" s="14"/>
      <c r="BD821" s="14"/>
      <c r="BE821" s="14"/>
      <c r="BF821" s="14"/>
      <c r="BG821" s="14"/>
      <c r="BH821" s="14"/>
      <c r="BI821" s="14"/>
      <c r="BJ821" s="14"/>
      <c r="BK821" s="14"/>
      <c r="BL821" s="14"/>
      <c r="BM821" s="14"/>
      <c r="BN821" s="14"/>
    </row>
    <row r="822" ht="22.5" customHeight="1">
      <c r="A822" s="493"/>
      <c r="B822" s="350"/>
      <c r="C822" s="351"/>
      <c r="D822" s="447"/>
      <c r="E822" s="494"/>
      <c r="F822" s="495"/>
      <c r="G822" s="434"/>
      <c r="H822" s="394"/>
      <c r="I822" s="394"/>
      <c r="J822" s="477"/>
      <c r="K822" s="479"/>
      <c r="L822" s="496"/>
      <c r="M822" s="496"/>
      <c r="N822" s="360"/>
      <c r="O822" s="497"/>
      <c r="P822" s="362"/>
      <c r="Q822" s="387"/>
      <c r="R822" s="387"/>
      <c r="S822" s="439"/>
      <c r="T822" s="439"/>
      <c r="U822" s="498"/>
      <c r="V822" s="430"/>
      <c r="W822" s="382"/>
      <c r="X822" s="366"/>
      <c r="Y822" s="366"/>
      <c r="Z822" s="367"/>
      <c r="AA822" s="367"/>
      <c r="AB822" s="13"/>
      <c r="AC822" s="13"/>
      <c r="AD822" s="13"/>
      <c r="AE822" s="13"/>
      <c r="AF822" s="13"/>
      <c r="AG822" s="13"/>
      <c r="AH822" s="13"/>
      <c r="AI822" s="13"/>
      <c r="AJ822" s="13"/>
      <c r="AK822" s="13"/>
      <c r="AL822" s="13"/>
      <c r="AM822" s="14"/>
      <c r="AN822" s="14"/>
      <c r="AO822" s="14"/>
      <c r="AP822" s="14"/>
      <c r="AQ822" s="14"/>
      <c r="AR822" s="14"/>
      <c r="AS822" s="14"/>
      <c r="AT822" s="14"/>
      <c r="AU822" s="14"/>
      <c r="AV822" s="14"/>
      <c r="AW822" s="14"/>
      <c r="AX822" s="14"/>
      <c r="AY822" s="14"/>
      <c r="AZ822" s="14"/>
      <c r="BA822" s="14"/>
      <c r="BB822" s="14"/>
      <c r="BC822" s="14"/>
      <c r="BD822" s="14"/>
      <c r="BE822" s="14"/>
      <c r="BF822" s="14"/>
      <c r="BG822" s="14"/>
      <c r="BH822" s="14"/>
      <c r="BI822" s="14"/>
      <c r="BJ822" s="14"/>
      <c r="BK822" s="14"/>
      <c r="BL822" s="14"/>
      <c r="BM822" s="14"/>
      <c r="BN822" s="14"/>
    </row>
    <row r="823" ht="22.5" customHeight="1">
      <c r="A823" s="493"/>
      <c r="B823" s="350"/>
      <c r="C823" s="351"/>
      <c r="D823" s="447"/>
      <c r="E823" s="494"/>
      <c r="F823" s="495"/>
      <c r="G823" s="434"/>
      <c r="H823" s="394"/>
      <c r="I823" s="394"/>
      <c r="J823" s="477"/>
      <c r="K823" s="479"/>
      <c r="L823" s="496"/>
      <c r="M823" s="496"/>
      <c r="N823" s="360"/>
      <c r="O823" s="497"/>
      <c r="P823" s="362"/>
      <c r="Q823" s="387"/>
      <c r="R823" s="387"/>
      <c r="S823" s="439"/>
      <c r="T823" s="439"/>
      <c r="U823" s="498"/>
      <c r="V823" s="430"/>
      <c r="W823" s="382"/>
      <c r="X823" s="366"/>
      <c r="Y823" s="366"/>
      <c r="Z823" s="367"/>
      <c r="AA823" s="367"/>
      <c r="AB823" s="13"/>
      <c r="AC823" s="13"/>
      <c r="AD823" s="13"/>
      <c r="AE823" s="13"/>
      <c r="AF823" s="13"/>
      <c r="AG823" s="13"/>
      <c r="AH823" s="13"/>
      <c r="AI823" s="13"/>
      <c r="AJ823" s="13"/>
      <c r="AK823" s="13"/>
      <c r="AL823" s="13"/>
      <c r="AM823" s="14"/>
      <c r="AN823" s="14"/>
      <c r="AO823" s="14"/>
      <c r="AP823" s="14"/>
      <c r="AQ823" s="14"/>
      <c r="AR823" s="14"/>
      <c r="AS823" s="14"/>
      <c r="AT823" s="14"/>
      <c r="AU823" s="14"/>
      <c r="AV823" s="14"/>
      <c r="AW823" s="14"/>
      <c r="AX823" s="14"/>
      <c r="AY823" s="14"/>
      <c r="AZ823" s="14"/>
      <c r="BA823" s="14"/>
      <c r="BB823" s="14"/>
      <c r="BC823" s="14"/>
      <c r="BD823" s="14"/>
      <c r="BE823" s="14"/>
      <c r="BF823" s="14"/>
      <c r="BG823" s="14"/>
      <c r="BH823" s="14"/>
      <c r="BI823" s="14"/>
      <c r="BJ823" s="14"/>
      <c r="BK823" s="14"/>
      <c r="BL823" s="14"/>
      <c r="BM823" s="14"/>
      <c r="BN823" s="14"/>
    </row>
    <row r="824" ht="22.5" customHeight="1">
      <c r="A824" s="493"/>
      <c r="B824" s="350"/>
      <c r="C824" s="351"/>
      <c r="D824" s="447"/>
      <c r="E824" s="494"/>
      <c r="F824" s="495"/>
      <c r="G824" s="434"/>
      <c r="H824" s="394"/>
      <c r="I824" s="394"/>
      <c r="J824" s="477"/>
      <c r="K824" s="479"/>
      <c r="L824" s="496"/>
      <c r="M824" s="496"/>
      <c r="N824" s="360"/>
      <c r="O824" s="497"/>
      <c r="P824" s="362"/>
      <c r="Q824" s="387"/>
      <c r="R824" s="387"/>
      <c r="S824" s="439"/>
      <c r="T824" s="439"/>
      <c r="U824" s="498"/>
      <c r="V824" s="430"/>
      <c r="W824" s="382"/>
      <c r="X824" s="366"/>
      <c r="Y824" s="366"/>
      <c r="Z824" s="367"/>
      <c r="AA824" s="367"/>
      <c r="AB824" s="13"/>
      <c r="AC824" s="13"/>
      <c r="AD824" s="13"/>
      <c r="AE824" s="13"/>
      <c r="AF824" s="13"/>
      <c r="AG824" s="13"/>
      <c r="AH824" s="13"/>
      <c r="AI824" s="13"/>
      <c r="AJ824" s="13"/>
      <c r="AK824" s="13"/>
      <c r="AL824" s="13"/>
      <c r="AM824" s="14"/>
      <c r="AN824" s="14"/>
      <c r="AO824" s="14"/>
      <c r="AP824" s="14"/>
      <c r="AQ824" s="14"/>
      <c r="AR824" s="14"/>
      <c r="AS824" s="14"/>
      <c r="AT824" s="14"/>
      <c r="AU824" s="14"/>
      <c r="AV824" s="14"/>
      <c r="AW824" s="14"/>
      <c r="AX824" s="14"/>
      <c r="AY824" s="14"/>
      <c r="AZ824" s="14"/>
      <c r="BA824" s="14"/>
      <c r="BB824" s="14"/>
      <c r="BC824" s="14"/>
      <c r="BD824" s="14"/>
      <c r="BE824" s="14"/>
      <c r="BF824" s="14"/>
      <c r="BG824" s="14"/>
      <c r="BH824" s="14"/>
      <c r="BI824" s="14"/>
      <c r="BJ824" s="14"/>
      <c r="BK824" s="14"/>
      <c r="BL824" s="14"/>
      <c r="BM824" s="14"/>
      <c r="BN824" s="14"/>
    </row>
    <row r="825" ht="22.5" customHeight="1">
      <c r="A825" s="493"/>
      <c r="B825" s="350"/>
      <c r="C825" s="351"/>
      <c r="D825" s="447"/>
      <c r="E825" s="494"/>
      <c r="F825" s="495"/>
      <c r="G825" s="434"/>
      <c r="H825" s="394"/>
      <c r="I825" s="394"/>
      <c r="J825" s="477"/>
      <c r="K825" s="479"/>
      <c r="L825" s="496"/>
      <c r="M825" s="496"/>
      <c r="N825" s="360"/>
      <c r="O825" s="497"/>
      <c r="P825" s="362"/>
      <c r="Q825" s="387"/>
      <c r="R825" s="387"/>
      <c r="S825" s="439"/>
      <c r="T825" s="439"/>
      <c r="U825" s="498"/>
      <c r="V825" s="430"/>
      <c r="W825" s="382"/>
      <c r="X825" s="366"/>
      <c r="Y825" s="366"/>
      <c r="Z825" s="367"/>
      <c r="AA825" s="367"/>
      <c r="AB825" s="13"/>
      <c r="AC825" s="13"/>
      <c r="AD825" s="13"/>
      <c r="AE825" s="13"/>
      <c r="AF825" s="13"/>
      <c r="AG825" s="13"/>
      <c r="AH825" s="13"/>
      <c r="AI825" s="13"/>
      <c r="AJ825" s="13"/>
      <c r="AK825" s="13"/>
      <c r="AL825" s="13"/>
      <c r="AM825" s="14"/>
      <c r="AN825" s="14"/>
      <c r="AO825" s="14"/>
      <c r="AP825" s="14"/>
      <c r="AQ825" s="14"/>
      <c r="AR825" s="14"/>
      <c r="AS825" s="14"/>
      <c r="AT825" s="14"/>
      <c r="AU825" s="14"/>
      <c r="AV825" s="14"/>
      <c r="AW825" s="14"/>
      <c r="AX825" s="14"/>
      <c r="AY825" s="14"/>
      <c r="AZ825" s="14"/>
      <c r="BA825" s="14"/>
      <c r="BB825" s="14"/>
      <c r="BC825" s="14"/>
      <c r="BD825" s="14"/>
      <c r="BE825" s="14"/>
      <c r="BF825" s="14"/>
      <c r="BG825" s="14"/>
      <c r="BH825" s="14"/>
      <c r="BI825" s="14"/>
      <c r="BJ825" s="14"/>
      <c r="BK825" s="14"/>
      <c r="BL825" s="14"/>
      <c r="BM825" s="14"/>
      <c r="BN825" s="14"/>
    </row>
    <row r="826" ht="22.5" customHeight="1">
      <c r="A826" s="493"/>
      <c r="B826" s="350"/>
      <c r="C826" s="351"/>
      <c r="D826" s="447"/>
      <c r="E826" s="494"/>
      <c r="F826" s="495"/>
      <c r="G826" s="434"/>
      <c r="H826" s="394"/>
      <c r="I826" s="394"/>
      <c r="J826" s="477"/>
      <c r="K826" s="479"/>
      <c r="L826" s="496"/>
      <c r="M826" s="496"/>
      <c r="N826" s="360"/>
      <c r="O826" s="497"/>
      <c r="P826" s="362"/>
      <c r="Q826" s="387"/>
      <c r="R826" s="387"/>
      <c r="S826" s="439"/>
      <c r="T826" s="439"/>
      <c r="U826" s="498"/>
      <c r="V826" s="430"/>
      <c r="W826" s="382"/>
      <c r="X826" s="366"/>
      <c r="Y826" s="366"/>
      <c r="Z826" s="367"/>
      <c r="AA826" s="367"/>
      <c r="AB826" s="13"/>
      <c r="AC826" s="13"/>
      <c r="AD826" s="13"/>
      <c r="AE826" s="13"/>
      <c r="AF826" s="13"/>
      <c r="AG826" s="13"/>
      <c r="AH826" s="13"/>
      <c r="AI826" s="13"/>
      <c r="AJ826" s="13"/>
      <c r="AK826" s="13"/>
      <c r="AL826" s="13"/>
      <c r="AM826" s="14"/>
      <c r="AN826" s="14"/>
      <c r="AO826" s="14"/>
      <c r="AP826" s="14"/>
      <c r="AQ826" s="14"/>
      <c r="AR826" s="14"/>
      <c r="AS826" s="14"/>
      <c r="AT826" s="14"/>
      <c r="AU826" s="14"/>
      <c r="AV826" s="14"/>
      <c r="AW826" s="14"/>
      <c r="AX826" s="14"/>
      <c r="AY826" s="14"/>
      <c r="AZ826" s="14"/>
      <c r="BA826" s="14"/>
      <c r="BB826" s="14"/>
      <c r="BC826" s="14"/>
      <c r="BD826" s="14"/>
      <c r="BE826" s="14"/>
      <c r="BF826" s="14"/>
      <c r="BG826" s="14"/>
      <c r="BH826" s="14"/>
      <c r="BI826" s="14"/>
      <c r="BJ826" s="14"/>
      <c r="BK826" s="14"/>
      <c r="BL826" s="14"/>
      <c r="BM826" s="14"/>
      <c r="BN826" s="14"/>
    </row>
    <row r="827" ht="22.5" customHeight="1">
      <c r="A827" s="493"/>
      <c r="B827" s="350"/>
      <c r="C827" s="351"/>
      <c r="D827" s="447"/>
      <c r="E827" s="494"/>
      <c r="F827" s="495"/>
      <c r="G827" s="434"/>
      <c r="H827" s="394"/>
      <c r="I827" s="394"/>
      <c r="J827" s="477"/>
      <c r="K827" s="479"/>
      <c r="L827" s="496"/>
      <c r="M827" s="496"/>
      <c r="N827" s="360"/>
      <c r="O827" s="497"/>
      <c r="P827" s="362"/>
      <c r="Q827" s="387"/>
      <c r="R827" s="387"/>
      <c r="S827" s="439"/>
      <c r="T827" s="439"/>
      <c r="U827" s="498"/>
      <c r="V827" s="430"/>
      <c r="W827" s="382"/>
      <c r="X827" s="366"/>
      <c r="Y827" s="366"/>
      <c r="Z827" s="367"/>
      <c r="AA827" s="367"/>
      <c r="AB827" s="13"/>
      <c r="AC827" s="13"/>
      <c r="AD827" s="13"/>
      <c r="AE827" s="13"/>
      <c r="AF827" s="13"/>
      <c r="AG827" s="13"/>
      <c r="AH827" s="13"/>
      <c r="AI827" s="13"/>
      <c r="AJ827" s="13"/>
      <c r="AK827" s="13"/>
      <c r="AL827" s="13"/>
      <c r="AM827" s="14"/>
      <c r="AN827" s="14"/>
      <c r="AO827" s="14"/>
      <c r="AP827" s="14"/>
      <c r="AQ827" s="14"/>
      <c r="AR827" s="14"/>
      <c r="AS827" s="14"/>
      <c r="AT827" s="14"/>
      <c r="AU827" s="14"/>
      <c r="AV827" s="14"/>
      <c r="AW827" s="14"/>
      <c r="AX827" s="14"/>
      <c r="AY827" s="14"/>
      <c r="AZ827" s="14"/>
      <c r="BA827" s="14"/>
      <c r="BB827" s="14"/>
      <c r="BC827" s="14"/>
      <c r="BD827" s="14"/>
      <c r="BE827" s="14"/>
      <c r="BF827" s="14"/>
      <c r="BG827" s="14"/>
      <c r="BH827" s="14"/>
      <c r="BI827" s="14"/>
      <c r="BJ827" s="14"/>
      <c r="BK827" s="14"/>
      <c r="BL827" s="14"/>
      <c r="BM827" s="14"/>
      <c r="BN827" s="14"/>
    </row>
    <row r="828" ht="22.5" customHeight="1">
      <c r="A828" s="493"/>
      <c r="B828" s="350"/>
      <c r="C828" s="351"/>
      <c r="D828" s="447"/>
      <c r="E828" s="494"/>
      <c r="F828" s="495"/>
      <c r="G828" s="434"/>
      <c r="H828" s="394"/>
      <c r="I828" s="394"/>
      <c r="J828" s="477"/>
      <c r="K828" s="479"/>
      <c r="L828" s="496"/>
      <c r="M828" s="496"/>
      <c r="N828" s="360"/>
      <c r="O828" s="497"/>
      <c r="P828" s="362"/>
      <c r="Q828" s="387"/>
      <c r="R828" s="387"/>
      <c r="S828" s="439"/>
      <c r="T828" s="439"/>
      <c r="U828" s="498"/>
      <c r="V828" s="430"/>
      <c r="W828" s="382"/>
      <c r="X828" s="366"/>
      <c r="Y828" s="366"/>
      <c r="Z828" s="367"/>
      <c r="AA828" s="367"/>
      <c r="AB828" s="13"/>
      <c r="AC828" s="13"/>
      <c r="AD828" s="13"/>
      <c r="AE828" s="13"/>
      <c r="AF828" s="13"/>
      <c r="AG828" s="13"/>
      <c r="AH828" s="13"/>
      <c r="AI828" s="13"/>
      <c r="AJ828" s="13"/>
      <c r="AK828" s="13"/>
      <c r="AL828" s="13"/>
      <c r="AM828" s="14"/>
      <c r="AN828" s="14"/>
      <c r="AO828" s="14"/>
      <c r="AP828" s="14"/>
      <c r="AQ828" s="14"/>
      <c r="AR828" s="14"/>
      <c r="AS828" s="14"/>
      <c r="AT828" s="14"/>
      <c r="AU828" s="14"/>
      <c r="AV828" s="14"/>
      <c r="AW828" s="14"/>
      <c r="AX828" s="14"/>
      <c r="AY828" s="14"/>
      <c r="AZ828" s="14"/>
      <c r="BA828" s="14"/>
      <c r="BB828" s="14"/>
      <c r="BC828" s="14"/>
      <c r="BD828" s="14"/>
      <c r="BE828" s="14"/>
      <c r="BF828" s="14"/>
      <c r="BG828" s="14"/>
      <c r="BH828" s="14"/>
      <c r="BI828" s="14"/>
      <c r="BJ828" s="14"/>
      <c r="BK828" s="14"/>
      <c r="BL828" s="14"/>
      <c r="BM828" s="14"/>
      <c r="BN828" s="14"/>
    </row>
    <row r="829" ht="22.5" customHeight="1">
      <c r="A829" s="493"/>
      <c r="B829" s="350"/>
      <c r="C829" s="351"/>
      <c r="D829" s="447"/>
      <c r="E829" s="494"/>
      <c r="F829" s="495"/>
      <c r="G829" s="434"/>
      <c r="H829" s="394"/>
      <c r="I829" s="394"/>
      <c r="J829" s="477"/>
      <c r="K829" s="479"/>
      <c r="L829" s="496"/>
      <c r="M829" s="496"/>
      <c r="N829" s="360"/>
      <c r="O829" s="497"/>
      <c r="P829" s="362"/>
      <c r="Q829" s="387"/>
      <c r="R829" s="387"/>
      <c r="S829" s="439"/>
      <c r="T829" s="439"/>
      <c r="U829" s="498"/>
      <c r="V829" s="430"/>
      <c r="W829" s="382"/>
      <c r="X829" s="366"/>
      <c r="Y829" s="366"/>
      <c r="Z829" s="367"/>
      <c r="AA829" s="367"/>
      <c r="AB829" s="13"/>
      <c r="AC829" s="13"/>
      <c r="AD829" s="13"/>
      <c r="AE829" s="13"/>
      <c r="AF829" s="13"/>
      <c r="AG829" s="13"/>
      <c r="AH829" s="13"/>
      <c r="AI829" s="13"/>
      <c r="AJ829" s="13"/>
      <c r="AK829" s="13"/>
      <c r="AL829" s="13"/>
      <c r="AM829" s="14"/>
      <c r="AN829" s="14"/>
      <c r="AO829" s="14"/>
      <c r="AP829" s="14"/>
      <c r="AQ829" s="14"/>
      <c r="AR829" s="14"/>
      <c r="AS829" s="14"/>
      <c r="AT829" s="14"/>
      <c r="AU829" s="14"/>
      <c r="AV829" s="14"/>
      <c r="AW829" s="14"/>
      <c r="AX829" s="14"/>
      <c r="AY829" s="14"/>
      <c r="AZ829" s="14"/>
      <c r="BA829" s="14"/>
      <c r="BB829" s="14"/>
      <c r="BC829" s="14"/>
      <c r="BD829" s="14"/>
      <c r="BE829" s="14"/>
      <c r="BF829" s="14"/>
      <c r="BG829" s="14"/>
      <c r="BH829" s="14"/>
      <c r="BI829" s="14"/>
      <c r="BJ829" s="14"/>
      <c r="BK829" s="14"/>
      <c r="BL829" s="14"/>
      <c r="BM829" s="14"/>
      <c r="BN829" s="14"/>
    </row>
    <row r="830" ht="22.5" customHeight="1">
      <c r="A830" s="493"/>
      <c r="B830" s="350"/>
      <c r="C830" s="351"/>
      <c r="D830" s="447"/>
      <c r="E830" s="494"/>
      <c r="F830" s="495"/>
      <c r="G830" s="434"/>
      <c r="H830" s="394"/>
      <c r="I830" s="394"/>
      <c r="J830" s="477"/>
      <c r="K830" s="479"/>
      <c r="L830" s="496"/>
      <c r="M830" s="496"/>
      <c r="N830" s="360"/>
      <c r="O830" s="497"/>
      <c r="P830" s="362"/>
      <c r="Q830" s="387"/>
      <c r="R830" s="387"/>
      <c r="S830" s="439"/>
      <c r="T830" s="439"/>
      <c r="U830" s="498"/>
      <c r="V830" s="430"/>
      <c r="W830" s="382"/>
      <c r="X830" s="366"/>
      <c r="Y830" s="366"/>
      <c r="Z830" s="367"/>
      <c r="AA830" s="367"/>
      <c r="AB830" s="13"/>
      <c r="AC830" s="13"/>
      <c r="AD830" s="13"/>
      <c r="AE830" s="13"/>
      <c r="AF830" s="13"/>
      <c r="AG830" s="13"/>
      <c r="AH830" s="13"/>
      <c r="AI830" s="13"/>
      <c r="AJ830" s="13"/>
      <c r="AK830" s="13"/>
      <c r="AL830" s="13"/>
      <c r="AM830" s="14"/>
      <c r="AN830" s="14"/>
      <c r="AO830" s="14"/>
      <c r="AP830" s="14"/>
      <c r="AQ830" s="14"/>
      <c r="AR830" s="14"/>
      <c r="AS830" s="14"/>
      <c r="AT830" s="14"/>
      <c r="AU830" s="14"/>
      <c r="AV830" s="14"/>
      <c r="AW830" s="14"/>
      <c r="AX830" s="14"/>
      <c r="AY830" s="14"/>
      <c r="AZ830" s="14"/>
      <c r="BA830" s="14"/>
      <c r="BB830" s="14"/>
      <c r="BC830" s="14"/>
      <c r="BD830" s="14"/>
      <c r="BE830" s="14"/>
      <c r="BF830" s="14"/>
      <c r="BG830" s="14"/>
      <c r="BH830" s="14"/>
      <c r="BI830" s="14"/>
      <c r="BJ830" s="14"/>
      <c r="BK830" s="14"/>
      <c r="BL830" s="14"/>
      <c r="BM830" s="14"/>
      <c r="BN830" s="14"/>
    </row>
    <row r="831" ht="22.5" customHeight="1">
      <c r="A831" s="493"/>
      <c r="B831" s="350"/>
      <c r="C831" s="351"/>
      <c r="D831" s="447"/>
      <c r="E831" s="494"/>
      <c r="F831" s="495"/>
      <c r="G831" s="434"/>
      <c r="H831" s="394"/>
      <c r="I831" s="394"/>
      <c r="J831" s="477"/>
      <c r="K831" s="479"/>
      <c r="L831" s="496"/>
      <c r="M831" s="496"/>
      <c r="N831" s="360"/>
      <c r="O831" s="497"/>
      <c r="P831" s="362"/>
      <c r="Q831" s="387"/>
      <c r="R831" s="387"/>
      <c r="S831" s="439"/>
      <c r="T831" s="439"/>
      <c r="U831" s="498"/>
      <c r="V831" s="430"/>
      <c r="W831" s="382"/>
      <c r="X831" s="366"/>
      <c r="Y831" s="366"/>
      <c r="Z831" s="367"/>
      <c r="AA831" s="367"/>
      <c r="AB831" s="13"/>
      <c r="AC831" s="13"/>
      <c r="AD831" s="13"/>
      <c r="AE831" s="13"/>
      <c r="AF831" s="13"/>
      <c r="AG831" s="13"/>
      <c r="AH831" s="13"/>
      <c r="AI831" s="13"/>
      <c r="AJ831" s="13"/>
      <c r="AK831" s="13"/>
      <c r="AL831" s="13"/>
      <c r="AM831" s="14"/>
      <c r="AN831" s="14"/>
      <c r="AO831" s="14"/>
      <c r="AP831" s="14"/>
      <c r="AQ831" s="14"/>
      <c r="AR831" s="14"/>
      <c r="AS831" s="14"/>
      <c r="AT831" s="14"/>
      <c r="AU831" s="14"/>
      <c r="AV831" s="14"/>
      <c r="AW831" s="14"/>
      <c r="AX831" s="14"/>
      <c r="AY831" s="14"/>
      <c r="AZ831" s="14"/>
      <c r="BA831" s="14"/>
      <c r="BB831" s="14"/>
      <c r="BC831" s="14"/>
      <c r="BD831" s="14"/>
      <c r="BE831" s="14"/>
      <c r="BF831" s="14"/>
      <c r="BG831" s="14"/>
      <c r="BH831" s="14"/>
      <c r="BI831" s="14"/>
      <c r="BJ831" s="14"/>
      <c r="BK831" s="14"/>
      <c r="BL831" s="14"/>
      <c r="BM831" s="14"/>
      <c r="BN831" s="14"/>
    </row>
    <row r="832" ht="22.5" customHeight="1">
      <c r="A832" s="493"/>
      <c r="B832" s="350"/>
      <c r="C832" s="351"/>
      <c r="D832" s="447"/>
      <c r="E832" s="494"/>
      <c r="F832" s="495"/>
      <c r="G832" s="434"/>
      <c r="H832" s="394"/>
      <c r="I832" s="394"/>
      <c r="J832" s="477"/>
      <c r="K832" s="479"/>
      <c r="L832" s="496"/>
      <c r="M832" s="496"/>
      <c r="N832" s="360"/>
      <c r="O832" s="497"/>
      <c r="P832" s="362"/>
      <c r="Q832" s="387"/>
      <c r="R832" s="387"/>
      <c r="S832" s="439"/>
      <c r="T832" s="439"/>
      <c r="U832" s="498"/>
      <c r="V832" s="430"/>
      <c r="W832" s="382"/>
      <c r="X832" s="366"/>
      <c r="Y832" s="366"/>
      <c r="Z832" s="367"/>
      <c r="AA832" s="367"/>
      <c r="AB832" s="13"/>
      <c r="AC832" s="13"/>
      <c r="AD832" s="13"/>
      <c r="AE832" s="13"/>
      <c r="AF832" s="13"/>
      <c r="AG832" s="13"/>
      <c r="AH832" s="13"/>
      <c r="AI832" s="13"/>
      <c r="AJ832" s="13"/>
      <c r="AK832" s="13"/>
      <c r="AL832" s="13"/>
      <c r="AM832" s="14"/>
      <c r="AN832" s="14"/>
      <c r="AO832" s="14"/>
      <c r="AP832" s="14"/>
      <c r="AQ832" s="14"/>
      <c r="AR832" s="14"/>
      <c r="AS832" s="14"/>
      <c r="AT832" s="14"/>
      <c r="AU832" s="14"/>
      <c r="AV832" s="14"/>
      <c r="AW832" s="14"/>
      <c r="AX832" s="14"/>
      <c r="AY832" s="14"/>
      <c r="AZ832" s="14"/>
      <c r="BA832" s="14"/>
      <c r="BB832" s="14"/>
      <c r="BC832" s="14"/>
      <c r="BD832" s="14"/>
      <c r="BE832" s="14"/>
      <c r="BF832" s="14"/>
      <c r="BG832" s="14"/>
      <c r="BH832" s="14"/>
      <c r="BI832" s="14"/>
      <c r="BJ832" s="14"/>
      <c r="BK832" s="14"/>
      <c r="BL832" s="14"/>
      <c r="BM832" s="14"/>
      <c r="BN832" s="14"/>
    </row>
    <row r="833" ht="22.5" customHeight="1">
      <c r="A833" s="493"/>
      <c r="B833" s="350"/>
      <c r="C833" s="351"/>
      <c r="D833" s="447"/>
      <c r="E833" s="494"/>
      <c r="F833" s="495"/>
      <c r="G833" s="434"/>
      <c r="H833" s="394"/>
      <c r="I833" s="394"/>
      <c r="J833" s="477"/>
      <c r="K833" s="479"/>
      <c r="L833" s="496"/>
      <c r="M833" s="496"/>
      <c r="N833" s="360"/>
      <c r="O833" s="497"/>
      <c r="P833" s="362"/>
      <c r="Q833" s="387"/>
      <c r="R833" s="387"/>
      <c r="S833" s="439"/>
      <c r="T833" s="439"/>
      <c r="U833" s="498"/>
      <c r="V833" s="430"/>
      <c r="W833" s="382"/>
      <c r="X833" s="366"/>
      <c r="Y833" s="366"/>
      <c r="Z833" s="367"/>
      <c r="AA833" s="367"/>
      <c r="AB833" s="13"/>
      <c r="AC833" s="13"/>
      <c r="AD833" s="13"/>
      <c r="AE833" s="13"/>
      <c r="AF833" s="13"/>
      <c r="AG833" s="13"/>
      <c r="AH833" s="13"/>
      <c r="AI833" s="13"/>
      <c r="AJ833" s="13"/>
      <c r="AK833" s="13"/>
      <c r="AL833" s="13"/>
      <c r="AM833" s="14"/>
      <c r="AN833" s="14"/>
      <c r="AO833" s="14"/>
      <c r="AP833" s="14"/>
      <c r="AQ833" s="14"/>
      <c r="AR833" s="14"/>
      <c r="AS833" s="14"/>
      <c r="AT833" s="14"/>
      <c r="AU833" s="14"/>
      <c r="AV833" s="14"/>
      <c r="AW833" s="14"/>
      <c r="AX833" s="14"/>
      <c r="AY833" s="14"/>
      <c r="AZ833" s="14"/>
      <c r="BA833" s="14"/>
      <c r="BB833" s="14"/>
      <c r="BC833" s="14"/>
      <c r="BD833" s="14"/>
      <c r="BE833" s="14"/>
      <c r="BF833" s="14"/>
      <c r="BG833" s="14"/>
      <c r="BH833" s="14"/>
      <c r="BI833" s="14"/>
      <c r="BJ833" s="14"/>
      <c r="BK833" s="14"/>
      <c r="BL833" s="14"/>
      <c r="BM833" s="14"/>
      <c r="BN833" s="14"/>
    </row>
    <row r="834" ht="22.5" customHeight="1">
      <c r="A834" s="493"/>
      <c r="B834" s="350"/>
      <c r="C834" s="351"/>
      <c r="D834" s="447"/>
      <c r="E834" s="494"/>
      <c r="F834" s="495"/>
      <c r="G834" s="434"/>
      <c r="H834" s="394"/>
      <c r="I834" s="394"/>
      <c r="J834" s="477"/>
      <c r="K834" s="479"/>
      <c r="L834" s="496"/>
      <c r="M834" s="496"/>
      <c r="N834" s="360"/>
      <c r="O834" s="497"/>
      <c r="P834" s="362"/>
      <c r="Q834" s="387"/>
      <c r="R834" s="387"/>
      <c r="S834" s="439"/>
      <c r="T834" s="439"/>
      <c r="U834" s="498"/>
      <c r="V834" s="430"/>
      <c r="W834" s="382"/>
      <c r="X834" s="366"/>
      <c r="Y834" s="366"/>
      <c r="Z834" s="367"/>
      <c r="AA834" s="367"/>
      <c r="AB834" s="13"/>
      <c r="AC834" s="13"/>
      <c r="AD834" s="13"/>
      <c r="AE834" s="13"/>
      <c r="AF834" s="13"/>
      <c r="AG834" s="13"/>
      <c r="AH834" s="13"/>
      <c r="AI834" s="13"/>
      <c r="AJ834" s="13"/>
      <c r="AK834" s="13"/>
      <c r="AL834" s="13"/>
      <c r="AM834" s="14"/>
      <c r="AN834" s="14"/>
      <c r="AO834" s="14"/>
      <c r="AP834" s="14"/>
      <c r="AQ834" s="14"/>
      <c r="AR834" s="14"/>
      <c r="AS834" s="14"/>
      <c r="AT834" s="14"/>
      <c r="AU834" s="14"/>
      <c r="AV834" s="14"/>
      <c r="AW834" s="14"/>
      <c r="AX834" s="14"/>
      <c r="AY834" s="14"/>
      <c r="AZ834" s="14"/>
      <c r="BA834" s="14"/>
      <c r="BB834" s="14"/>
      <c r="BC834" s="14"/>
      <c r="BD834" s="14"/>
      <c r="BE834" s="14"/>
      <c r="BF834" s="14"/>
      <c r="BG834" s="14"/>
      <c r="BH834" s="14"/>
      <c r="BI834" s="14"/>
      <c r="BJ834" s="14"/>
      <c r="BK834" s="14"/>
      <c r="BL834" s="14"/>
      <c r="BM834" s="14"/>
      <c r="BN834" s="14"/>
    </row>
    <row r="835" ht="22.5" customHeight="1">
      <c r="A835" s="493"/>
      <c r="B835" s="350"/>
      <c r="C835" s="351"/>
      <c r="D835" s="447"/>
      <c r="E835" s="494"/>
      <c r="F835" s="495"/>
      <c r="G835" s="434"/>
      <c r="H835" s="394"/>
      <c r="I835" s="394"/>
      <c r="J835" s="477"/>
      <c r="K835" s="479"/>
      <c r="L835" s="496"/>
      <c r="M835" s="496"/>
      <c r="N835" s="360"/>
      <c r="O835" s="497"/>
      <c r="P835" s="362"/>
      <c r="Q835" s="387"/>
      <c r="R835" s="387"/>
      <c r="S835" s="439"/>
      <c r="T835" s="439"/>
      <c r="U835" s="498"/>
      <c r="V835" s="430"/>
      <c r="W835" s="382"/>
      <c r="X835" s="366"/>
      <c r="Y835" s="366"/>
      <c r="Z835" s="367"/>
      <c r="AA835" s="367"/>
      <c r="AB835" s="13"/>
      <c r="AC835" s="13"/>
      <c r="AD835" s="13"/>
      <c r="AE835" s="13"/>
      <c r="AF835" s="13"/>
      <c r="AG835" s="13"/>
      <c r="AH835" s="13"/>
      <c r="AI835" s="13"/>
      <c r="AJ835" s="13"/>
      <c r="AK835" s="13"/>
      <c r="AL835" s="13"/>
      <c r="AM835" s="14"/>
      <c r="AN835" s="14"/>
      <c r="AO835" s="14"/>
      <c r="AP835" s="14"/>
      <c r="AQ835" s="14"/>
      <c r="AR835" s="14"/>
      <c r="AS835" s="14"/>
      <c r="AT835" s="14"/>
      <c r="AU835" s="14"/>
      <c r="AV835" s="14"/>
      <c r="AW835" s="14"/>
      <c r="AX835" s="14"/>
      <c r="AY835" s="14"/>
      <c r="AZ835" s="14"/>
      <c r="BA835" s="14"/>
      <c r="BB835" s="14"/>
      <c r="BC835" s="14"/>
      <c r="BD835" s="14"/>
      <c r="BE835" s="14"/>
      <c r="BF835" s="14"/>
      <c r="BG835" s="14"/>
      <c r="BH835" s="14"/>
      <c r="BI835" s="14"/>
      <c r="BJ835" s="14"/>
      <c r="BK835" s="14"/>
      <c r="BL835" s="14"/>
      <c r="BM835" s="14"/>
      <c r="BN835" s="14"/>
    </row>
    <row r="836" ht="22.5" customHeight="1">
      <c r="A836" s="493"/>
      <c r="B836" s="350"/>
      <c r="C836" s="351"/>
      <c r="D836" s="447"/>
      <c r="E836" s="494"/>
      <c r="F836" s="495"/>
      <c r="G836" s="434"/>
      <c r="H836" s="394"/>
      <c r="I836" s="394"/>
      <c r="J836" s="477"/>
      <c r="K836" s="479"/>
      <c r="L836" s="496"/>
      <c r="M836" s="496"/>
      <c r="N836" s="360"/>
      <c r="O836" s="497"/>
      <c r="P836" s="362"/>
      <c r="Q836" s="387"/>
      <c r="R836" s="387"/>
      <c r="S836" s="439"/>
      <c r="T836" s="439"/>
      <c r="U836" s="498"/>
      <c r="V836" s="430"/>
      <c r="W836" s="382"/>
      <c r="X836" s="366"/>
      <c r="Y836" s="366"/>
      <c r="Z836" s="367"/>
      <c r="AA836" s="367"/>
      <c r="AB836" s="13"/>
      <c r="AC836" s="13"/>
      <c r="AD836" s="13"/>
      <c r="AE836" s="13"/>
      <c r="AF836" s="13"/>
      <c r="AG836" s="13"/>
      <c r="AH836" s="13"/>
      <c r="AI836" s="13"/>
      <c r="AJ836" s="13"/>
      <c r="AK836" s="13"/>
      <c r="AL836" s="13"/>
      <c r="AM836" s="14"/>
      <c r="AN836" s="14"/>
      <c r="AO836" s="14"/>
      <c r="AP836" s="14"/>
      <c r="AQ836" s="14"/>
      <c r="AR836" s="14"/>
      <c r="AS836" s="14"/>
      <c r="AT836" s="14"/>
      <c r="AU836" s="14"/>
      <c r="AV836" s="14"/>
      <c r="AW836" s="14"/>
      <c r="AX836" s="14"/>
      <c r="AY836" s="14"/>
      <c r="AZ836" s="14"/>
      <c r="BA836" s="14"/>
      <c r="BB836" s="14"/>
      <c r="BC836" s="14"/>
      <c r="BD836" s="14"/>
      <c r="BE836" s="14"/>
      <c r="BF836" s="14"/>
      <c r="BG836" s="14"/>
      <c r="BH836" s="14"/>
      <c r="BI836" s="14"/>
      <c r="BJ836" s="14"/>
      <c r="BK836" s="14"/>
      <c r="BL836" s="14"/>
      <c r="BM836" s="14"/>
      <c r="BN836" s="14"/>
    </row>
    <row r="837" ht="22.5" customHeight="1">
      <c r="A837" s="493"/>
      <c r="B837" s="350"/>
      <c r="C837" s="351"/>
      <c r="D837" s="447"/>
      <c r="E837" s="494"/>
      <c r="F837" s="495"/>
      <c r="G837" s="434"/>
      <c r="H837" s="394"/>
      <c r="I837" s="394"/>
      <c r="J837" s="477"/>
      <c r="K837" s="479"/>
      <c r="L837" s="496"/>
      <c r="M837" s="496"/>
      <c r="N837" s="360"/>
      <c r="O837" s="497"/>
      <c r="P837" s="362"/>
      <c r="Q837" s="387"/>
      <c r="R837" s="387"/>
      <c r="S837" s="439"/>
      <c r="T837" s="439"/>
      <c r="U837" s="498"/>
      <c r="V837" s="430"/>
      <c r="W837" s="382"/>
      <c r="X837" s="366"/>
      <c r="Y837" s="366"/>
      <c r="Z837" s="367"/>
      <c r="AA837" s="367"/>
      <c r="AB837" s="13"/>
      <c r="AC837" s="13"/>
      <c r="AD837" s="13"/>
      <c r="AE837" s="13"/>
      <c r="AF837" s="13"/>
      <c r="AG837" s="13"/>
      <c r="AH837" s="13"/>
      <c r="AI837" s="13"/>
      <c r="AJ837" s="13"/>
      <c r="AK837" s="13"/>
      <c r="AL837" s="13"/>
      <c r="AM837" s="14"/>
      <c r="AN837" s="14"/>
      <c r="AO837" s="14"/>
      <c r="AP837" s="14"/>
      <c r="AQ837" s="14"/>
      <c r="AR837" s="14"/>
      <c r="AS837" s="14"/>
      <c r="AT837" s="14"/>
      <c r="AU837" s="14"/>
      <c r="AV837" s="14"/>
      <c r="AW837" s="14"/>
      <c r="AX837" s="14"/>
      <c r="AY837" s="14"/>
      <c r="AZ837" s="14"/>
      <c r="BA837" s="14"/>
      <c r="BB837" s="14"/>
      <c r="BC837" s="14"/>
      <c r="BD837" s="14"/>
      <c r="BE837" s="14"/>
      <c r="BF837" s="14"/>
      <c r="BG837" s="14"/>
      <c r="BH837" s="14"/>
      <c r="BI837" s="14"/>
      <c r="BJ837" s="14"/>
      <c r="BK837" s="14"/>
      <c r="BL837" s="14"/>
      <c r="BM837" s="14"/>
      <c r="BN837" s="14"/>
    </row>
    <row r="838" ht="22.5" customHeight="1">
      <c r="A838" s="493"/>
      <c r="B838" s="350"/>
      <c r="C838" s="351"/>
      <c r="D838" s="447"/>
      <c r="E838" s="494"/>
      <c r="F838" s="495"/>
      <c r="G838" s="434"/>
      <c r="H838" s="394"/>
      <c r="I838" s="394"/>
      <c r="J838" s="477"/>
      <c r="K838" s="479"/>
      <c r="L838" s="496"/>
      <c r="M838" s="496"/>
      <c r="N838" s="360"/>
      <c r="O838" s="497"/>
      <c r="P838" s="362"/>
      <c r="Q838" s="387"/>
      <c r="R838" s="387"/>
      <c r="S838" s="439"/>
      <c r="T838" s="439"/>
      <c r="U838" s="498"/>
      <c r="V838" s="430"/>
      <c r="W838" s="382"/>
      <c r="X838" s="366"/>
      <c r="Y838" s="366"/>
      <c r="Z838" s="367"/>
      <c r="AA838" s="367"/>
      <c r="AB838" s="13"/>
      <c r="AC838" s="13"/>
      <c r="AD838" s="13"/>
      <c r="AE838" s="13"/>
      <c r="AF838" s="13"/>
      <c r="AG838" s="13"/>
      <c r="AH838" s="13"/>
      <c r="AI838" s="13"/>
      <c r="AJ838" s="13"/>
      <c r="AK838" s="13"/>
      <c r="AL838" s="13"/>
      <c r="AM838" s="14"/>
      <c r="AN838" s="14"/>
      <c r="AO838" s="14"/>
      <c r="AP838" s="14"/>
      <c r="AQ838" s="14"/>
      <c r="AR838" s="14"/>
      <c r="AS838" s="14"/>
      <c r="AT838" s="14"/>
      <c r="AU838" s="14"/>
      <c r="AV838" s="14"/>
      <c r="AW838" s="14"/>
      <c r="AX838" s="14"/>
      <c r="AY838" s="14"/>
      <c r="AZ838" s="14"/>
      <c r="BA838" s="14"/>
      <c r="BB838" s="14"/>
      <c r="BC838" s="14"/>
      <c r="BD838" s="14"/>
      <c r="BE838" s="14"/>
      <c r="BF838" s="14"/>
      <c r="BG838" s="14"/>
      <c r="BH838" s="14"/>
      <c r="BI838" s="14"/>
      <c r="BJ838" s="14"/>
      <c r="BK838" s="14"/>
      <c r="BL838" s="14"/>
      <c r="BM838" s="14"/>
      <c r="BN838" s="14"/>
    </row>
    <row r="839" ht="22.5" customHeight="1">
      <c r="A839" s="493"/>
      <c r="B839" s="350"/>
      <c r="C839" s="351"/>
      <c r="D839" s="447"/>
      <c r="E839" s="494"/>
      <c r="F839" s="495"/>
      <c r="G839" s="434"/>
      <c r="H839" s="394"/>
      <c r="I839" s="394"/>
      <c r="J839" s="477"/>
      <c r="K839" s="479"/>
      <c r="L839" s="496"/>
      <c r="M839" s="496"/>
      <c r="N839" s="360"/>
      <c r="O839" s="497"/>
      <c r="P839" s="362"/>
      <c r="Q839" s="387"/>
      <c r="R839" s="387"/>
      <c r="S839" s="439"/>
      <c r="T839" s="439"/>
      <c r="U839" s="498"/>
      <c r="V839" s="430"/>
      <c r="W839" s="382"/>
      <c r="X839" s="366"/>
      <c r="Y839" s="366"/>
      <c r="Z839" s="367"/>
      <c r="AA839" s="367"/>
      <c r="AB839" s="13"/>
      <c r="AC839" s="13"/>
      <c r="AD839" s="13"/>
      <c r="AE839" s="13"/>
      <c r="AF839" s="13"/>
      <c r="AG839" s="13"/>
      <c r="AH839" s="13"/>
      <c r="AI839" s="13"/>
      <c r="AJ839" s="13"/>
      <c r="AK839" s="13"/>
      <c r="AL839" s="13"/>
      <c r="AM839" s="14"/>
      <c r="AN839" s="14"/>
      <c r="AO839" s="14"/>
      <c r="AP839" s="14"/>
      <c r="AQ839" s="14"/>
      <c r="AR839" s="14"/>
      <c r="AS839" s="14"/>
      <c r="AT839" s="14"/>
      <c r="AU839" s="14"/>
      <c r="AV839" s="14"/>
      <c r="AW839" s="14"/>
      <c r="AX839" s="14"/>
      <c r="AY839" s="14"/>
      <c r="AZ839" s="14"/>
      <c r="BA839" s="14"/>
      <c r="BB839" s="14"/>
      <c r="BC839" s="14"/>
      <c r="BD839" s="14"/>
      <c r="BE839" s="14"/>
      <c r="BF839" s="14"/>
      <c r="BG839" s="14"/>
      <c r="BH839" s="14"/>
      <c r="BI839" s="14"/>
      <c r="BJ839" s="14"/>
      <c r="BK839" s="14"/>
      <c r="BL839" s="14"/>
      <c r="BM839" s="14"/>
      <c r="BN839" s="14"/>
    </row>
    <row r="840" ht="22.5" customHeight="1">
      <c r="A840" s="493"/>
      <c r="B840" s="350"/>
      <c r="C840" s="351"/>
      <c r="D840" s="447"/>
      <c r="E840" s="494"/>
      <c r="F840" s="495"/>
      <c r="G840" s="434"/>
      <c r="H840" s="394"/>
      <c r="I840" s="394"/>
      <c r="J840" s="477"/>
      <c r="K840" s="479"/>
      <c r="L840" s="496"/>
      <c r="M840" s="496"/>
      <c r="N840" s="360"/>
      <c r="O840" s="497"/>
      <c r="P840" s="362"/>
      <c r="Q840" s="387"/>
      <c r="R840" s="387"/>
      <c r="S840" s="439"/>
      <c r="T840" s="439"/>
      <c r="U840" s="498"/>
      <c r="V840" s="430"/>
      <c r="W840" s="382"/>
      <c r="X840" s="366"/>
      <c r="Y840" s="366"/>
      <c r="Z840" s="367"/>
      <c r="AA840" s="367"/>
      <c r="AB840" s="13"/>
      <c r="AC840" s="13"/>
      <c r="AD840" s="13"/>
      <c r="AE840" s="13"/>
      <c r="AF840" s="13"/>
      <c r="AG840" s="13"/>
      <c r="AH840" s="13"/>
      <c r="AI840" s="13"/>
      <c r="AJ840" s="13"/>
      <c r="AK840" s="13"/>
      <c r="AL840" s="13"/>
      <c r="AM840" s="14"/>
      <c r="AN840" s="14"/>
      <c r="AO840" s="14"/>
      <c r="AP840" s="14"/>
      <c r="AQ840" s="14"/>
      <c r="AR840" s="14"/>
      <c r="AS840" s="14"/>
      <c r="AT840" s="14"/>
      <c r="AU840" s="14"/>
      <c r="AV840" s="14"/>
      <c r="AW840" s="14"/>
      <c r="AX840" s="14"/>
      <c r="AY840" s="14"/>
      <c r="AZ840" s="14"/>
      <c r="BA840" s="14"/>
      <c r="BB840" s="14"/>
      <c r="BC840" s="14"/>
      <c r="BD840" s="14"/>
      <c r="BE840" s="14"/>
      <c r="BF840" s="14"/>
      <c r="BG840" s="14"/>
      <c r="BH840" s="14"/>
      <c r="BI840" s="14"/>
      <c r="BJ840" s="14"/>
      <c r="BK840" s="14"/>
      <c r="BL840" s="14"/>
      <c r="BM840" s="14"/>
      <c r="BN840" s="14"/>
    </row>
    <row r="841" ht="22.5" customHeight="1">
      <c r="A841" s="493"/>
      <c r="B841" s="350"/>
      <c r="C841" s="351"/>
      <c r="D841" s="447"/>
      <c r="E841" s="494"/>
      <c r="F841" s="495"/>
      <c r="G841" s="434"/>
      <c r="H841" s="394"/>
      <c r="I841" s="394"/>
      <c r="J841" s="477"/>
      <c r="K841" s="479"/>
      <c r="L841" s="496"/>
      <c r="M841" s="496"/>
      <c r="N841" s="360"/>
      <c r="O841" s="497"/>
      <c r="P841" s="362"/>
      <c r="Q841" s="387"/>
      <c r="R841" s="387"/>
      <c r="S841" s="439"/>
      <c r="T841" s="439"/>
      <c r="U841" s="498"/>
      <c r="V841" s="430"/>
      <c r="W841" s="382"/>
      <c r="X841" s="366"/>
      <c r="Y841" s="366"/>
      <c r="Z841" s="367"/>
      <c r="AA841" s="367"/>
      <c r="AB841" s="13"/>
      <c r="AC841" s="13"/>
      <c r="AD841" s="13"/>
      <c r="AE841" s="13"/>
      <c r="AF841" s="13"/>
      <c r="AG841" s="13"/>
      <c r="AH841" s="13"/>
      <c r="AI841" s="13"/>
      <c r="AJ841" s="13"/>
      <c r="AK841" s="13"/>
      <c r="AL841" s="13"/>
      <c r="AM841" s="14"/>
      <c r="AN841" s="14"/>
      <c r="AO841" s="14"/>
      <c r="AP841" s="14"/>
      <c r="AQ841" s="14"/>
      <c r="AR841" s="14"/>
      <c r="AS841" s="14"/>
      <c r="AT841" s="14"/>
      <c r="AU841" s="14"/>
      <c r="AV841" s="14"/>
      <c r="AW841" s="14"/>
      <c r="AX841" s="14"/>
      <c r="AY841" s="14"/>
      <c r="AZ841" s="14"/>
      <c r="BA841" s="14"/>
      <c r="BB841" s="14"/>
      <c r="BC841" s="14"/>
      <c r="BD841" s="14"/>
      <c r="BE841" s="14"/>
      <c r="BF841" s="14"/>
      <c r="BG841" s="14"/>
      <c r="BH841" s="14"/>
      <c r="BI841" s="14"/>
      <c r="BJ841" s="14"/>
      <c r="BK841" s="14"/>
      <c r="BL841" s="14"/>
      <c r="BM841" s="14"/>
      <c r="BN841" s="14"/>
    </row>
    <row r="842" ht="22.5" customHeight="1">
      <c r="A842" s="493"/>
      <c r="B842" s="350"/>
      <c r="C842" s="351"/>
      <c r="D842" s="447"/>
      <c r="E842" s="494"/>
      <c r="F842" s="495"/>
      <c r="G842" s="434"/>
      <c r="H842" s="394"/>
      <c r="I842" s="394"/>
      <c r="J842" s="477"/>
      <c r="K842" s="479"/>
      <c r="L842" s="496"/>
      <c r="M842" s="496"/>
      <c r="N842" s="360"/>
      <c r="O842" s="497"/>
      <c r="P842" s="362"/>
      <c r="Q842" s="387"/>
      <c r="R842" s="387"/>
      <c r="S842" s="439"/>
      <c r="T842" s="439"/>
      <c r="U842" s="498"/>
      <c r="V842" s="430"/>
      <c r="W842" s="382"/>
      <c r="X842" s="366"/>
      <c r="Y842" s="366"/>
      <c r="Z842" s="367"/>
      <c r="AA842" s="367"/>
      <c r="AB842" s="13"/>
      <c r="AC842" s="13"/>
      <c r="AD842" s="13"/>
      <c r="AE842" s="13"/>
      <c r="AF842" s="13"/>
      <c r="AG842" s="13"/>
      <c r="AH842" s="13"/>
      <c r="AI842" s="13"/>
      <c r="AJ842" s="13"/>
      <c r="AK842" s="13"/>
      <c r="AL842" s="13"/>
      <c r="AM842" s="14"/>
      <c r="AN842" s="14"/>
      <c r="AO842" s="14"/>
      <c r="AP842" s="14"/>
      <c r="AQ842" s="14"/>
      <c r="AR842" s="14"/>
      <c r="AS842" s="14"/>
      <c r="AT842" s="14"/>
      <c r="AU842" s="14"/>
      <c r="AV842" s="14"/>
      <c r="AW842" s="14"/>
      <c r="AX842" s="14"/>
      <c r="AY842" s="14"/>
      <c r="AZ842" s="14"/>
      <c r="BA842" s="14"/>
      <c r="BB842" s="14"/>
      <c r="BC842" s="14"/>
      <c r="BD842" s="14"/>
      <c r="BE842" s="14"/>
      <c r="BF842" s="14"/>
      <c r="BG842" s="14"/>
      <c r="BH842" s="14"/>
      <c r="BI842" s="14"/>
      <c r="BJ842" s="14"/>
      <c r="BK842" s="14"/>
      <c r="BL842" s="14"/>
      <c r="BM842" s="14"/>
      <c r="BN842" s="14"/>
    </row>
    <row r="843" ht="22.5" customHeight="1">
      <c r="A843" s="493"/>
      <c r="B843" s="350"/>
      <c r="C843" s="351"/>
      <c r="D843" s="447"/>
      <c r="E843" s="494"/>
      <c r="F843" s="495"/>
      <c r="G843" s="434"/>
      <c r="H843" s="394"/>
      <c r="I843" s="394"/>
      <c r="J843" s="477"/>
      <c r="K843" s="479"/>
      <c r="L843" s="496"/>
      <c r="M843" s="496"/>
      <c r="N843" s="360"/>
      <c r="O843" s="497"/>
      <c r="P843" s="362"/>
      <c r="Q843" s="387"/>
      <c r="R843" s="387"/>
      <c r="S843" s="439"/>
      <c r="T843" s="439"/>
      <c r="U843" s="498"/>
      <c r="V843" s="430"/>
      <c r="W843" s="382"/>
      <c r="X843" s="366"/>
      <c r="Y843" s="366"/>
      <c r="Z843" s="367"/>
      <c r="AA843" s="367"/>
      <c r="AB843" s="13"/>
      <c r="AC843" s="13"/>
      <c r="AD843" s="13"/>
      <c r="AE843" s="13"/>
      <c r="AF843" s="13"/>
      <c r="AG843" s="13"/>
      <c r="AH843" s="13"/>
      <c r="AI843" s="13"/>
      <c r="AJ843" s="13"/>
      <c r="AK843" s="13"/>
      <c r="AL843" s="13"/>
      <c r="AM843" s="14"/>
      <c r="AN843" s="14"/>
      <c r="AO843" s="14"/>
      <c r="AP843" s="14"/>
      <c r="AQ843" s="14"/>
      <c r="AR843" s="14"/>
      <c r="AS843" s="14"/>
      <c r="AT843" s="14"/>
      <c r="AU843" s="14"/>
      <c r="AV843" s="14"/>
      <c r="AW843" s="14"/>
      <c r="AX843" s="14"/>
      <c r="AY843" s="14"/>
      <c r="AZ843" s="14"/>
      <c r="BA843" s="14"/>
      <c r="BB843" s="14"/>
      <c r="BC843" s="14"/>
      <c r="BD843" s="14"/>
      <c r="BE843" s="14"/>
      <c r="BF843" s="14"/>
      <c r="BG843" s="14"/>
      <c r="BH843" s="14"/>
      <c r="BI843" s="14"/>
      <c r="BJ843" s="14"/>
      <c r="BK843" s="14"/>
      <c r="BL843" s="14"/>
      <c r="BM843" s="14"/>
      <c r="BN843" s="14"/>
    </row>
    <row r="844" ht="22.5" customHeight="1">
      <c r="A844" s="493"/>
      <c r="B844" s="350"/>
      <c r="C844" s="351"/>
      <c r="D844" s="447"/>
      <c r="E844" s="494"/>
      <c r="F844" s="495"/>
      <c r="G844" s="434"/>
      <c r="H844" s="394"/>
      <c r="I844" s="394"/>
      <c r="J844" s="477"/>
      <c r="K844" s="479"/>
      <c r="L844" s="496"/>
      <c r="M844" s="496"/>
      <c r="N844" s="360"/>
      <c r="O844" s="497"/>
      <c r="P844" s="362"/>
      <c r="Q844" s="387"/>
      <c r="R844" s="387"/>
      <c r="S844" s="439"/>
      <c r="T844" s="439"/>
      <c r="U844" s="498"/>
      <c r="V844" s="430"/>
      <c r="W844" s="382"/>
      <c r="X844" s="366"/>
      <c r="Y844" s="366"/>
      <c r="Z844" s="367"/>
      <c r="AA844" s="367"/>
      <c r="AB844" s="13"/>
      <c r="AC844" s="13"/>
      <c r="AD844" s="13"/>
      <c r="AE844" s="13"/>
      <c r="AF844" s="13"/>
      <c r="AG844" s="13"/>
      <c r="AH844" s="13"/>
      <c r="AI844" s="13"/>
      <c r="AJ844" s="13"/>
      <c r="AK844" s="13"/>
      <c r="AL844" s="13"/>
      <c r="AM844" s="14"/>
      <c r="AN844" s="14"/>
      <c r="AO844" s="14"/>
      <c r="AP844" s="14"/>
      <c r="AQ844" s="14"/>
      <c r="AR844" s="14"/>
      <c r="AS844" s="14"/>
      <c r="AT844" s="14"/>
      <c r="AU844" s="14"/>
      <c r="AV844" s="14"/>
      <c r="AW844" s="14"/>
      <c r="AX844" s="14"/>
      <c r="AY844" s="14"/>
      <c r="AZ844" s="14"/>
      <c r="BA844" s="14"/>
      <c r="BB844" s="14"/>
      <c r="BC844" s="14"/>
      <c r="BD844" s="14"/>
      <c r="BE844" s="14"/>
      <c r="BF844" s="14"/>
      <c r="BG844" s="14"/>
      <c r="BH844" s="14"/>
      <c r="BI844" s="14"/>
      <c r="BJ844" s="14"/>
      <c r="BK844" s="14"/>
      <c r="BL844" s="14"/>
      <c r="BM844" s="14"/>
      <c r="BN844" s="14"/>
    </row>
    <row r="845" ht="22.5" customHeight="1">
      <c r="A845" s="493"/>
      <c r="B845" s="350"/>
      <c r="C845" s="351"/>
      <c r="D845" s="447"/>
      <c r="E845" s="494"/>
      <c r="F845" s="495"/>
      <c r="G845" s="434"/>
      <c r="H845" s="394"/>
      <c r="I845" s="394"/>
      <c r="J845" s="477"/>
      <c r="K845" s="479"/>
      <c r="L845" s="496"/>
      <c r="M845" s="496"/>
      <c r="N845" s="360"/>
      <c r="O845" s="497"/>
      <c r="P845" s="362"/>
      <c r="Q845" s="387"/>
      <c r="R845" s="387"/>
      <c r="S845" s="439"/>
      <c r="T845" s="439"/>
      <c r="U845" s="498"/>
      <c r="V845" s="430"/>
      <c r="W845" s="382"/>
      <c r="X845" s="366"/>
      <c r="Y845" s="366"/>
      <c r="Z845" s="367"/>
      <c r="AA845" s="367"/>
      <c r="AB845" s="13"/>
      <c r="AC845" s="13"/>
      <c r="AD845" s="13"/>
      <c r="AE845" s="13"/>
      <c r="AF845" s="13"/>
      <c r="AG845" s="13"/>
      <c r="AH845" s="13"/>
      <c r="AI845" s="13"/>
      <c r="AJ845" s="13"/>
      <c r="AK845" s="13"/>
      <c r="AL845" s="13"/>
      <c r="AM845" s="14"/>
      <c r="AN845" s="14"/>
      <c r="AO845" s="14"/>
      <c r="AP845" s="14"/>
      <c r="AQ845" s="14"/>
      <c r="AR845" s="14"/>
      <c r="AS845" s="14"/>
      <c r="AT845" s="14"/>
      <c r="AU845" s="14"/>
      <c r="AV845" s="14"/>
      <c r="AW845" s="14"/>
      <c r="AX845" s="14"/>
      <c r="AY845" s="14"/>
      <c r="AZ845" s="14"/>
      <c r="BA845" s="14"/>
      <c r="BB845" s="14"/>
      <c r="BC845" s="14"/>
      <c r="BD845" s="14"/>
      <c r="BE845" s="14"/>
      <c r="BF845" s="14"/>
      <c r="BG845" s="14"/>
      <c r="BH845" s="14"/>
      <c r="BI845" s="14"/>
      <c r="BJ845" s="14"/>
      <c r="BK845" s="14"/>
      <c r="BL845" s="14"/>
      <c r="BM845" s="14"/>
      <c r="BN845" s="14"/>
    </row>
    <row r="846" ht="22.5" customHeight="1">
      <c r="A846" s="493"/>
      <c r="B846" s="350"/>
      <c r="C846" s="351"/>
      <c r="D846" s="447"/>
      <c r="E846" s="494"/>
      <c r="F846" s="495"/>
      <c r="G846" s="434"/>
      <c r="H846" s="394"/>
      <c r="I846" s="394"/>
      <c r="J846" s="477"/>
      <c r="K846" s="479"/>
      <c r="L846" s="496"/>
      <c r="M846" s="496"/>
      <c r="N846" s="360"/>
      <c r="O846" s="497"/>
      <c r="P846" s="362"/>
      <c r="Q846" s="387"/>
      <c r="R846" s="387"/>
      <c r="S846" s="439"/>
      <c r="T846" s="439"/>
      <c r="U846" s="498"/>
      <c r="V846" s="430"/>
      <c r="W846" s="382"/>
      <c r="X846" s="366"/>
      <c r="Y846" s="366"/>
      <c r="Z846" s="367"/>
      <c r="AA846" s="367"/>
      <c r="AB846" s="13"/>
      <c r="AC846" s="13"/>
      <c r="AD846" s="13"/>
      <c r="AE846" s="13"/>
      <c r="AF846" s="13"/>
      <c r="AG846" s="13"/>
      <c r="AH846" s="13"/>
      <c r="AI846" s="13"/>
      <c r="AJ846" s="13"/>
      <c r="AK846" s="13"/>
      <c r="AL846" s="13"/>
      <c r="AM846" s="14"/>
      <c r="AN846" s="14"/>
      <c r="AO846" s="14"/>
      <c r="AP846" s="14"/>
      <c r="AQ846" s="14"/>
      <c r="AR846" s="14"/>
      <c r="AS846" s="14"/>
      <c r="AT846" s="14"/>
      <c r="AU846" s="14"/>
      <c r="AV846" s="14"/>
      <c r="AW846" s="14"/>
      <c r="AX846" s="14"/>
      <c r="AY846" s="14"/>
      <c r="AZ846" s="14"/>
      <c r="BA846" s="14"/>
      <c r="BB846" s="14"/>
      <c r="BC846" s="14"/>
      <c r="BD846" s="14"/>
      <c r="BE846" s="14"/>
      <c r="BF846" s="14"/>
      <c r="BG846" s="14"/>
      <c r="BH846" s="14"/>
      <c r="BI846" s="14"/>
      <c r="BJ846" s="14"/>
      <c r="BK846" s="14"/>
      <c r="BL846" s="14"/>
      <c r="BM846" s="14"/>
      <c r="BN846" s="14"/>
    </row>
    <row r="847" ht="22.5" customHeight="1">
      <c r="A847" s="493"/>
      <c r="B847" s="350"/>
      <c r="C847" s="351"/>
      <c r="D847" s="447"/>
      <c r="E847" s="494"/>
      <c r="F847" s="495"/>
      <c r="G847" s="434"/>
      <c r="H847" s="394"/>
      <c r="I847" s="394"/>
      <c r="J847" s="477"/>
      <c r="K847" s="479"/>
      <c r="L847" s="496"/>
      <c r="M847" s="496"/>
      <c r="N847" s="360"/>
      <c r="O847" s="497"/>
      <c r="P847" s="362"/>
      <c r="Q847" s="387"/>
      <c r="R847" s="387"/>
      <c r="S847" s="439"/>
      <c r="T847" s="439"/>
      <c r="U847" s="498"/>
      <c r="V847" s="430"/>
      <c r="W847" s="382"/>
      <c r="X847" s="366"/>
      <c r="Y847" s="366"/>
      <c r="Z847" s="367"/>
      <c r="AA847" s="367"/>
      <c r="AB847" s="13"/>
      <c r="AC847" s="13"/>
      <c r="AD847" s="13"/>
      <c r="AE847" s="13"/>
      <c r="AF847" s="13"/>
      <c r="AG847" s="13"/>
      <c r="AH847" s="13"/>
      <c r="AI847" s="13"/>
      <c r="AJ847" s="13"/>
      <c r="AK847" s="13"/>
      <c r="AL847" s="13"/>
      <c r="AM847" s="14"/>
      <c r="AN847" s="14"/>
      <c r="AO847" s="14"/>
      <c r="AP847" s="14"/>
      <c r="AQ847" s="14"/>
      <c r="AR847" s="14"/>
      <c r="AS847" s="14"/>
      <c r="AT847" s="14"/>
      <c r="AU847" s="14"/>
      <c r="AV847" s="14"/>
      <c r="AW847" s="14"/>
      <c r="AX847" s="14"/>
      <c r="AY847" s="14"/>
      <c r="AZ847" s="14"/>
      <c r="BA847" s="14"/>
      <c r="BB847" s="14"/>
      <c r="BC847" s="14"/>
      <c r="BD847" s="14"/>
      <c r="BE847" s="14"/>
      <c r="BF847" s="14"/>
      <c r="BG847" s="14"/>
      <c r="BH847" s="14"/>
      <c r="BI847" s="14"/>
      <c r="BJ847" s="14"/>
      <c r="BK847" s="14"/>
      <c r="BL847" s="14"/>
      <c r="BM847" s="14"/>
      <c r="BN847" s="14"/>
    </row>
    <row r="848" ht="22.5" customHeight="1">
      <c r="A848" s="493"/>
      <c r="B848" s="350"/>
      <c r="C848" s="351"/>
      <c r="D848" s="447"/>
      <c r="E848" s="494"/>
      <c r="F848" s="495"/>
      <c r="G848" s="434"/>
      <c r="H848" s="394"/>
      <c r="I848" s="394"/>
      <c r="J848" s="477"/>
      <c r="K848" s="479"/>
      <c r="L848" s="496"/>
      <c r="M848" s="496"/>
      <c r="N848" s="360"/>
      <c r="O848" s="497"/>
      <c r="P848" s="362"/>
      <c r="Q848" s="387"/>
      <c r="R848" s="387"/>
      <c r="S848" s="439"/>
      <c r="T848" s="439"/>
      <c r="U848" s="498"/>
      <c r="V848" s="430"/>
      <c r="W848" s="382"/>
      <c r="X848" s="366"/>
      <c r="Y848" s="366"/>
      <c r="Z848" s="367"/>
      <c r="AA848" s="367"/>
      <c r="AB848" s="13"/>
      <c r="AC848" s="13"/>
      <c r="AD848" s="13"/>
      <c r="AE848" s="13"/>
      <c r="AF848" s="13"/>
      <c r="AG848" s="13"/>
      <c r="AH848" s="13"/>
      <c r="AI848" s="13"/>
      <c r="AJ848" s="13"/>
      <c r="AK848" s="13"/>
      <c r="AL848" s="13"/>
      <c r="AM848" s="14"/>
      <c r="AN848" s="14"/>
      <c r="AO848" s="14"/>
      <c r="AP848" s="14"/>
      <c r="AQ848" s="14"/>
      <c r="AR848" s="14"/>
      <c r="AS848" s="14"/>
      <c r="AT848" s="14"/>
      <c r="AU848" s="14"/>
      <c r="AV848" s="14"/>
      <c r="AW848" s="14"/>
      <c r="AX848" s="14"/>
      <c r="AY848" s="14"/>
      <c r="AZ848" s="14"/>
      <c r="BA848" s="14"/>
      <c r="BB848" s="14"/>
      <c r="BC848" s="14"/>
      <c r="BD848" s="14"/>
      <c r="BE848" s="14"/>
      <c r="BF848" s="14"/>
      <c r="BG848" s="14"/>
      <c r="BH848" s="14"/>
      <c r="BI848" s="14"/>
      <c r="BJ848" s="14"/>
      <c r="BK848" s="14"/>
      <c r="BL848" s="14"/>
      <c r="BM848" s="14"/>
      <c r="BN848" s="14"/>
    </row>
    <row r="849" ht="22.5" customHeight="1">
      <c r="A849" s="493"/>
      <c r="B849" s="350"/>
      <c r="C849" s="351"/>
      <c r="D849" s="447"/>
      <c r="E849" s="494"/>
      <c r="F849" s="495"/>
      <c r="G849" s="434"/>
      <c r="H849" s="394"/>
      <c r="I849" s="394"/>
      <c r="J849" s="477"/>
      <c r="K849" s="479"/>
      <c r="L849" s="496"/>
      <c r="M849" s="496"/>
      <c r="N849" s="360"/>
      <c r="O849" s="497"/>
      <c r="P849" s="362"/>
      <c r="Q849" s="387"/>
      <c r="R849" s="387"/>
      <c r="S849" s="439"/>
      <c r="T849" s="439"/>
      <c r="U849" s="498"/>
      <c r="V849" s="430"/>
      <c r="W849" s="382"/>
      <c r="X849" s="366"/>
      <c r="Y849" s="366"/>
      <c r="Z849" s="367"/>
      <c r="AA849" s="367"/>
      <c r="AB849" s="13"/>
      <c r="AC849" s="13"/>
      <c r="AD849" s="13"/>
      <c r="AE849" s="13"/>
      <c r="AF849" s="13"/>
      <c r="AG849" s="13"/>
      <c r="AH849" s="13"/>
      <c r="AI849" s="13"/>
      <c r="AJ849" s="13"/>
      <c r="AK849" s="13"/>
      <c r="AL849" s="13"/>
      <c r="AM849" s="14"/>
      <c r="AN849" s="14"/>
      <c r="AO849" s="14"/>
      <c r="AP849" s="14"/>
      <c r="AQ849" s="14"/>
      <c r="AR849" s="14"/>
      <c r="AS849" s="14"/>
      <c r="AT849" s="14"/>
      <c r="AU849" s="14"/>
      <c r="AV849" s="14"/>
      <c r="AW849" s="14"/>
      <c r="AX849" s="14"/>
      <c r="AY849" s="14"/>
      <c r="AZ849" s="14"/>
      <c r="BA849" s="14"/>
      <c r="BB849" s="14"/>
      <c r="BC849" s="14"/>
      <c r="BD849" s="14"/>
      <c r="BE849" s="14"/>
      <c r="BF849" s="14"/>
      <c r="BG849" s="14"/>
      <c r="BH849" s="14"/>
      <c r="BI849" s="14"/>
      <c r="BJ849" s="14"/>
      <c r="BK849" s="14"/>
      <c r="BL849" s="14"/>
      <c r="BM849" s="14"/>
      <c r="BN849" s="14"/>
    </row>
    <row r="850" ht="22.5" customHeight="1">
      <c r="A850" s="493"/>
      <c r="B850" s="350"/>
      <c r="C850" s="351"/>
      <c r="D850" s="447"/>
      <c r="E850" s="494"/>
      <c r="F850" s="495"/>
      <c r="G850" s="434"/>
      <c r="H850" s="394"/>
      <c r="I850" s="394"/>
      <c r="J850" s="477"/>
      <c r="K850" s="479"/>
      <c r="L850" s="496"/>
      <c r="M850" s="496"/>
      <c r="N850" s="360"/>
      <c r="O850" s="497"/>
      <c r="P850" s="362"/>
      <c r="Q850" s="387"/>
      <c r="R850" s="387"/>
      <c r="S850" s="439"/>
      <c r="T850" s="439"/>
      <c r="U850" s="498"/>
      <c r="V850" s="430"/>
      <c r="W850" s="382"/>
      <c r="X850" s="366"/>
      <c r="Y850" s="366"/>
      <c r="Z850" s="367"/>
      <c r="AA850" s="367"/>
      <c r="AB850" s="13"/>
      <c r="AC850" s="13"/>
      <c r="AD850" s="13"/>
      <c r="AE850" s="13"/>
      <c r="AF850" s="13"/>
      <c r="AG850" s="13"/>
      <c r="AH850" s="13"/>
      <c r="AI850" s="13"/>
      <c r="AJ850" s="13"/>
      <c r="AK850" s="13"/>
      <c r="AL850" s="13"/>
      <c r="AM850" s="14"/>
      <c r="AN850" s="14"/>
      <c r="AO850" s="14"/>
      <c r="AP850" s="14"/>
      <c r="AQ850" s="14"/>
      <c r="AR850" s="14"/>
      <c r="AS850" s="14"/>
      <c r="AT850" s="14"/>
      <c r="AU850" s="14"/>
      <c r="AV850" s="14"/>
      <c r="AW850" s="14"/>
      <c r="AX850" s="14"/>
      <c r="AY850" s="14"/>
      <c r="AZ850" s="14"/>
      <c r="BA850" s="14"/>
      <c r="BB850" s="14"/>
      <c r="BC850" s="14"/>
      <c r="BD850" s="14"/>
      <c r="BE850" s="14"/>
      <c r="BF850" s="14"/>
      <c r="BG850" s="14"/>
      <c r="BH850" s="14"/>
      <c r="BI850" s="14"/>
      <c r="BJ850" s="14"/>
      <c r="BK850" s="14"/>
      <c r="BL850" s="14"/>
      <c r="BM850" s="14"/>
      <c r="BN850" s="14"/>
    </row>
    <row r="851" ht="22.5" customHeight="1">
      <c r="A851" s="493"/>
      <c r="B851" s="350"/>
      <c r="C851" s="351"/>
      <c r="D851" s="447"/>
      <c r="E851" s="494"/>
      <c r="F851" s="495"/>
      <c r="G851" s="434"/>
      <c r="H851" s="394"/>
      <c r="I851" s="394"/>
      <c r="J851" s="477"/>
      <c r="K851" s="479"/>
      <c r="L851" s="496"/>
      <c r="M851" s="496"/>
      <c r="N851" s="360"/>
      <c r="O851" s="497"/>
      <c r="P851" s="362"/>
      <c r="Q851" s="387"/>
      <c r="R851" s="387"/>
      <c r="S851" s="439"/>
      <c r="T851" s="439"/>
      <c r="U851" s="498"/>
      <c r="V851" s="430"/>
      <c r="W851" s="382"/>
      <c r="X851" s="366"/>
      <c r="Y851" s="366"/>
      <c r="Z851" s="367"/>
      <c r="AA851" s="367"/>
      <c r="AB851" s="13"/>
      <c r="AC851" s="13"/>
      <c r="AD851" s="13"/>
      <c r="AE851" s="13"/>
      <c r="AF851" s="13"/>
      <c r="AG851" s="13"/>
      <c r="AH851" s="13"/>
      <c r="AI851" s="13"/>
      <c r="AJ851" s="13"/>
      <c r="AK851" s="13"/>
      <c r="AL851" s="13"/>
      <c r="AM851" s="14"/>
      <c r="AN851" s="14"/>
      <c r="AO851" s="14"/>
      <c r="AP851" s="14"/>
      <c r="AQ851" s="14"/>
      <c r="AR851" s="14"/>
      <c r="AS851" s="14"/>
      <c r="AT851" s="14"/>
      <c r="AU851" s="14"/>
      <c r="AV851" s="14"/>
      <c r="AW851" s="14"/>
      <c r="AX851" s="14"/>
      <c r="AY851" s="14"/>
      <c r="AZ851" s="14"/>
      <c r="BA851" s="14"/>
      <c r="BB851" s="14"/>
      <c r="BC851" s="14"/>
      <c r="BD851" s="14"/>
      <c r="BE851" s="14"/>
      <c r="BF851" s="14"/>
      <c r="BG851" s="14"/>
      <c r="BH851" s="14"/>
      <c r="BI851" s="14"/>
      <c r="BJ851" s="14"/>
      <c r="BK851" s="14"/>
      <c r="BL851" s="14"/>
      <c r="BM851" s="14"/>
      <c r="BN851" s="14"/>
    </row>
    <row r="852" ht="22.5" customHeight="1">
      <c r="A852" s="493"/>
      <c r="B852" s="350"/>
      <c r="C852" s="351"/>
      <c r="D852" s="447"/>
      <c r="E852" s="494"/>
      <c r="F852" s="495"/>
      <c r="G852" s="434"/>
      <c r="H852" s="394"/>
      <c r="I852" s="394"/>
      <c r="J852" s="477"/>
      <c r="K852" s="479"/>
      <c r="L852" s="496"/>
      <c r="M852" s="496"/>
      <c r="N852" s="360"/>
      <c r="O852" s="497"/>
      <c r="P852" s="362"/>
      <c r="Q852" s="387"/>
      <c r="R852" s="387"/>
      <c r="S852" s="439"/>
      <c r="T852" s="439"/>
      <c r="U852" s="498"/>
      <c r="V852" s="430"/>
      <c r="W852" s="382"/>
      <c r="X852" s="366"/>
      <c r="Y852" s="366"/>
      <c r="Z852" s="367"/>
      <c r="AA852" s="367"/>
      <c r="AB852" s="13"/>
      <c r="AC852" s="13"/>
      <c r="AD852" s="13"/>
      <c r="AE852" s="13"/>
      <c r="AF852" s="13"/>
      <c r="AG852" s="13"/>
      <c r="AH852" s="13"/>
      <c r="AI852" s="13"/>
      <c r="AJ852" s="13"/>
      <c r="AK852" s="13"/>
      <c r="AL852" s="13"/>
      <c r="AM852" s="14"/>
      <c r="AN852" s="14"/>
      <c r="AO852" s="14"/>
      <c r="AP852" s="14"/>
      <c r="AQ852" s="14"/>
      <c r="AR852" s="14"/>
      <c r="AS852" s="14"/>
      <c r="AT852" s="14"/>
      <c r="AU852" s="14"/>
      <c r="AV852" s="14"/>
      <c r="AW852" s="14"/>
      <c r="AX852" s="14"/>
      <c r="AY852" s="14"/>
      <c r="AZ852" s="14"/>
      <c r="BA852" s="14"/>
      <c r="BB852" s="14"/>
      <c r="BC852" s="14"/>
      <c r="BD852" s="14"/>
      <c r="BE852" s="14"/>
      <c r="BF852" s="14"/>
      <c r="BG852" s="14"/>
      <c r="BH852" s="14"/>
      <c r="BI852" s="14"/>
      <c r="BJ852" s="14"/>
      <c r="BK852" s="14"/>
      <c r="BL852" s="14"/>
      <c r="BM852" s="14"/>
      <c r="BN852" s="14"/>
    </row>
    <row r="853" ht="22.5" customHeight="1">
      <c r="A853" s="493"/>
      <c r="B853" s="350"/>
      <c r="C853" s="351"/>
      <c r="D853" s="447"/>
      <c r="E853" s="494"/>
      <c r="F853" s="495"/>
      <c r="G853" s="434"/>
      <c r="H853" s="394"/>
      <c r="I853" s="394"/>
      <c r="J853" s="477"/>
      <c r="K853" s="479"/>
      <c r="L853" s="496"/>
      <c r="M853" s="496"/>
      <c r="N853" s="360"/>
      <c r="O853" s="497"/>
      <c r="P853" s="362"/>
      <c r="Q853" s="387"/>
      <c r="R853" s="387"/>
      <c r="S853" s="439"/>
      <c r="T853" s="439"/>
      <c r="U853" s="498"/>
      <c r="V853" s="430"/>
      <c r="W853" s="382"/>
      <c r="X853" s="366"/>
      <c r="Y853" s="366"/>
      <c r="Z853" s="367"/>
      <c r="AA853" s="367"/>
      <c r="AB853" s="13"/>
      <c r="AC853" s="13"/>
      <c r="AD853" s="13"/>
      <c r="AE853" s="13"/>
      <c r="AF853" s="13"/>
      <c r="AG853" s="13"/>
      <c r="AH853" s="13"/>
      <c r="AI853" s="13"/>
      <c r="AJ853" s="13"/>
      <c r="AK853" s="13"/>
      <c r="AL853" s="13"/>
      <c r="AM853" s="14"/>
      <c r="AN853" s="14"/>
      <c r="AO853" s="14"/>
      <c r="AP853" s="14"/>
      <c r="AQ853" s="14"/>
      <c r="AR853" s="14"/>
      <c r="AS853" s="14"/>
      <c r="AT853" s="14"/>
      <c r="AU853" s="14"/>
      <c r="AV853" s="14"/>
      <c r="AW853" s="14"/>
      <c r="AX853" s="14"/>
      <c r="AY853" s="14"/>
      <c r="AZ853" s="14"/>
      <c r="BA853" s="14"/>
      <c r="BB853" s="14"/>
      <c r="BC853" s="14"/>
      <c r="BD853" s="14"/>
      <c r="BE853" s="14"/>
      <c r="BF853" s="14"/>
      <c r="BG853" s="14"/>
      <c r="BH853" s="14"/>
      <c r="BI853" s="14"/>
      <c r="BJ853" s="14"/>
      <c r="BK853" s="14"/>
      <c r="BL853" s="14"/>
      <c r="BM853" s="14"/>
      <c r="BN853" s="14"/>
    </row>
    <row r="854" ht="22.5" customHeight="1">
      <c r="A854" s="493"/>
      <c r="B854" s="350"/>
      <c r="C854" s="351"/>
      <c r="D854" s="447"/>
      <c r="E854" s="494"/>
      <c r="F854" s="495"/>
      <c r="G854" s="434"/>
      <c r="H854" s="394"/>
      <c r="I854" s="394"/>
      <c r="J854" s="477"/>
      <c r="K854" s="479"/>
      <c r="L854" s="496"/>
      <c r="M854" s="496"/>
      <c r="N854" s="360"/>
      <c r="O854" s="497"/>
      <c r="P854" s="362"/>
      <c r="Q854" s="387"/>
      <c r="R854" s="387"/>
      <c r="S854" s="439"/>
      <c r="T854" s="439"/>
      <c r="U854" s="498"/>
      <c r="V854" s="430"/>
      <c r="W854" s="382"/>
      <c r="X854" s="366"/>
      <c r="Y854" s="366"/>
      <c r="Z854" s="367"/>
      <c r="AA854" s="367"/>
      <c r="AB854" s="13"/>
      <c r="AC854" s="13"/>
      <c r="AD854" s="13"/>
      <c r="AE854" s="13"/>
      <c r="AF854" s="13"/>
      <c r="AG854" s="13"/>
      <c r="AH854" s="13"/>
      <c r="AI854" s="13"/>
      <c r="AJ854" s="13"/>
      <c r="AK854" s="13"/>
      <c r="AL854" s="13"/>
      <c r="AM854" s="14"/>
      <c r="AN854" s="14"/>
      <c r="AO854" s="14"/>
      <c r="AP854" s="14"/>
      <c r="AQ854" s="14"/>
      <c r="AR854" s="14"/>
      <c r="AS854" s="14"/>
      <c r="AT854" s="14"/>
      <c r="AU854" s="14"/>
      <c r="AV854" s="14"/>
      <c r="AW854" s="14"/>
      <c r="AX854" s="14"/>
      <c r="AY854" s="14"/>
      <c r="AZ854" s="14"/>
      <c r="BA854" s="14"/>
      <c r="BB854" s="14"/>
      <c r="BC854" s="14"/>
      <c r="BD854" s="14"/>
      <c r="BE854" s="14"/>
      <c r="BF854" s="14"/>
      <c r="BG854" s="14"/>
      <c r="BH854" s="14"/>
      <c r="BI854" s="14"/>
      <c r="BJ854" s="14"/>
      <c r="BK854" s="14"/>
      <c r="BL854" s="14"/>
      <c r="BM854" s="14"/>
      <c r="BN854" s="14"/>
    </row>
    <row r="855" ht="22.5" customHeight="1">
      <c r="A855" s="493"/>
      <c r="B855" s="350"/>
      <c r="C855" s="351"/>
      <c r="D855" s="447"/>
      <c r="E855" s="494"/>
      <c r="F855" s="495"/>
      <c r="G855" s="434"/>
      <c r="H855" s="394"/>
      <c r="I855" s="394"/>
      <c r="J855" s="477"/>
      <c r="K855" s="479"/>
      <c r="L855" s="496"/>
      <c r="M855" s="496"/>
      <c r="N855" s="360"/>
      <c r="O855" s="497"/>
      <c r="P855" s="362"/>
      <c r="Q855" s="387"/>
      <c r="R855" s="387"/>
      <c r="S855" s="439"/>
      <c r="T855" s="439"/>
      <c r="U855" s="498"/>
      <c r="V855" s="430"/>
      <c r="W855" s="382"/>
      <c r="X855" s="366"/>
      <c r="Y855" s="366"/>
      <c r="Z855" s="367"/>
      <c r="AA855" s="367"/>
      <c r="AB855" s="13"/>
      <c r="AC855" s="13"/>
      <c r="AD855" s="13"/>
      <c r="AE855" s="13"/>
      <c r="AF855" s="13"/>
      <c r="AG855" s="13"/>
      <c r="AH855" s="13"/>
      <c r="AI855" s="13"/>
      <c r="AJ855" s="13"/>
      <c r="AK855" s="13"/>
      <c r="AL855" s="13"/>
      <c r="AM855" s="14"/>
      <c r="AN855" s="14"/>
      <c r="AO855" s="14"/>
      <c r="AP855" s="14"/>
      <c r="AQ855" s="14"/>
      <c r="AR855" s="14"/>
      <c r="AS855" s="14"/>
      <c r="AT855" s="14"/>
      <c r="AU855" s="14"/>
      <c r="AV855" s="14"/>
      <c r="AW855" s="14"/>
      <c r="AX855" s="14"/>
      <c r="AY855" s="14"/>
      <c r="AZ855" s="14"/>
      <c r="BA855" s="14"/>
      <c r="BB855" s="14"/>
      <c r="BC855" s="14"/>
      <c r="BD855" s="14"/>
      <c r="BE855" s="14"/>
      <c r="BF855" s="14"/>
      <c r="BG855" s="14"/>
      <c r="BH855" s="14"/>
      <c r="BI855" s="14"/>
      <c r="BJ855" s="14"/>
      <c r="BK855" s="14"/>
      <c r="BL855" s="14"/>
      <c r="BM855" s="14"/>
      <c r="BN855" s="14"/>
    </row>
    <row r="856" ht="22.5" customHeight="1">
      <c r="A856" s="493"/>
      <c r="B856" s="350"/>
      <c r="C856" s="351"/>
      <c r="D856" s="447"/>
      <c r="E856" s="494"/>
      <c r="F856" s="495"/>
      <c r="G856" s="434"/>
      <c r="H856" s="394"/>
      <c r="I856" s="394"/>
      <c r="J856" s="477"/>
      <c r="K856" s="479"/>
      <c r="L856" s="496"/>
      <c r="M856" s="496"/>
      <c r="N856" s="360"/>
      <c r="O856" s="497"/>
      <c r="P856" s="362"/>
      <c r="Q856" s="387"/>
      <c r="R856" s="387"/>
      <c r="S856" s="439"/>
      <c r="T856" s="439"/>
      <c r="U856" s="498"/>
      <c r="V856" s="430"/>
      <c r="W856" s="382"/>
      <c r="X856" s="366"/>
      <c r="Y856" s="366"/>
      <c r="Z856" s="367"/>
      <c r="AA856" s="367"/>
      <c r="AB856" s="13"/>
      <c r="AC856" s="13"/>
      <c r="AD856" s="13"/>
      <c r="AE856" s="13"/>
      <c r="AF856" s="13"/>
      <c r="AG856" s="13"/>
      <c r="AH856" s="13"/>
      <c r="AI856" s="13"/>
      <c r="AJ856" s="13"/>
      <c r="AK856" s="13"/>
      <c r="AL856" s="13"/>
      <c r="AM856" s="14"/>
      <c r="AN856" s="14"/>
      <c r="AO856" s="14"/>
      <c r="AP856" s="14"/>
      <c r="AQ856" s="14"/>
      <c r="AR856" s="14"/>
      <c r="AS856" s="14"/>
      <c r="AT856" s="14"/>
      <c r="AU856" s="14"/>
      <c r="AV856" s="14"/>
      <c r="AW856" s="14"/>
      <c r="AX856" s="14"/>
      <c r="AY856" s="14"/>
      <c r="AZ856" s="14"/>
      <c r="BA856" s="14"/>
      <c r="BB856" s="14"/>
      <c r="BC856" s="14"/>
      <c r="BD856" s="14"/>
      <c r="BE856" s="14"/>
      <c r="BF856" s="14"/>
      <c r="BG856" s="14"/>
      <c r="BH856" s="14"/>
      <c r="BI856" s="14"/>
      <c r="BJ856" s="14"/>
      <c r="BK856" s="14"/>
      <c r="BL856" s="14"/>
      <c r="BM856" s="14"/>
      <c r="BN856" s="14"/>
    </row>
    <row r="857" ht="22.5" customHeight="1">
      <c r="A857" s="493"/>
      <c r="B857" s="350"/>
      <c r="C857" s="351"/>
      <c r="D857" s="447"/>
      <c r="E857" s="494"/>
      <c r="F857" s="495"/>
      <c r="G857" s="434"/>
      <c r="H857" s="394"/>
      <c r="I857" s="394"/>
      <c r="J857" s="477"/>
      <c r="K857" s="479"/>
      <c r="L857" s="496"/>
      <c r="M857" s="496"/>
      <c r="N857" s="360"/>
      <c r="O857" s="497"/>
      <c r="P857" s="362"/>
      <c r="Q857" s="387"/>
      <c r="R857" s="387"/>
      <c r="S857" s="439"/>
      <c r="T857" s="439"/>
      <c r="U857" s="498"/>
      <c r="V857" s="430"/>
      <c r="W857" s="382"/>
      <c r="X857" s="366"/>
      <c r="Y857" s="366"/>
      <c r="Z857" s="367"/>
      <c r="AA857" s="367"/>
      <c r="AB857" s="13"/>
      <c r="AC857" s="13"/>
      <c r="AD857" s="13"/>
      <c r="AE857" s="13"/>
      <c r="AF857" s="13"/>
      <c r="AG857" s="13"/>
      <c r="AH857" s="13"/>
      <c r="AI857" s="13"/>
      <c r="AJ857" s="13"/>
      <c r="AK857" s="13"/>
      <c r="AL857" s="13"/>
      <c r="AM857" s="14"/>
      <c r="AN857" s="14"/>
      <c r="AO857" s="14"/>
      <c r="AP857" s="14"/>
      <c r="AQ857" s="14"/>
      <c r="AR857" s="14"/>
      <c r="AS857" s="14"/>
      <c r="AT857" s="14"/>
      <c r="AU857" s="14"/>
      <c r="AV857" s="14"/>
      <c r="AW857" s="14"/>
      <c r="AX857" s="14"/>
      <c r="AY857" s="14"/>
      <c r="AZ857" s="14"/>
      <c r="BA857" s="14"/>
      <c r="BB857" s="14"/>
      <c r="BC857" s="14"/>
      <c r="BD857" s="14"/>
      <c r="BE857" s="14"/>
      <c r="BF857" s="14"/>
      <c r="BG857" s="14"/>
      <c r="BH857" s="14"/>
      <c r="BI857" s="14"/>
      <c r="BJ857" s="14"/>
      <c r="BK857" s="14"/>
      <c r="BL857" s="14"/>
      <c r="BM857" s="14"/>
      <c r="BN857" s="14"/>
    </row>
    <row r="858" ht="22.5" customHeight="1">
      <c r="A858" s="493"/>
      <c r="B858" s="350"/>
      <c r="C858" s="351"/>
      <c r="D858" s="447"/>
      <c r="E858" s="494"/>
      <c r="F858" s="495"/>
      <c r="G858" s="434"/>
      <c r="H858" s="394"/>
      <c r="I858" s="394"/>
      <c r="J858" s="477"/>
      <c r="K858" s="479"/>
      <c r="L858" s="496"/>
      <c r="M858" s="496"/>
      <c r="N858" s="360"/>
      <c r="O858" s="497"/>
      <c r="P858" s="362"/>
      <c r="Q858" s="387"/>
      <c r="R858" s="387"/>
      <c r="S858" s="439"/>
      <c r="T858" s="439"/>
      <c r="U858" s="498"/>
      <c r="V858" s="430"/>
      <c r="W858" s="382"/>
      <c r="X858" s="366"/>
      <c r="Y858" s="366"/>
      <c r="Z858" s="367"/>
      <c r="AA858" s="367"/>
      <c r="AB858" s="13"/>
      <c r="AC858" s="13"/>
      <c r="AD858" s="13"/>
      <c r="AE858" s="13"/>
      <c r="AF858" s="13"/>
      <c r="AG858" s="13"/>
      <c r="AH858" s="13"/>
      <c r="AI858" s="13"/>
      <c r="AJ858" s="13"/>
      <c r="AK858" s="13"/>
      <c r="AL858" s="13"/>
      <c r="AM858" s="14"/>
      <c r="AN858" s="14"/>
      <c r="AO858" s="14"/>
      <c r="AP858" s="14"/>
      <c r="AQ858" s="14"/>
      <c r="AR858" s="14"/>
      <c r="AS858" s="14"/>
      <c r="AT858" s="14"/>
      <c r="AU858" s="14"/>
      <c r="AV858" s="14"/>
      <c r="AW858" s="14"/>
      <c r="AX858" s="14"/>
      <c r="AY858" s="14"/>
      <c r="AZ858" s="14"/>
      <c r="BA858" s="14"/>
      <c r="BB858" s="14"/>
      <c r="BC858" s="14"/>
      <c r="BD858" s="14"/>
      <c r="BE858" s="14"/>
      <c r="BF858" s="14"/>
      <c r="BG858" s="14"/>
      <c r="BH858" s="14"/>
      <c r="BI858" s="14"/>
      <c r="BJ858" s="14"/>
      <c r="BK858" s="14"/>
      <c r="BL858" s="14"/>
      <c r="BM858" s="14"/>
      <c r="BN858" s="14"/>
    </row>
    <row r="859" ht="22.5" customHeight="1">
      <c r="A859" s="493"/>
      <c r="B859" s="350"/>
      <c r="C859" s="351"/>
      <c r="D859" s="447"/>
      <c r="E859" s="494"/>
      <c r="F859" s="495"/>
      <c r="G859" s="434"/>
      <c r="H859" s="394"/>
      <c r="I859" s="394"/>
      <c r="J859" s="477"/>
      <c r="K859" s="479"/>
      <c r="L859" s="496"/>
      <c r="M859" s="496"/>
      <c r="N859" s="360"/>
      <c r="O859" s="497"/>
      <c r="P859" s="362"/>
      <c r="Q859" s="387"/>
      <c r="R859" s="387"/>
      <c r="S859" s="439"/>
      <c r="T859" s="439"/>
      <c r="U859" s="498"/>
      <c r="V859" s="430"/>
      <c r="W859" s="382"/>
      <c r="X859" s="366"/>
      <c r="Y859" s="366"/>
      <c r="Z859" s="367"/>
      <c r="AA859" s="367"/>
      <c r="AB859" s="13"/>
      <c r="AC859" s="13"/>
      <c r="AD859" s="13"/>
      <c r="AE859" s="13"/>
      <c r="AF859" s="13"/>
      <c r="AG859" s="13"/>
      <c r="AH859" s="13"/>
      <c r="AI859" s="13"/>
      <c r="AJ859" s="13"/>
      <c r="AK859" s="13"/>
      <c r="AL859" s="13"/>
      <c r="AM859" s="14"/>
      <c r="AN859" s="14"/>
      <c r="AO859" s="14"/>
      <c r="AP859" s="14"/>
      <c r="AQ859" s="14"/>
      <c r="AR859" s="14"/>
      <c r="AS859" s="14"/>
      <c r="AT859" s="14"/>
      <c r="AU859" s="14"/>
      <c r="AV859" s="14"/>
      <c r="AW859" s="14"/>
      <c r="AX859" s="14"/>
      <c r="AY859" s="14"/>
      <c r="AZ859" s="14"/>
      <c r="BA859" s="14"/>
      <c r="BB859" s="14"/>
      <c r="BC859" s="14"/>
      <c r="BD859" s="14"/>
      <c r="BE859" s="14"/>
      <c r="BF859" s="14"/>
      <c r="BG859" s="14"/>
      <c r="BH859" s="14"/>
      <c r="BI859" s="14"/>
      <c r="BJ859" s="14"/>
      <c r="BK859" s="14"/>
      <c r="BL859" s="14"/>
      <c r="BM859" s="14"/>
      <c r="BN859" s="14"/>
    </row>
    <row r="860" ht="22.5" customHeight="1">
      <c r="A860" s="493"/>
      <c r="B860" s="350"/>
      <c r="C860" s="351"/>
      <c r="D860" s="447"/>
      <c r="E860" s="494"/>
      <c r="F860" s="495"/>
      <c r="G860" s="434"/>
      <c r="H860" s="394"/>
      <c r="I860" s="394"/>
      <c r="J860" s="477"/>
      <c r="K860" s="479"/>
      <c r="L860" s="496"/>
      <c r="M860" s="496"/>
      <c r="N860" s="360"/>
      <c r="O860" s="497"/>
      <c r="P860" s="362"/>
      <c r="Q860" s="387"/>
      <c r="R860" s="387"/>
      <c r="S860" s="439"/>
      <c r="T860" s="439"/>
      <c r="U860" s="498"/>
      <c r="V860" s="430"/>
      <c r="W860" s="382"/>
      <c r="X860" s="366"/>
      <c r="Y860" s="366"/>
      <c r="Z860" s="367"/>
      <c r="AA860" s="367"/>
      <c r="AB860" s="13"/>
      <c r="AC860" s="13"/>
      <c r="AD860" s="13"/>
      <c r="AE860" s="13"/>
      <c r="AF860" s="13"/>
      <c r="AG860" s="13"/>
      <c r="AH860" s="13"/>
      <c r="AI860" s="13"/>
      <c r="AJ860" s="13"/>
      <c r="AK860" s="13"/>
      <c r="AL860" s="13"/>
      <c r="AM860" s="14"/>
      <c r="AN860" s="14"/>
      <c r="AO860" s="14"/>
      <c r="AP860" s="14"/>
      <c r="AQ860" s="14"/>
      <c r="AR860" s="14"/>
      <c r="AS860" s="14"/>
      <c r="AT860" s="14"/>
      <c r="AU860" s="14"/>
      <c r="AV860" s="14"/>
      <c r="AW860" s="14"/>
      <c r="AX860" s="14"/>
      <c r="AY860" s="14"/>
      <c r="AZ860" s="14"/>
      <c r="BA860" s="14"/>
      <c r="BB860" s="14"/>
      <c r="BC860" s="14"/>
      <c r="BD860" s="14"/>
      <c r="BE860" s="14"/>
      <c r="BF860" s="14"/>
      <c r="BG860" s="14"/>
      <c r="BH860" s="14"/>
      <c r="BI860" s="14"/>
      <c r="BJ860" s="14"/>
      <c r="BK860" s="14"/>
      <c r="BL860" s="14"/>
      <c r="BM860" s="14"/>
      <c r="BN860" s="14"/>
    </row>
    <row r="861" ht="22.5" customHeight="1">
      <c r="A861" s="493"/>
      <c r="B861" s="350"/>
      <c r="C861" s="351"/>
      <c r="D861" s="447"/>
      <c r="E861" s="494"/>
      <c r="F861" s="495"/>
      <c r="G861" s="434"/>
      <c r="H861" s="394"/>
      <c r="I861" s="394"/>
      <c r="J861" s="477"/>
      <c r="K861" s="479"/>
      <c r="L861" s="496"/>
      <c r="M861" s="496"/>
      <c r="N861" s="360"/>
      <c r="O861" s="497"/>
      <c r="P861" s="362"/>
      <c r="Q861" s="387"/>
      <c r="R861" s="387"/>
      <c r="S861" s="439"/>
      <c r="T861" s="439"/>
      <c r="U861" s="498"/>
      <c r="V861" s="430"/>
      <c r="W861" s="382"/>
      <c r="X861" s="366"/>
      <c r="Y861" s="366"/>
      <c r="Z861" s="367"/>
      <c r="AA861" s="367"/>
      <c r="AB861" s="13"/>
      <c r="AC861" s="13"/>
      <c r="AD861" s="13"/>
      <c r="AE861" s="13"/>
      <c r="AF861" s="13"/>
      <c r="AG861" s="13"/>
      <c r="AH861" s="13"/>
      <c r="AI861" s="13"/>
      <c r="AJ861" s="13"/>
      <c r="AK861" s="13"/>
      <c r="AL861" s="13"/>
      <c r="AM861" s="14"/>
      <c r="AN861" s="14"/>
      <c r="AO861" s="14"/>
      <c r="AP861" s="14"/>
      <c r="AQ861" s="14"/>
      <c r="AR861" s="14"/>
      <c r="AS861" s="14"/>
      <c r="AT861" s="14"/>
      <c r="AU861" s="14"/>
      <c r="AV861" s="14"/>
      <c r="AW861" s="14"/>
      <c r="AX861" s="14"/>
      <c r="AY861" s="14"/>
      <c r="AZ861" s="14"/>
      <c r="BA861" s="14"/>
      <c r="BB861" s="14"/>
      <c r="BC861" s="14"/>
      <c r="BD861" s="14"/>
      <c r="BE861" s="14"/>
      <c r="BF861" s="14"/>
      <c r="BG861" s="14"/>
      <c r="BH861" s="14"/>
      <c r="BI861" s="14"/>
      <c r="BJ861" s="14"/>
      <c r="BK861" s="14"/>
      <c r="BL861" s="14"/>
      <c r="BM861" s="14"/>
      <c r="BN861" s="14"/>
    </row>
    <row r="862" ht="22.5" customHeight="1">
      <c r="A862" s="493"/>
      <c r="B862" s="350"/>
      <c r="C862" s="351"/>
      <c r="D862" s="447"/>
      <c r="E862" s="494"/>
      <c r="F862" s="495"/>
      <c r="G862" s="434"/>
      <c r="H862" s="394"/>
      <c r="I862" s="394"/>
      <c r="J862" s="477"/>
      <c r="K862" s="479"/>
      <c r="L862" s="496"/>
      <c r="M862" s="496"/>
      <c r="N862" s="360"/>
      <c r="O862" s="497"/>
      <c r="P862" s="362"/>
      <c r="Q862" s="387"/>
      <c r="R862" s="387"/>
      <c r="S862" s="439"/>
      <c r="T862" s="439"/>
      <c r="U862" s="498"/>
      <c r="V862" s="430"/>
      <c r="W862" s="382"/>
      <c r="X862" s="366"/>
      <c r="Y862" s="366"/>
      <c r="Z862" s="367"/>
      <c r="AA862" s="367"/>
      <c r="AB862" s="13"/>
      <c r="AC862" s="13"/>
      <c r="AD862" s="13"/>
      <c r="AE862" s="13"/>
      <c r="AF862" s="13"/>
      <c r="AG862" s="13"/>
      <c r="AH862" s="13"/>
      <c r="AI862" s="13"/>
      <c r="AJ862" s="13"/>
      <c r="AK862" s="13"/>
      <c r="AL862" s="13"/>
      <c r="AM862" s="14"/>
      <c r="AN862" s="14"/>
      <c r="AO862" s="14"/>
      <c r="AP862" s="14"/>
      <c r="AQ862" s="14"/>
      <c r="AR862" s="14"/>
      <c r="AS862" s="14"/>
      <c r="AT862" s="14"/>
      <c r="AU862" s="14"/>
      <c r="AV862" s="14"/>
      <c r="AW862" s="14"/>
      <c r="AX862" s="14"/>
      <c r="AY862" s="14"/>
      <c r="AZ862" s="14"/>
      <c r="BA862" s="14"/>
      <c r="BB862" s="14"/>
      <c r="BC862" s="14"/>
      <c r="BD862" s="14"/>
      <c r="BE862" s="14"/>
      <c r="BF862" s="14"/>
      <c r="BG862" s="14"/>
      <c r="BH862" s="14"/>
      <c r="BI862" s="14"/>
      <c r="BJ862" s="14"/>
      <c r="BK862" s="14"/>
      <c r="BL862" s="14"/>
      <c r="BM862" s="14"/>
      <c r="BN862" s="14"/>
    </row>
    <row r="863" ht="22.5" customHeight="1">
      <c r="A863" s="493"/>
      <c r="B863" s="350"/>
      <c r="C863" s="351"/>
      <c r="D863" s="447"/>
      <c r="E863" s="494"/>
      <c r="F863" s="495"/>
      <c r="G863" s="434"/>
      <c r="H863" s="394"/>
      <c r="I863" s="394"/>
      <c r="J863" s="477"/>
      <c r="K863" s="479"/>
      <c r="L863" s="496"/>
      <c r="M863" s="496"/>
      <c r="N863" s="360"/>
      <c r="O863" s="497"/>
      <c r="P863" s="362"/>
      <c r="Q863" s="387"/>
      <c r="R863" s="387"/>
      <c r="S863" s="439"/>
      <c r="T863" s="439"/>
      <c r="U863" s="498"/>
      <c r="V863" s="430"/>
      <c r="W863" s="382"/>
      <c r="X863" s="366"/>
      <c r="Y863" s="366"/>
      <c r="Z863" s="367"/>
      <c r="AA863" s="367"/>
      <c r="AB863" s="13"/>
      <c r="AC863" s="13"/>
      <c r="AD863" s="13"/>
      <c r="AE863" s="13"/>
      <c r="AF863" s="13"/>
      <c r="AG863" s="13"/>
      <c r="AH863" s="13"/>
      <c r="AI863" s="13"/>
      <c r="AJ863" s="13"/>
      <c r="AK863" s="13"/>
      <c r="AL863" s="13"/>
      <c r="AM863" s="14"/>
      <c r="AN863" s="14"/>
      <c r="AO863" s="14"/>
      <c r="AP863" s="14"/>
      <c r="AQ863" s="14"/>
      <c r="AR863" s="14"/>
      <c r="AS863" s="14"/>
      <c r="AT863" s="14"/>
      <c r="AU863" s="14"/>
      <c r="AV863" s="14"/>
      <c r="AW863" s="14"/>
      <c r="AX863" s="14"/>
      <c r="AY863" s="14"/>
      <c r="AZ863" s="14"/>
      <c r="BA863" s="14"/>
      <c r="BB863" s="14"/>
      <c r="BC863" s="14"/>
      <c r="BD863" s="14"/>
      <c r="BE863" s="14"/>
      <c r="BF863" s="14"/>
      <c r="BG863" s="14"/>
      <c r="BH863" s="14"/>
      <c r="BI863" s="14"/>
      <c r="BJ863" s="14"/>
      <c r="BK863" s="14"/>
      <c r="BL863" s="14"/>
      <c r="BM863" s="14"/>
      <c r="BN863" s="14"/>
    </row>
    <row r="864" ht="22.5" customHeight="1">
      <c r="A864" s="493"/>
      <c r="B864" s="350"/>
      <c r="C864" s="351"/>
      <c r="D864" s="447"/>
      <c r="E864" s="494"/>
      <c r="F864" s="495"/>
      <c r="G864" s="434"/>
      <c r="H864" s="394"/>
      <c r="I864" s="394"/>
      <c r="J864" s="477"/>
      <c r="K864" s="479"/>
      <c r="L864" s="496"/>
      <c r="M864" s="496"/>
      <c r="N864" s="360"/>
      <c r="O864" s="497"/>
      <c r="P864" s="362"/>
      <c r="Q864" s="387"/>
      <c r="R864" s="387"/>
      <c r="S864" s="439"/>
      <c r="T864" s="439"/>
      <c r="U864" s="498"/>
      <c r="V864" s="430"/>
      <c r="W864" s="382"/>
      <c r="X864" s="366"/>
      <c r="Y864" s="366"/>
      <c r="Z864" s="367"/>
      <c r="AA864" s="367"/>
      <c r="AB864" s="13"/>
      <c r="AC864" s="13"/>
      <c r="AD864" s="13"/>
      <c r="AE864" s="13"/>
      <c r="AF864" s="13"/>
      <c r="AG864" s="13"/>
      <c r="AH864" s="13"/>
      <c r="AI864" s="13"/>
      <c r="AJ864" s="13"/>
      <c r="AK864" s="13"/>
      <c r="AL864" s="13"/>
      <c r="AM864" s="14"/>
      <c r="AN864" s="14"/>
      <c r="AO864" s="14"/>
      <c r="AP864" s="14"/>
      <c r="AQ864" s="14"/>
      <c r="AR864" s="14"/>
      <c r="AS864" s="14"/>
      <c r="AT864" s="14"/>
      <c r="AU864" s="14"/>
      <c r="AV864" s="14"/>
      <c r="AW864" s="14"/>
      <c r="AX864" s="14"/>
      <c r="AY864" s="14"/>
      <c r="AZ864" s="14"/>
      <c r="BA864" s="14"/>
      <c r="BB864" s="14"/>
      <c r="BC864" s="14"/>
      <c r="BD864" s="14"/>
      <c r="BE864" s="14"/>
      <c r="BF864" s="14"/>
      <c r="BG864" s="14"/>
      <c r="BH864" s="14"/>
      <c r="BI864" s="14"/>
      <c r="BJ864" s="14"/>
      <c r="BK864" s="14"/>
      <c r="BL864" s="14"/>
      <c r="BM864" s="14"/>
      <c r="BN864" s="14"/>
    </row>
    <row r="865" ht="22.5" customHeight="1">
      <c r="A865" s="493"/>
      <c r="B865" s="350"/>
      <c r="C865" s="351"/>
      <c r="D865" s="447"/>
      <c r="E865" s="494"/>
      <c r="F865" s="495"/>
      <c r="G865" s="434"/>
      <c r="H865" s="394"/>
      <c r="I865" s="394"/>
      <c r="J865" s="477"/>
      <c r="K865" s="479"/>
      <c r="L865" s="496"/>
      <c r="M865" s="496"/>
      <c r="N865" s="360"/>
      <c r="O865" s="497"/>
      <c r="P865" s="362"/>
      <c r="Q865" s="387"/>
      <c r="R865" s="387"/>
      <c r="S865" s="439"/>
      <c r="T865" s="439"/>
      <c r="U865" s="498"/>
      <c r="V865" s="430"/>
      <c r="W865" s="382"/>
      <c r="X865" s="366"/>
      <c r="Y865" s="366"/>
      <c r="Z865" s="367"/>
      <c r="AA865" s="367"/>
      <c r="AB865" s="13"/>
      <c r="AC865" s="13"/>
      <c r="AD865" s="13"/>
      <c r="AE865" s="13"/>
      <c r="AF865" s="13"/>
      <c r="AG865" s="13"/>
      <c r="AH865" s="13"/>
      <c r="AI865" s="13"/>
      <c r="AJ865" s="13"/>
      <c r="AK865" s="13"/>
      <c r="AL865" s="13"/>
      <c r="AM865" s="14"/>
      <c r="AN865" s="14"/>
      <c r="AO865" s="14"/>
      <c r="AP865" s="14"/>
      <c r="AQ865" s="14"/>
      <c r="AR865" s="14"/>
      <c r="AS865" s="14"/>
      <c r="AT865" s="14"/>
      <c r="AU865" s="14"/>
      <c r="AV865" s="14"/>
      <c r="AW865" s="14"/>
      <c r="AX865" s="14"/>
      <c r="AY865" s="14"/>
      <c r="AZ865" s="14"/>
      <c r="BA865" s="14"/>
      <c r="BB865" s="14"/>
      <c r="BC865" s="14"/>
      <c r="BD865" s="14"/>
      <c r="BE865" s="14"/>
      <c r="BF865" s="14"/>
      <c r="BG865" s="14"/>
      <c r="BH865" s="14"/>
      <c r="BI865" s="14"/>
      <c r="BJ865" s="14"/>
      <c r="BK865" s="14"/>
      <c r="BL865" s="14"/>
      <c r="BM865" s="14"/>
      <c r="BN865" s="14"/>
    </row>
    <row r="866" ht="22.5" customHeight="1">
      <c r="A866" s="493"/>
      <c r="B866" s="350"/>
      <c r="C866" s="351"/>
      <c r="D866" s="447"/>
      <c r="E866" s="494"/>
      <c r="F866" s="495"/>
      <c r="G866" s="434"/>
      <c r="H866" s="394"/>
      <c r="I866" s="394"/>
      <c r="J866" s="477"/>
      <c r="K866" s="479"/>
      <c r="L866" s="496"/>
      <c r="M866" s="496"/>
      <c r="N866" s="360"/>
      <c r="O866" s="497"/>
      <c r="P866" s="362"/>
      <c r="Q866" s="387"/>
      <c r="R866" s="387"/>
      <c r="S866" s="439"/>
      <c r="T866" s="439"/>
      <c r="U866" s="498"/>
      <c r="V866" s="430"/>
      <c r="W866" s="382"/>
      <c r="X866" s="366"/>
      <c r="Y866" s="366"/>
      <c r="Z866" s="367"/>
      <c r="AA866" s="367"/>
      <c r="AB866" s="13"/>
      <c r="AC866" s="13"/>
      <c r="AD866" s="13"/>
      <c r="AE866" s="13"/>
      <c r="AF866" s="13"/>
      <c r="AG866" s="13"/>
      <c r="AH866" s="13"/>
      <c r="AI866" s="13"/>
      <c r="AJ866" s="13"/>
      <c r="AK866" s="13"/>
      <c r="AL866" s="13"/>
      <c r="AM866" s="14"/>
      <c r="AN866" s="14"/>
      <c r="AO866" s="14"/>
      <c r="AP866" s="14"/>
      <c r="AQ866" s="14"/>
      <c r="AR866" s="14"/>
      <c r="AS866" s="14"/>
      <c r="AT866" s="14"/>
      <c r="AU866" s="14"/>
      <c r="AV866" s="14"/>
      <c r="AW866" s="14"/>
      <c r="AX866" s="14"/>
      <c r="AY866" s="14"/>
      <c r="AZ866" s="14"/>
      <c r="BA866" s="14"/>
      <c r="BB866" s="14"/>
      <c r="BC866" s="14"/>
      <c r="BD866" s="14"/>
      <c r="BE866" s="14"/>
      <c r="BF866" s="14"/>
      <c r="BG866" s="14"/>
      <c r="BH866" s="14"/>
      <c r="BI866" s="14"/>
      <c r="BJ866" s="14"/>
      <c r="BK866" s="14"/>
      <c r="BL866" s="14"/>
      <c r="BM866" s="14"/>
      <c r="BN866" s="14"/>
    </row>
    <row r="867" ht="22.5" customHeight="1">
      <c r="A867" s="493"/>
      <c r="B867" s="350"/>
      <c r="C867" s="351"/>
      <c r="D867" s="447"/>
      <c r="E867" s="494"/>
      <c r="F867" s="495"/>
      <c r="G867" s="434"/>
      <c r="H867" s="394"/>
      <c r="I867" s="394"/>
      <c r="J867" s="477"/>
      <c r="K867" s="479"/>
      <c r="L867" s="496"/>
      <c r="M867" s="496"/>
      <c r="N867" s="360"/>
      <c r="O867" s="497"/>
      <c r="P867" s="362"/>
      <c r="Q867" s="387"/>
      <c r="R867" s="387"/>
      <c r="S867" s="439"/>
      <c r="T867" s="439"/>
      <c r="U867" s="498"/>
      <c r="V867" s="430"/>
      <c r="W867" s="382"/>
      <c r="X867" s="366"/>
      <c r="Y867" s="366"/>
      <c r="Z867" s="367"/>
      <c r="AA867" s="367"/>
      <c r="AB867" s="13"/>
      <c r="AC867" s="13"/>
      <c r="AD867" s="13"/>
      <c r="AE867" s="13"/>
      <c r="AF867" s="13"/>
      <c r="AG867" s="13"/>
      <c r="AH867" s="13"/>
      <c r="AI867" s="13"/>
      <c r="AJ867" s="13"/>
      <c r="AK867" s="13"/>
      <c r="AL867" s="13"/>
      <c r="AM867" s="14"/>
      <c r="AN867" s="14"/>
      <c r="AO867" s="14"/>
      <c r="AP867" s="14"/>
      <c r="AQ867" s="14"/>
      <c r="AR867" s="14"/>
      <c r="AS867" s="14"/>
      <c r="AT867" s="14"/>
      <c r="AU867" s="14"/>
      <c r="AV867" s="14"/>
      <c r="AW867" s="14"/>
      <c r="AX867" s="14"/>
      <c r="AY867" s="14"/>
      <c r="AZ867" s="14"/>
      <c r="BA867" s="14"/>
      <c r="BB867" s="14"/>
      <c r="BC867" s="14"/>
      <c r="BD867" s="14"/>
      <c r="BE867" s="14"/>
      <c r="BF867" s="14"/>
      <c r="BG867" s="14"/>
      <c r="BH867" s="14"/>
      <c r="BI867" s="14"/>
      <c r="BJ867" s="14"/>
      <c r="BK867" s="14"/>
      <c r="BL867" s="14"/>
      <c r="BM867" s="14"/>
      <c r="BN867" s="14"/>
    </row>
    <row r="868" ht="22.5" customHeight="1">
      <c r="A868" s="493"/>
      <c r="B868" s="350"/>
      <c r="C868" s="351"/>
      <c r="D868" s="447"/>
      <c r="E868" s="494"/>
      <c r="F868" s="495"/>
      <c r="G868" s="434"/>
      <c r="H868" s="394"/>
      <c r="I868" s="394"/>
      <c r="J868" s="477"/>
      <c r="K868" s="479"/>
      <c r="L868" s="496"/>
      <c r="M868" s="496"/>
      <c r="N868" s="360"/>
      <c r="O868" s="497"/>
      <c r="P868" s="362"/>
      <c r="Q868" s="387"/>
      <c r="R868" s="387"/>
      <c r="S868" s="439"/>
      <c r="T868" s="439"/>
      <c r="U868" s="498"/>
      <c r="V868" s="430"/>
      <c r="W868" s="382"/>
      <c r="X868" s="366"/>
      <c r="Y868" s="366"/>
      <c r="Z868" s="367"/>
      <c r="AA868" s="367"/>
      <c r="AB868" s="13"/>
      <c r="AC868" s="13"/>
      <c r="AD868" s="13"/>
      <c r="AE868" s="13"/>
      <c r="AF868" s="13"/>
      <c r="AG868" s="13"/>
      <c r="AH868" s="13"/>
      <c r="AI868" s="13"/>
      <c r="AJ868" s="13"/>
      <c r="AK868" s="13"/>
      <c r="AL868" s="13"/>
      <c r="AM868" s="14"/>
      <c r="AN868" s="14"/>
      <c r="AO868" s="14"/>
      <c r="AP868" s="14"/>
      <c r="AQ868" s="14"/>
      <c r="AR868" s="14"/>
      <c r="AS868" s="14"/>
      <c r="AT868" s="14"/>
      <c r="AU868" s="14"/>
      <c r="AV868" s="14"/>
      <c r="AW868" s="14"/>
      <c r="AX868" s="14"/>
      <c r="AY868" s="14"/>
      <c r="AZ868" s="14"/>
      <c r="BA868" s="14"/>
      <c r="BB868" s="14"/>
      <c r="BC868" s="14"/>
      <c r="BD868" s="14"/>
      <c r="BE868" s="14"/>
      <c r="BF868" s="14"/>
      <c r="BG868" s="14"/>
      <c r="BH868" s="14"/>
      <c r="BI868" s="14"/>
      <c r="BJ868" s="14"/>
      <c r="BK868" s="14"/>
      <c r="BL868" s="14"/>
      <c r="BM868" s="14"/>
      <c r="BN868" s="14"/>
    </row>
    <row r="869" ht="22.5" customHeight="1">
      <c r="A869" s="493"/>
      <c r="B869" s="350"/>
      <c r="C869" s="351"/>
      <c r="D869" s="447"/>
      <c r="E869" s="494"/>
      <c r="F869" s="495"/>
      <c r="G869" s="434"/>
      <c r="H869" s="394"/>
      <c r="I869" s="394"/>
      <c r="J869" s="477"/>
      <c r="K869" s="479"/>
      <c r="L869" s="496"/>
      <c r="M869" s="496"/>
      <c r="N869" s="360"/>
      <c r="O869" s="497"/>
      <c r="P869" s="362"/>
      <c r="Q869" s="387"/>
      <c r="R869" s="387"/>
      <c r="S869" s="439"/>
      <c r="T869" s="439"/>
      <c r="U869" s="498"/>
      <c r="V869" s="430"/>
      <c r="W869" s="382"/>
      <c r="X869" s="366"/>
      <c r="Y869" s="366"/>
      <c r="Z869" s="367"/>
      <c r="AA869" s="367"/>
      <c r="AB869" s="13"/>
      <c r="AC869" s="13"/>
      <c r="AD869" s="13"/>
      <c r="AE869" s="13"/>
      <c r="AF869" s="13"/>
      <c r="AG869" s="13"/>
      <c r="AH869" s="13"/>
      <c r="AI869" s="13"/>
      <c r="AJ869" s="13"/>
      <c r="AK869" s="13"/>
      <c r="AL869" s="13"/>
      <c r="AM869" s="14"/>
      <c r="AN869" s="14"/>
      <c r="AO869" s="14"/>
      <c r="AP869" s="14"/>
      <c r="AQ869" s="14"/>
      <c r="AR869" s="14"/>
      <c r="AS869" s="14"/>
      <c r="AT869" s="14"/>
      <c r="AU869" s="14"/>
      <c r="AV869" s="14"/>
      <c r="AW869" s="14"/>
      <c r="AX869" s="14"/>
      <c r="AY869" s="14"/>
      <c r="AZ869" s="14"/>
      <c r="BA869" s="14"/>
      <c r="BB869" s="14"/>
      <c r="BC869" s="14"/>
      <c r="BD869" s="14"/>
      <c r="BE869" s="14"/>
      <c r="BF869" s="14"/>
      <c r="BG869" s="14"/>
      <c r="BH869" s="14"/>
      <c r="BI869" s="14"/>
      <c r="BJ869" s="14"/>
      <c r="BK869" s="14"/>
      <c r="BL869" s="14"/>
      <c r="BM869" s="14"/>
      <c r="BN869" s="14"/>
    </row>
    <row r="870" ht="22.5" customHeight="1">
      <c r="A870" s="493"/>
      <c r="B870" s="350"/>
      <c r="C870" s="351"/>
      <c r="D870" s="447"/>
      <c r="E870" s="494"/>
      <c r="F870" s="495"/>
      <c r="G870" s="434"/>
      <c r="H870" s="394"/>
      <c r="I870" s="394"/>
      <c r="J870" s="477"/>
      <c r="K870" s="479"/>
      <c r="L870" s="496"/>
      <c r="M870" s="496"/>
      <c r="N870" s="360"/>
      <c r="O870" s="497"/>
      <c r="P870" s="362"/>
      <c r="Q870" s="387"/>
      <c r="R870" s="387"/>
      <c r="S870" s="439"/>
      <c r="T870" s="439"/>
      <c r="U870" s="498"/>
      <c r="V870" s="430"/>
      <c r="W870" s="382"/>
      <c r="X870" s="366"/>
      <c r="Y870" s="366"/>
      <c r="Z870" s="367"/>
      <c r="AA870" s="367"/>
      <c r="AB870" s="13"/>
      <c r="AC870" s="13"/>
      <c r="AD870" s="13"/>
      <c r="AE870" s="13"/>
      <c r="AF870" s="13"/>
      <c r="AG870" s="13"/>
      <c r="AH870" s="13"/>
      <c r="AI870" s="13"/>
      <c r="AJ870" s="13"/>
      <c r="AK870" s="13"/>
      <c r="AL870" s="13"/>
      <c r="AM870" s="14"/>
      <c r="AN870" s="14"/>
      <c r="AO870" s="14"/>
      <c r="AP870" s="14"/>
      <c r="AQ870" s="14"/>
      <c r="AR870" s="14"/>
      <c r="AS870" s="14"/>
      <c r="AT870" s="14"/>
      <c r="AU870" s="14"/>
      <c r="AV870" s="14"/>
      <c r="AW870" s="14"/>
      <c r="AX870" s="14"/>
      <c r="AY870" s="14"/>
      <c r="AZ870" s="14"/>
      <c r="BA870" s="14"/>
      <c r="BB870" s="14"/>
      <c r="BC870" s="14"/>
      <c r="BD870" s="14"/>
      <c r="BE870" s="14"/>
      <c r="BF870" s="14"/>
      <c r="BG870" s="14"/>
      <c r="BH870" s="14"/>
      <c r="BI870" s="14"/>
      <c r="BJ870" s="14"/>
      <c r="BK870" s="14"/>
      <c r="BL870" s="14"/>
      <c r="BM870" s="14"/>
      <c r="BN870" s="14"/>
    </row>
    <row r="871" ht="22.5" customHeight="1">
      <c r="A871" s="493"/>
      <c r="B871" s="350"/>
      <c r="C871" s="351"/>
      <c r="D871" s="447"/>
      <c r="E871" s="494"/>
      <c r="F871" s="495"/>
      <c r="G871" s="434"/>
      <c r="H871" s="394"/>
      <c r="I871" s="394"/>
      <c r="J871" s="477"/>
      <c r="K871" s="479"/>
      <c r="L871" s="496"/>
      <c r="M871" s="496"/>
      <c r="N871" s="360"/>
      <c r="O871" s="497"/>
      <c r="P871" s="362"/>
      <c r="Q871" s="387"/>
      <c r="R871" s="387"/>
      <c r="S871" s="439"/>
      <c r="T871" s="439"/>
      <c r="U871" s="498"/>
      <c r="V871" s="430"/>
      <c r="W871" s="382"/>
      <c r="X871" s="366"/>
      <c r="Y871" s="366"/>
      <c r="Z871" s="367"/>
      <c r="AA871" s="367"/>
      <c r="AB871" s="13"/>
      <c r="AC871" s="13"/>
      <c r="AD871" s="13"/>
      <c r="AE871" s="13"/>
      <c r="AF871" s="13"/>
      <c r="AG871" s="13"/>
      <c r="AH871" s="13"/>
      <c r="AI871" s="13"/>
      <c r="AJ871" s="13"/>
      <c r="AK871" s="13"/>
      <c r="AL871" s="13"/>
      <c r="AM871" s="14"/>
      <c r="AN871" s="14"/>
      <c r="AO871" s="14"/>
      <c r="AP871" s="14"/>
      <c r="AQ871" s="14"/>
      <c r="AR871" s="14"/>
      <c r="AS871" s="14"/>
      <c r="AT871" s="14"/>
      <c r="AU871" s="14"/>
      <c r="AV871" s="14"/>
      <c r="AW871" s="14"/>
      <c r="AX871" s="14"/>
      <c r="AY871" s="14"/>
      <c r="AZ871" s="14"/>
      <c r="BA871" s="14"/>
      <c r="BB871" s="14"/>
      <c r="BC871" s="14"/>
      <c r="BD871" s="14"/>
      <c r="BE871" s="14"/>
      <c r="BF871" s="14"/>
      <c r="BG871" s="14"/>
      <c r="BH871" s="14"/>
      <c r="BI871" s="14"/>
      <c r="BJ871" s="14"/>
      <c r="BK871" s="14"/>
      <c r="BL871" s="14"/>
      <c r="BM871" s="14"/>
      <c r="BN871" s="14"/>
    </row>
    <row r="872" ht="22.5" customHeight="1">
      <c r="A872" s="493"/>
      <c r="B872" s="350"/>
      <c r="C872" s="351"/>
      <c r="D872" s="447"/>
      <c r="E872" s="494"/>
      <c r="F872" s="495"/>
      <c r="G872" s="434"/>
      <c r="H872" s="394"/>
      <c r="I872" s="394"/>
      <c r="J872" s="477"/>
      <c r="K872" s="479"/>
      <c r="L872" s="496"/>
      <c r="M872" s="496"/>
      <c r="N872" s="360"/>
      <c r="O872" s="497"/>
      <c r="P872" s="362"/>
      <c r="Q872" s="387"/>
      <c r="R872" s="387"/>
      <c r="S872" s="439"/>
      <c r="T872" s="439"/>
      <c r="U872" s="498"/>
      <c r="V872" s="430"/>
      <c r="W872" s="382"/>
      <c r="X872" s="366"/>
      <c r="Y872" s="366"/>
      <c r="Z872" s="367"/>
      <c r="AA872" s="367"/>
      <c r="AB872" s="13"/>
      <c r="AC872" s="13"/>
      <c r="AD872" s="13"/>
      <c r="AE872" s="13"/>
      <c r="AF872" s="13"/>
      <c r="AG872" s="13"/>
      <c r="AH872" s="13"/>
      <c r="AI872" s="13"/>
      <c r="AJ872" s="13"/>
      <c r="AK872" s="13"/>
      <c r="AL872" s="13"/>
      <c r="AM872" s="14"/>
      <c r="AN872" s="14"/>
      <c r="AO872" s="14"/>
      <c r="AP872" s="14"/>
      <c r="AQ872" s="14"/>
      <c r="AR872" s="14"/>
      <c r="AS872" s="14"/>
      <c r="AT872" s="14"/>
      <c r="AU872" s="14"/>
      <c r="AV872" s="14"/>
      <c r="AW872" s="14"/>
      <c r="AX872" s="14"/>
      <c r="AY872" s="14"/>
      <c r="AZ872" s="14"/>
      <c r="BA872" s="14"/>
      <c r="BB872" s="14"/>
      <c r="BC872" s="14"/>
      <c r="BD872" s="14"/>
      <c r="BE872" s="14"/>
      <c r="BF872" s="14"/>
      <c r="BG872" s="14"/>
      <c r="BH872" s="14"/>
      <c r="BI872" s="14"/>
      <c r="BJ872" s="14"/>
      <c r="BK872" s="14"/>
      <c r="BL872" s="14"/>
      <c r="BM872" s="14"/>
      <c r="BN872" s="14"/>
    </row>
    <row r="873" ht="22.5" customHeight="1">
      <c r="A873" s="493"/>
      <c r="B873" s="350"/>
      <c r="C873" s="351"/>
      <c r="D873" s="447"/>
      <c r="E873" s="494"/>
      <c r="F873" s="495"/>
      <c r="G873" s="434"/>
      <c r="H873" s="394"/>
      <c r="I873" s="394"/>
      <c r="J873" s="477"/>
      <c r="K873" s="479"/>
      <c r="L873" s="496"/>
      <c r="M873" s="496"/>
      <c r="N873" s="360"/>
      <c r="O873" s="497"/>
      <c r="P873" s="362"/>
      <c r="Q873" s="387"/>
      <c r="R873" s="387"/>
      <c r="S873" s="439"/>
      <c r="T873" s="439"/>
      <c r="U873" s="498"/>
      <c r="V873" s="430"/>
      <c r="W873" s="382"/>
      <c r="X873" s="366"/>
      <c r="Y873" s="366"/>
      <c r="Z873" s="367"/>
      <c r="AA873" s="367"/>
      <c r="AB873" s="13"/>
      <c r="AC873" s="13"/>
      <c r="AD873" s="13"/>
      <c r="AE873" s="13"/>
      <c r="AF873" s="13"/>
      <c r="AG873" s="13"/>
      <c r="AH873" s="13"/>
      <c r="AI873" s="13"/>
      <c r="AJ873" s="13"/>
      <c r="AK873" s="13"/>
      <c r="AL873" s="13"/>
      <c r="AM873" s="14"/>
      <c r="AN873" s="14"/>
      <c r="AO873" s="14"/>
      <c r="AP873" s="14"/>
      <c r="AQ873" s="14"/>
      <c r="AR873" s="14"/>
      <c r="AS873" s="14"/>
      <c r="AT873" s="14"/>
      <c r="AU873" s="14"/>
      <c r="AV873" s="14"/>
      <c r="AW873" s="14"/>
      <c r="AX873" s="14"/>
      <c r="AY873" s="14"/>
      <c r="AZ873" s="14"/>
      <c r="BA873" s="14"/>
      <c r="BB873" s="14"/>
      <c r="BC873" s="14"/>
      <c r="BD873" s="14"/>
      <c r="BE873" s="14"/>
      <c r="BF873" s="14"/>
      <c r="BG873" s="14"/>
      <c r="BH873" s="14"/>
      <c r="BI873" s="14"/>
      <c r="BJ873" s="14"/>
      <c r="BK873" s="14"/>
      <c r="BL873" s="14"/>
      <c r="BM873" s="14"/>
      <c r="BN873" s="14"/>
    </row>
    <row r="874" ht="22.5" customHeight="1">
      <c r="A874" s="493"/>
      <c r="B874" s="350"/>
      <c r="C874" s="351"/>
      <c r="D874" s="447"/>
      <c r="E874" s="494"/>
      <c r="F874" s="495"/>
      <c r="G874" s="434"/>
      <c r="H874" s="394"/>
      <c r="I874" s="394"/>
      <c r="J874" s="477"/>
      <c r="K874" s="479"/>
      <c r="L874" s="496"/>
      <c r="M874" s="496"/>
      <c r="N874" s="360"/>
      <c r="O874" s="497"/>
      <c r="P874" s="362"/>
      <c r="Q874" s="387"/>
      <c r="R874" s="387"/>
      <c r="S874" s="439"/>
      <c r="T874" s="439"/>
      <c r="U874" s="498"/>
      <c r="V874" s="430"/>
      <c r="W874" s="382"/>
      <c r="X874" s="366"/>
      <c r="Y874" s="366"/>
      <c r="Z874" s="367"/>
      <c r="AA874" s="367"/>
      <c r="AB874" s="13"/>
      <c r="AC874" s="13"/>
      <c r="AD874" s="13"/>
      <c r="AE874" s="13"/>
      <c r="AF874" s="13"/>
      <c r="AG874" s="13"/>
      <c r="AH874" s="13"/>
      <c r="AI874" s="13"/>
      <c r="AJ874" s="13"/>
      <c r="AK874" s="13"/>
      <c r="AL874" s="13"/>
      <c r="AM874" s="14"/>
      <c r="AN874" s="14"/>
      <c r="AO874" s="14"/>
      <c r="AP874" s="14"/>
      <c r="AQ874" s="14"/>
      <c r="AR874" s="14"/>
      <c r="AS874" s="14"/>
      <c r="AT874" s="14"/>
      <c r="AU874" s="14"/>
      <c r="AV874" s="14"/>
      <c r="AW874" s="14"/>
      <c r="AX874" s="14"/>
      <c r="AY874" s="14"/>
      <c r="AZ874" s="14"/>
      <c r="BA874" s="14"/>
      <c r="BB874" s="14"/>
      <c r="BC874" s="14"/>
      <c r="BD874" s="14"/>
      <c r="BE874" s="14"/>
      <c r="BF874" s="14"/>
      <c r="BG874" s="14"/>
      <c r="BH874" s="14"/>
      <c r="BI874" s="14"/>
      <c r="BJ874" s="14"/>
      <c r="BK874" s="14"/>
      <c r="BL874" s="14"/>
      <c r="BM874" s="14"/>
      <c r="BN874" s="14"/>
    </row>
    <row r="875" ht="22.5" customHeight="1">
      <c r="A875" s="493"/>
      <c r="B875" s="350"/>
      <c r="C875" s="351"/>
      <c r="D875" s="447"/>
      <c r="E875" s="494"/>
      <c r="F875" s="495"/>
      <c r="G875" s="434"/>
      <c r="H875" s="394"/>
      <c r="I875" s="394"/>
      <c r="J875" s="477"/>
      <c r="K875" s="479"/>
      <c r="L875" s="496"/>
      <c r="M875" s="496"/>
      <c r="N875" s="360"/>
      <c r="O875" s="497"/>
      <c r="P875" s="362"/>
      <c r="Q875" s="387"/>
      <c r="R875" s="387"/>
      <c r="S875" s="439"/>
      <c r="T875" s="439"/>
      <c r="U875" s="498"/>
      <c r="V875" s="430"/>
      <c r="W875" s="382"/>
      <c r="X875" s="366"/>
      <c r="Y875" s="366"/>
      <c r="Z875" s="367"/>
      <c r="AA875" s="367"/>
      <c r="AB875" s="13"/>
      <c r="AC875" s="13"/>
      <c r="AD875" s="13"/>
      <c r="AE875" s="13"/>
      <c r="AF875" s="13"/>
      <c r="AG875" s="13"/>
      <c r="AH875" s="13"/>
      <c r="AI875" s="13"/>
      <c r="AJ875" s="13"/>
      <c r="AK875" s="13"/>
      <c r="AL875" s="13"/>
      <c r="AM875" s="14"/>
      <c r="AN875" s="14"/>
      <c r="AO875" s="14"/>
      <c r="AP875" s="14"/>
      <c r="AQ875" s="14"/>
      <c r="AR875" s="14"/>
      <c r="AS875" s="14"/>
      <c r="AT875" s="14"/>
      <c r="AU875" s="14"/>
      <c r="AV875" s="14"/>
      <c r="AW875" s="14"/>
      <c r="AX875" s="14"/>
      <c r="AY875" s="14"/>
      <c r="AZ875" s="14"/>
      <c r="BA875" s="14"/>
      <c r="BB875" s="14"/>
      <c r="BC875" s="14"/>
      <c r="BD875" s="14"/>
      <c r="BE875" s="14"/>
      <c r="BF875" s="14"/>
      <c r="BG875" s="14"/>
      <c r="BH875" s="14"/>
      <c r="BI875" s="14"/>
      <c r="BJ875" s="14"/>
      <c r="BK875" s="14"/>
      <c r="BL875" s="14"/>
      <c r="BM875" s="14"/>
      <c r="BN875" s="14"/>
    </row>
    <row r="876" ht="22.5" customHeight="1">
      <c r="A876" s="493"/>
      <c r="B876" s="350"/>
      <c r="C876" s="351"/>
      <c r="D876" s="447"/>
      <c r="E876" s="494"/>
      <c r="F876" s="495"/>
      <c r="G876" s="434"/>
      <c r="H876" s="394"/>
      <c r="I876" s="394"/>
      <c r="J876" s="477"/>
      <c r="K876" s="479"/>
      <c r="L876" s="496"/>
      <c r="M876" s="496"/>
      <c r="N876" s="360"/>
      <c r="O876" s="497"/>
      <c r="P876" s="362"/>
      <c r="Q876" s="387"/>
      <c r="R876" s="387"/>
      <c r="S876" s="439"/>
      <c r="T876" s="439"/>
      <c r="U876" s="498"/>
      <c r="V876" s="430"/>
      <c r="W876" s="382"/>
      <c r="X876" s="366"/>
      <c r="Y876" s="366"/>
      <c r="Z876" s="367"/>
      <c r="AA876" s="367"/>
      <c r="AB876" s="13"/>
      <c r="AC876" s="13"/>
      <c r="AD876" s="13"/>
      <c r="AE876" s="13"/>
      <c r="AF876" s="13"/>
      <c r="AG876" s="13"/>
      <c r="AH876" s="13"/>
      <c r="AI876" s="13"/>
      <c r="AJ876" s="13"/>
      <c r="AK876" s="13"/>
      <c r="AL876" s="13"/>
      <c r="AM876" s="14"/>
      <c r="AN876" s="14"/>
      <c r="AO876" s="14"/>
      <c r="AP876" s="14"/>
      <c r="AQ876" s="14"/>
      <c r="AR876" s="14"/>
      <c r="AS876" s="14"/>
      <c r="AT876" s="14"/>
      <c r="AU876" s="14"/>
      <c r="AV876" s="14"/>
      <c r="AW876" s="14"/>
      <c r="AX876" s="14"/>
      <c r="AY876" s="14"/>
      <c r="AZ876" s="14"/>
      <c r="BA876" s="14"/>
      <c r="BB876" s="14"/>
      <c r="BC876" s="14"/>
      <c r="BD876" s="14"/>
      <c r="BE876" s="14"/>
      <c r="BF876" s="14"/>
      <c r="BG876" s="14"/>
      <c r="BH876" s="14"/>
      <c r="BI876" s="14"/>
      <c r="BJ876" s="14"/>
      <c r="BK876" s="14"/>
      <c r="BL876" s="14"/>
      <c r="BM876" s="14"/>
      <c r="BN876" s="14"/>
    </row>
    <row r="877" ht="22.5" customHeight="1">
      <c r="A877" s="493"/>
      <c r="B877" s="350"/>
      <c r="C877" s="351"/>
      <c r="D877" s="447"/>
      <c r="E877" s="494"/>
      <c r="F877" s="495"/>
      <c r="G877" s="434"/>
      <c r="H877" s="394"/>
      <c r="I877" s="394"/>
      <c r="J877" s="477"/>
      <c r="K877" s="479"/>
      <c r="L877" s="496"/>
      <c r="M877" s="496"/>
      <c r="N877" s="360"/>
      <c r="O877" s="497"/>
      <c r="P877" s="362"/>
      <c r="Q877" s="387"/>
      <c r="R877" s="387"/>
      <c r="S877" s="439"/>
      <c r="T877" s="439"/>
      <c r="U877" s="498"/>
      <c r="V877" s="430"/>
      <c r="W877" s="382"/>
      <c r="X877" s="366"/>
      <c r="Y877" s="366"/>
      <c r="Z877" s="367"/>
      <c r="AA877" s="367"/>
      <c r="AB877" s="13"/>
      <c r="AC877" s="13"/>
      <c r="AD877" s="13"/>
      <c r="AE877" s="13"/>
      <c r="AF877" s="13"/>
      <c r="AG877" s="13"/>
      <c r="AH877" s="13"/>
      <c r="AI877" s="13"/>
      <c r="AJ877" s="13"/>
      <c r="AK877" s="13"/>
      <c r="AL877" s="13"/>
      <c r="AM877" s="14"/>
      <c r="AN877" s="14"/>
      <c r="AO877" s="14"/>
      <c r="AP877" s="14"/>
      <c r="AQ877" s="14"/>
      <c r="AR877" s="14"/>
      <c r="AS877" s="14"/>
      <c r="AT877" s="14"/>
      <c r="AU877" s="14"/>
      <c r="AV877" s="14"/>
      <c r="AW877" s="14"/>
      <c r="AX877" s="14"/>
      <c r="AY877" s="14"/>
      <c r="AZ877" s="14"/>
      <c r="BA877" s="14"/>
      <c r="BB877" s="14"/>
      <c r="BC877" s="14"/>
      <c r="BD877" s="14"/>
      <c r="BE877" s="14"/>
      <c r="BF877" s="14"/>
      <c r="BG877" s="14"/>
      <c r="BH877" s="14"/>
      <c r="BI877" s="14"/>
      <c r="BJ877" s="14"/>
      <c r="BK877" s="14"/>
      <c r="BL877" s="14"/>
      <c r="BM877" s="14"/>
      <c r="BN877" s="14"/>
    </row>
    <row r="878" ht="22.5" customHeight="1">
      <c r="A878" s="493"/>
      <c r="B878" s="350"/>
      <c r="C878" s="351"/>
      <c r="D878" s="447"/>
      <c r="E878" s="494"/>
      <c r="F878" s="495"/>
      <c r="G878" s="434"/>
      <c r="H878" s="394"/>
      <c r="I878" s="394"/>
      <c r="J878" s="477"/>
      <c r="K878" s="479"/>
      <c r="L878" s="496"/>
      <c r="M878" s="496"/>
      <c r="N878" s="360"/>
      <c r="O878" s="497"/>
      <c r="P878" s="362"/>
      <c r="Q878" s="387"/>
      <c r="R878" s="387"/>
      <c r="S878" s="439"/>
      <c r="T878" s="439"/>
      <c r="U878" s="498"/>
      <c r="V878" s="430"/>
      <c r="W878" s="382"/>
      <c r="X878" s="366"/>
      <c r="Y878" s="366"/>
      <c r="Z878" s="367"/>
      <c r="AA878" s="367"/>
      <c r="AB878" s="13"/>
      <c r="AC878" s="13"/>
      <c r="AD878" s="13"/>
      <c r="AE878" s="13"/>
      <c r="AF878" s="13"/>
      <c r="AG878" s="13"/>
      <c r="AH878" s="13"/>
      <c r="AI878" s="13"/>
      <c r="AJ878" s="13"/>
      <c r="AK878" s="13"/>
      <c r="AL878" s="13"/>
      <c r="AM878" s="14"/>
      <c r="AN878" s="14"/>
      <c r="AO878" s="14"/>
      <c r="AP878" s="14"/>
      <c r="AQ878" s="14"/>
      <c r="AR878" s="14"/>
      <c r="AS878" s="14"/>
      <c r="AT878" s="14"/>
      <c r="AU878" s="14"/>
      <c r="AV878" s="14"/>
      <c r="AW878" s="14"/>
      <c r="AX878" s="14"/>
      <c r="AY878" s="14"/>
      <c r="AZ878" s="14"/>
      <c r="BA878" s="14"/>
      <c r="BB878" s="14"/>
      <c r="BC878" s="14"/>
      <c r="BD878" s="14"/>
      <c r="BE878" s="14"/>
      <c r="BF878" s="14"/>
      <c r="BG878" s="14"/>
      <c r="BH878" s="14"/>
      <c r="BI878" s="14"/>
      <c r="BJ878" s="14"/>
      <c r="BK878" s="14"/>
      <c r="BL878" s="14"/>
      <c r="BM878" s="14"/>
      <c r="BN878" s="14"/>
    </row>
    <row r="879" ht="22.5" customHeight="1">
      <c r="A879" s="493"/>
      <c r="B879" s="350"/>
      <c r="C879" s="351"/>
      <c r="D879" s="447"/>
      <c r="E879" s="494"/>
      <c r="F879" s="495"/>
      <c r="G879" s="434"/>
      <c r="H879" s="394"/>
      <c r="I879" s="394"/>
      <c r="J879" s="477"/>
      <c r="K879" s="479"/>
      <c r="L879" s="496"/>
      <c r="M879" s="496"/>
      <c r="N879" s="360"/>
      <c r="O879" s="497"/>
      <c r="P879" s="362"/>
      <c r="Q879" s="387"/>
      <c r="R879" s="387"/>
      <c r="S879" s="439"/>
      <c r="T879" s="439"/>
      <c r="U879" s="498"/>
      <c r="V879" s="430"/>
      <c r="W879" s="382"/>
      <c r="X879" s="366"/>
      <c r="Y879" s="366"/>
      <c r="Z879" s="367"/>
      <c r="AA879" s="367"/>
      <c r="AB879" s="13"/>
      <c r="AC879" s="13"/>
      <c r="AD879" s="13"/>
      <c r="AE879" s="13"/>
      <c r="AF879" s="13"/>
      <c r="AG879" s="13"/>
      <c r="AH879" s="13"/>
      <c r="AI879" s="13"/>
      <c r="AJ879" s="13"/>
      <c r="AK879" s="13"/>
      <c r="AL879" s="13"/>
      <c r="AM879" s="14"/>
      <c r="AN879" s="14"/>
      <c r="AO879" s="14"/>
      <c r="AP879" s="14"/>
      <c r="AQ879" s="14"/>
      <c r="AR879" s="14"/>
      <c r="AS879" s="14"/>
      <c r="AT879" s="14"/>
      <c r="AU879" s="14"/>
      <c r="AV879" s="14"/>
      <c r="AW879" s="14"/>
      <c r="AX879" s="14"/>
      <c r="AY879" s="14"/>
      <c r="AZ879" s="14"/>
      <c r="BA879" s="14"/>
      <c r="BB879" s="14"/>
      <c r="BC879" s="14"/>
      <c r="BD879" s="14"/>
      <c r="BE879" s="14"/>
      <c r="BF879" s="14"/>
      <c r="BG879" s="14"/>
      <c r="BH879" s="14"/>
      <c r="BI879" s="14"/>
      <c r="BJ879" s="14"/>
      <c r="BK879" s="14"/>
      <c r="BL879" s="14"/>
      <c r="BM879" s="14"/>
      <c r="BN879" s="14"/>
    </row>
    <row r="880" ht="22.5" customHeight="1">
      <c r="A880" s="493"/>
      <c r="B880" s="350"/>
      <c r="C880" s="351"/>
      <c r="D880" s="447"/>
      <c r="E880" s="494"/>
      <c r="F880" s="495"/>
      <c r="G880" s="434"/>
      <c r="H880" s="394"/>
      <c r="I880" s="394"/>
      <c r="J880" s="477"/>
      <c r="K880" s="479"/>
      <c r="L880" s="496"/>
      <c r="M880" s="496"/>
      <c r="N880" s="360"/>
      <c r="O880" s="497"/>
      <c r="P880" s="362"/>
      <c r="Q880" s="387"/>
      <c r="R880" s="387"/>
      <c r="S880" s="439"/>
      <c r="T880" s="439"/>
      <c r="U880" s="498"/>
      <c r="V880" s="430"/>
      <c r="W880" s="382"/>
      <c r="X880" s="366"/>
      <c r="Y880" s="366"/>
      <c r="Z880" s="367"/>
      <c r="AA880" s="367"/>
      <c r="AB880" s="13"/>
      <c r="AC880" s="13"/>
      <c r="AD880" s="13"/>
      <c r="AE880" s="13"/>
      <c r="AF880" s="13"/>
      <c r="AG880" s="13"/>
      <c r="AH880" s="13"/>
      <c r="AI880" s="13"/>
      <c r="AJ880" s="13"/>
      <c r="AK880" s="13"/>
      <c r="AL880" s="13"/>
      <c r="AM880" s="14"/>
      <c r="AN880" s="14"/>
      <c r="AO880" s="14"/>
      <c r="AP880" s="14"/>
      <c r="AQ880" s="14"/>
      <c r="AR880" s="14"/>
      <c r="AS880" s="14"/>
      <c r="AT880" s="14"/>
      <c r="AU880" s="14"/>
      <c r="AV880" s="14"/>
      <c r="AW880" s="14"/>
      <c r="AX880" s="14"/>
      <c r="AY880" s="14"/>
      <c r="AZ880" s="14"/>
      <c r="BA880" s="14"/>
      <c r="BB880" s="14"/>
      <c r="BC880" s="14"/>
      <c r="BD880" s="14"/>
      <c r="BE880" s="14"/>
      <c r="BF880" s="14"/>
      <c r="BG880" s="14"/>
      <c r="BH880" s="14"/>
      <c r="BI880" s="14"/>
      <c r="BJ880" s="14"/>
      <c r="BK880" s="14"/>
      <c r="BL880" s="14"/>
      <c r="BM880" s="14"/>
      <c r="BN880" s="14"/>
    </row>
    <row r="881" ht="22.5" customHeight="1">
      <c r="A881" s="493"/>
      <c r="B881" s="350"/>
      <c r="C881" s="351"/>
      <c r="D881" s="447"/>
      <c r="E881" s="494"/>
      <c r="F881" s="495"/>
      <c r="G881" s="434"/>
      <c r="H881" s="394"/>
      <c r="I881" s="394"/>
      <c r="J881" s="477"/>
      <c r="K881" s="479"/>
      <c r="L881" s="496"/>
      <c r="M881" s="496"/>
      <c r="N881" s="360"/>
      <c r="O881" s="497"/>
      <c r="P881" s="362"/>
      <c r="Q881" s="387"/>
      <c r="R881" s="387"/>
      <c r="S881" s="439"/>
      <c r="T881" s="439"/>
      <c r="U881" s="498"/>
      <c r="V881" s="430"/>
      <c r="W881" s="382"/>
      <c r="X881" s="366"/>
      <c r="Y881" s="366"/>
      <c r="Z881" s="367"/>
      <c r="AA881" s="367"/>
      <c r="AB881" s="13"/>
      <c r="AC881" s="13"/>
      <c r="AD881" s="13"/>
      <c r="AE881" s="13"/>
      <c r="AF881" s="13"/>
      <c r="AG881" s="13"/>
      <c r="AH881" s="13"/>
      <c r="AI881" s="13"/>
      <c r="AJ881" s="13"/>
      <c r="AK881" s="13"/>
      <c r="AL881" s="13"/>
      <c r="AM881" s="14"/>
      <c r="AN881" s="14"/>
      <c r="AO881" s="14"/>
      <c r="AP881" s="14"/>
      <c r="AQ881" s="14"/>
      <c r="AR881" s="14"/>
      <c r="AS881" s="14"/>
      <c r="AT881" s="14"/>
      <c r="AU881" s="14"/>
      <c r="AV881" s="14"/>
      <c r="AW881" s="14"/>
      <c r="AX881" s="14"/>
      <c r="AY881" s="14"/>
      <c r="AZ881" s="14"/>
      <c r="BA881" s="14"/>
      <c r="BB881" s="14"/>
      <c r="BC881" s="14"/>
      <c r="BD881" s="14"/>
      <c r="BE881" s="14"/>
      <c r="BF881" s="14"/>
      <c r="BG881" s="14"/>
      <c r="BH881" s="14"/>
      <c r="BI881" s="14"/>
      <c r="BJ881" s="14"/>
      <c r="BK881" s="14"/>
      <c r="BL881" s="14"/>
      <c r="BM881" s="14"/>
      <c r="BN881" s="14"/>
    </row>
    <row r="882" ht="22.5" customHeight="1">
      <c r="A882" s="493"/>
      <c r="B882" s="350"/>
      <c r="C882" s="351"/>
      <c r="D882" s="447"/>
      <c r="E882" s="494"/>
      <c r="F882" s="495"/>
      <c r="G882" s="434"/>
      <c r="H882" s="394"/>
      <c r="I882" s="394"/>
      <c r="J882" s="477"/>
      <c r="K882" s="479"/>
      <c r="L882" s="496"/>
      <c r="M882" s="496"/>
      <c r="N882" s="360"/>
      <c r="O882" s="497"/>
      <c r="P882" s="362"/>
      <c r="Q882" s="387"/>
      <c r="R882" s="387"/>
      <c r="S882" s="439"/>
      <c r="T882" s="439"/>
      <c r="U882" s="498"/>
      <c r="V882" s="430"/>
      <c r="W882" s="382"/>
      <c r="X882" s="366"/>
      <c r="Y882" s="366"/>
      <c r="Z882" s="367"/>
      <c r="AA882" s="367"/>
      <c r="AB882" s="13"/>
      <c r="AC882" s="13"/>
      <c r="AD882" s="13"/>
      <c r="AE882" s="13"/>
      <c r="AF882" s="13"/>
      <c r="AG882" s="13"/>
      <c r="AH882" s="13"/>
      <c r="AI882" s="13"/>
      <c r="AJ882" s="13"/>
      <c r="AK882" s="13"/>
      <c r="AL882" s="13"/>
      <c r="AM882" s="14"/>
      <c r="AN882" s="14"/>
      <c r="AO882" s="14"/>
      <c r="AP882" s="14"/>
      <c r="AQ882" s="14"/>
      <c r="AR882" s="14"/>
      <c r="AS882" s="14"/>
      <c r="AT882" s="14"/>
      <c r="AU882" s="14"/>
      <c r="AV882" s="14"/>
      <c r="AW882" s="14"/>
      <c r="AX882" s="14"/>
      <c r="AY882" s="14"/>
      <c r="AZ882" s="14"/>
      <c r="BA882" s="14"/>
      <c r="BB882" s="14"/>
      <c r="BC882" s="14"/>
      <c r="BD882" s="14"/>
      <c r="BE882" s="14"/>
      <c r="BF882" s="14"/>
      <c r="BG882" s="14"/>
      <c r="BH882" s="14"/>
      <c r="BI882" s="14"/>
      <c r="BJ882" s="14"/>
      <c r="BK882" s="14"/>
      <c r="BL882" s="14"/>
      <c r="BM882" s="14"/>
      <c r="BN882" s="14"/>
    </row>
    <row r="883" ht="22.5" customHeight="1">
      <c r="A883" s="493"/>
      <c r="B883" s="350"/>
      <c r="C883" s="351"/>
      <c r="D883" s="447"/>
      <c r="E883" s="494"/>
      <c r="F883" s="495"/>
      <c r="G883" s="434"/>
      <c r="H883" s="394"/>
      <c r="I883" s="394"/>
      <c r="J883" s="477"/>
      <c r="K883" s="479"/>
      <c r="L883" s="496"/>
      <c r="M883" s="496"/>
      <c r="N883" s="360"/>
      <c r="O883" s="497"/>
      <c r="P883" s="362"/>
      <c r="Q883" s="387"/>
      <c r="R883" s="387"/>
      <c r="S883" s="439"/>
      <c r="T883" s="439"/>
      <c r="U883" s="498"/>
      <c r="V883" s="430"/>
      <c r="W883" s="382"/>
      <c r="X883" s="366"/>
      <c r="Y883" s="366"/>
      <c r="Z883" s="367"/>
      <c r="AA883" s="367"/>
      <c r="AB883" s="13"/>
      <c r="AC883" s="13"/>
      <c r="AD883" s="13"/>
      <c r="AE883" s="13"/>
      <c r="AF883" s="13"/>
      <c r="AG883" s="13"/>
      <c r="AH883" s="13"/>
      <c r="AI883" s="13"/>
      <c r="AJ883" s="13"/>
      <c r="AK883" s="13"/>
      <c r="AL883" s="13"/>
      <c r="AM883" s="14"/>
      <c r="AN883" s="14"/>
      <c r="AO883" s="14"/>
      <c r="AP883" s="14"/>
      <c r="AQ883" s="14"/>
      <c r="AR883" s="14"/>
      <c r="AS883" s="14"/>
      <c r="AT883" s="14"/>
      <c r="AU883" s="14"/>
      <c r="AV883" s="14"/>
      <c r="AW883" s="14"/>
      <c r="AX883" s="14"/>
      <c r="AY883" s="14"/>
      <c r="AZ883" s="14"/>
      <c r="BA883" s="14"/>
      <c r="BB883" s="14"/>
      <c r="BC883" s="14"/>
      <c r="BD883" s="14"/>
      <c r="BE883" s="14"/>
      <c r="BF883" s="14"/>
      <c r="BG883" s="14"/>
      <c r="BH883" s="14"/>
      <c r="BI883" s="14"/>
      <c r="BJ883" s="14"/>
      <c r="BK883" s="14"/>
      <c r="BL883" s="14"/>
      <c r="BM883" s="14"/>
      <c r="BN883" s="14"/>
    </row>
    <row r="884" ht="22.5" customHeight="1">
      <c r="A884" s="493"/>
      <c r="B884" s="350"/>
      <c r="C884" s="351"/>
      <c r="D884" s="447"/>
      <c r="E884" s="494"/>
      <c r="F884" s="495"/>
      <c r="G884" s="434"/>
      <c r="H884" s="394"/>
      <c r="I884" s="394"/>
      <c r="J884" s="477"/>
      <c r="K884" s="479"/>
      <c r="L884" s="496"/>
      <c r="M884" s="496"/>
      <c r="N884" s="360"/>
      <c r="O884" s="497"/>
      <c r="P884" s="362"/>
      <c r="Q884" s="387"/>
      <c r="R884" s="387"/>
      <c r="S884" s="439"/>
      <c r="T884" s="439"/>
      <c r="U884" s="498"/>
      <c r="V884" s="430"/>
      <c r="W884" s="382"/>
      <c r="X884" s="366"/>
      <c r="Y884" s="366"/>
      <c r="Z884" s="367"/>
      <c r="AA884" s="367"/>
      <c r="AB884" s="13"/>
      <c r="AC884" s="13"/>
      <c r="AD884" s="13"/>
      <c r="AE884" s="13"/>
      <c r="AF884" s="13"/>
      <c r="AG884" s="13"/>
      <c r="AH884" s="13"/>
      <c r="AI884" s="13"/>
      <c r="AJ884" s="13"/>
      <c r="AK884" s="13"/>
      <c r="AL884" s="13"/>
      <c r="AM884" s="14"/>
      <c r="AN884" s="14"/>
      <c r="AO884" s="14"/>
      <c r="AP884" s="14"/>
      <c r="AQ884" s="14"/>
      <c r="AR884" s="14"/>
      <c r="AS884" s="14"/>
      <c r="AT884" s="14"/>
      <c r="AU884" s="14"/>
      <c r="AV884" s="14"/>
      <c r="AW884" s="14"/>
      <c r="AX884" s="14"/>
      <c r="AY884" s="14"/>
      <c r="AZ884" s="14"/>
      <c r="BA884" s="14"/>
      <c r="BB884" s="14"/>
      <c r="BC884" s="14"/>
      <c r="BD884" s="14"/>
      <c r="BE884" s="14"/>
      <c r="BF884" s="14"/>
      <c r="BG884" s="14"/>
      <c r="BH884" s="14"/>
      <c r="BI884" s="14"/>
      <c r="BJ884" s="14"/>
      <c r="BK884" s="14"/>
      <c r="BL884" s="14"/>
      <c r="BM884" s="14"/>
      <c r="BN884" s="14"/>
    </row>
    <row r="885" ht="22.5" customHeight="1">
      <c r="A885" s="493"/>
      <c r="B885" s="350"/>
      <c r="C885" s="351"/>
      <c r="D885" s="447"/>
      <c r="E885" s="494"/>
      <c r="F885" s="495"/>
      <c r="G885" s="434"/>
      <c r="H885" s="394"/>
      <c r="I885" s="394"/>
      <c r="J885" s="477"/>
      <c r="K885" s="479"/>
      <c r="L885" s="496"/>
      <c r="M885" s="496"/>
      <c r="N885" s="360"/>
      <c r="O885" s="497"/>
      <c r="P885" s="362"/>
      <c r="Q885" s="387"/>
      <c r="R885" s="387"/>
      <c r="S885" s="439"/>
      <c r="T885" s="439"/>
      <c r="U885" s="498"/>
      <c r="V885" s="430"/>
      <c r="W885" s="382"/>
      <c r="X885" s="366"/>
      <c r="Y885" s="366"/>
      <c r="Z885" s="367"/>
      <c r="AA885" s="367"/>
      <c r="AB885" s="13"/>
      <c r="AC885" s="13"/>
      <c r="AD885" s="13"/>
      <c r="AE885" s="13"/>
      <c r="AF885" s="13"/>
      <c r="AG885" s="13"/>
      <c r="AH885" s="13"/>
      <c r="AI885" s="13"/>
      <c r="AJ885" s="13"/>
      <c r="AK885" s="13"/>
      <c r="AL885" s="13"/>
      <c r="AM885" s="14"/>
      <c r="AN885" s="14"/>
      <c r="AO885" s="14"/>
      <c r="AP885" s="14"/>
      <c r="AQ885" s="14"/>
      <c r="AR885" s="14"/>
      <c r="AS885" s="14"/>
      <c r="AT885" s="14"/>
      <c r="AU885" s="14"/>
      <c r="AV885" s="14"/>
      <c r="AW885" s="14"/>
      <c r="AX885" s="14"/>
      <c r="AY885" s="14"/>
      <c r="AZ885" s="14"/>
      <c r="BA885" s="14"/>
      <c r="BB885" s="14"/>
      <c r="BC885" s="14"/>
      <c r="BD885" s="14"/>
      <c r="BE885" s="14"/>
      <c r="BF885" s="14"/>
      <c r="BG885" s="14"/>
      <c r="BH885" s="14"/>
      <c r="BI885" s="14"/>
      <c r="BJ885" s="14"/>
      <c r="BK885" s="14"/>
      <c r="BL885" s="14"/>
      <c r="BM885" s="14"/>
      <c r="BN885" s="14"/>
    </row>
    <row r="886" ht="22.5" customHeight="1">
      <c r="A886" s="493"/>
      <c r="B886" s="350"/>
      <c r="C886" s="351"/>
      <c r="D886" s="447"/>
      <c r="E886" s="494"/>
      <c r="F886" s="495"/>
      <c r="G886" s="434"/>
      <c r="H886" s="394"/>
      <c r="I886" s="394"/>
      <c r="J886" s="477"/>
      <c r="K886" s="479"/>
      <c r="L886" s="496"/>
      <c r="M886" s="496"/>
      <c r="N886" s="360"/>
      <c r="O886" s="497"/>
      <c r="P886" s="362"/>
      <c r="Q886" s="387"/>
      <c r="R886" s="387"/>
      <c r="S886" s="439"/>
      <c r="T886" s="439"/>
      <c r="U886" s="498"/>
      <c r="V886" s="430"/>
      <c r="W886" s="382"/>
      <c r="X886" s="366"/>
      <c r="Y886" s="366"/>
      <c r="Z886" s="367"/>
      <c r="AA886" s="367"/>
      <c r="AB886" s="13"/>
      <c r="AC886" s="13"/>
      <c r="AD886" s="13"/>
      <c r="AE886" s="13"/>
      <c r="AF886" s="13"/>
      <c r="AG886" s="13"/>
      <c r="AH886" s="13"/>
      <c r="AI886" s="13"/>
      <c r="AJ886" s="13"/>
      <c r="AK886" s="13"/>
      <c r="AL886" s="13"/>
      <c r="AM886" s="14"/>
      <c r="AN886" s="14"/>
      <c r="AO886" s="14"/>
      <c r="AP886" s="14"/>
      <c r="AQ886" s="14"/>
      <c r="AR886" s="14"/>
      <c r="AS886" s="14"/>
      <c r="AT886" s="14"/>
      <c r="AU886" s="14"/>
      <c r="AV886" s="14"/>
      <c r="AW886" s="14"/>
      <c r="AX886" s="14"/>
      <c r="AY886" s="14"/>
      <c r="AZ886" s="14"/>
      <c r="BA886" s="14"/>
      <c r="BB886" s="14"/>
      <c r="BC886" s="14"/>
      <c r="BD886" s="14"/>
      <c r="BE886" s="14"/>
      <c r="BF886" s="14"/>
      <c r="BG886" s="14"/>
      <c r="BH886" s="14"/>
      <c r="BI886" s="14"/>
      <c r="BJ886" s="14"/>
      <c r="BK886" s="14"/>
      <c r="BL886" s="14"/>
      <c r="BM886" s="14"/>
      <c r="BN886" s="14"/>
    </row>
    <row r="887" ht="22.5" customHeight="1">
      <c r="A887" s="493"/>
      <c r="B887" s="350"/>
      <c r="C887" s="351"/>
      <c r="D887" s="447"/>
      <c r="E887" s="494"/>
      <c r="F887" s="495"/>
      <c r="G887" s="434"/>
      <c r="H887" s="394"/>
      <c r="I887" s="394"/>
      <c r="J887" s="477"/>
      <c r="K887" s="479"/>
      <c r="L887" s="496"/>
      <c r="M887" s="496"/>
      <c r="N887" s="360"/>
      <c r="O887" s="497"/>
      <c r="P887" s="362"/>
      <c r="Q887" s="387"/>
      <c r="R887" s="387"/>
      <c r="S887" s="439"/>
      <c r="T887" s="439"/>
      <c r="U887" s="498"/>
      <c r="V887" s="430"/>
      <c r="W887" s="382"/>
      <c r="X887" s="366"/>
      <c r="Y887" s="366"/>
      <c r="Z887" s="367"/>
      <c r="AA887" s="367"/>
      <c r="AB887" s="13"/>
      <c r="AC887" s="13"/>
      <c r="AD887" s="13"/>
      <c r="AE887" s="13"/>
      <c r="AF887" s="13"/>
      <c r="AG887" s="13"/>
      <c r="AH887" s="13"/>
      <c r="AI887" s="13"/>
      <c r="AJ887" s="13"/>
      <c r="AK887" s="13"/>
      <c r="AL887" s="13"/>
      <c r="AM887" s="14"/>
      <c r="AN887" s="14"/>
      <c r="AO887" s="14"/>
      <c r="AP887" s="14"/>
      <c r="AQ887" s="14"/>
      <c r="AR887" s="14"/>
      <c r="AS887" s="14"/>
      <c r="AT887" s="14"/>
      <c r="AU887" s="14"/>
      <c r="AV887" s="14"/>
      <c r="AW887" s="14"/>
      <c r="AX887" s="14"/>
      <c r="AY887" s="14"/>
      <c r="AZ887" s="14"/>
      <c r="BA887" s="14"/>
      <c r="BB887" s="14"/>
      <c r="BC887" s="14"/>
      <c r="BD887" s="14"/>
      <c r="BE887" s="14"/>
      <c r="BF887" s="14"/>
      <c r="BG887" s="14"/>
      <c r="BH887" s="14"/>
      <c r="BI887" s="14"/>
      <c r="BJ887" s="14"/>
      <c r="BK887" s="14"/>
      <c r="BL887" s="14"/>
      <c r="BM887" s="14"/>
      <c r="BN887" s="14"/>
    </row>
    <row r="888" ht="22.5" customHeight="1">
      <c r="A888" s="493"/>
      <c r="B888" s="350"/>
      <c r="C888" s="351"/>
      <c r="D888" s="447"/>
      <c r="E888" s="494"/>
      <c r="F888" s="495"/>
      <c r="G888" s="434"/>
      <c r="H888" s="394"/>
      <c r="I888" s="394"/>
      <c r="J888" s="477"/>
      <c r="K888" s="479"/>
      <c r="L888" s="496"/>
      <c r="M888" s="496"/>
      <c r="N888" s="360"/>
      <c r="O888" s="497"/>
      <c r="P888" s="362"/>
      <c r="Q888" s="387"/>
      <c r="R888" s="387"/>
      <c r="S888" s="439"/>
      <c r="T888" s="439"/>
      <c r="U888" s="498"/>
      <c r="V888" s="430"/>
      <c r="W888" s="382"/>
      <c r="X888" s="366"/>
      <c r="Y888" s="366"/>
      <c r="Z888" s="367"/>
      <c r="AA888" s="367"/>
      <c r="AB888" s="13"/>
      <c r="AC888" s="13"/>
      <c r="AD888" s="13"/>
      <c r="AE888" s="13"/>
      <c r="AF888" s="13"/>
      <c r="AG888" s="13"/>
      <c r="AH888" s="13"/>
      <c r="AI888" s="13"/>
      <c r="AJ888" s="13"/>
      <c r="AK888" s="13"/>
      <c r="AL888" s="13"/>
      <c r="AM888" s="14"/>
      <c r="AN888" s="14"/>
      <c r="AO888" s="14"/>
      <c r="AP888" s="14"/>
      <c r="AQ888" s="14"/>
      <c r="AR888" s="14"/>
      <c r="AS888" s="14"/>
      <c r="AT888" s="14"/>
      <c r="AU888" s="14"/>
      <c r="AV888" s="14"/>
      <c r="AW888" s="14"/>
      <c r="AX888" s="14"/>
      <c r="AY888" s="14"/>
      <c r="AZ888" s="14"/>
      <c r="BA888" s="14"/>
      <c r="BB888" s="14"/>
      <c r="BC888" s="14"/>
      <c r="BD888" s="14"/>
      <c r="BE888" s="14"/>
      <c r="BF888" s="14"/>
      <c r="BG888" s="14"/>
      <c r="BH888" s="14"/>
      <c r="BI888" s="14"/>
      <c r="BJ888" s="14"/>
      <c r="BK888" s="14"/>
      <c r="BL888" s="14"/>
      <c r="BM888" s="14"/>
      <c r="BN888" s="14"/>
    </row>
    <row r="889" ht="22.5" customHeight="1">
      <c r="A889" s="493"/>
      <c r="B889" s="350"/>
      <c r="C889" s="351"/>
      <c r="D889" s="447"/>
      <c r="E889" s="494"/>
      <c r="F889" s="495"/>
      <c r="G889" s="434"/>
      <c r="H889" s="394"/>
      <c r="I889" s="394"/>
      <c r="J889" s="477"/>
      <c r="K889" s="479"/>
      <c r="L889" s="496"/>
      <c r="M889" s="496"/>
      <c r="N889" s="360"/>
      <c r="O889" s="497"/>
      <c r="P889" s="362"/>
      <c r="Q889" s="387"/>
      <c r="R889" s="387"/>
      <c r="S889" s="439"/>
      <c r="T889" s="439"/>
      <c r="U889" s="498"/>
      <c r="V889" s="430"/>
      <c r="W889" s="382"/>
      <c r="X889" s="366"/>
      <c r="Y889" s="366"/>
      <c r="Z889" s="367"/>
      <c r="AA889" s="367"/>
      <c r="AB889" s="13"/>
      <c r="AC889" s="13"/>
      <c r="AD889" s="13"/>
      <c r="AE889" s="13"/>
      <c r="AF889" s="13"/>
      <c r="AG889" s="13"/>
      <c r="AH889" s="13"/>
      <c r="AI889" s="13"/>
      <c r="AJ889" s="13"/>
      <c r="AK889" s="13"/>
      <c r="AL889" s="13"/>
      <c r="AM889" s="14"/>
      <c r="AN889" s="14"/>
      <c r="AO889" s="14"/>
      <c r="AP889" s="14"/>
      <c r="AQ889" s="14"/>
      <c r="AR889" s="14"/>
      <c r="AS889" s="14"/>
      <c r="AT889" s="14"/>
      <c r="AU889" s="14"/>
      <c r="AV889" s="14"/>
      <c r="AW889" s="14"/>
      <c r="AX889" s="14"/>
      <c r="AY889" s="14"/>
      <c r="AZ889" s="14"/>
      <c r="BA889" s="14"/>
      <c r="BB889" s="14"/>
      <c r="BC889" s="14"/>
      <c r="BD889" s="14"/>
      <c r="BE889" s="14"/>
      <c r="BF889" s="14"/>
      <c r="BG889" s="14"/>
      <c r="BH889" s="14"/>
      <c r="BI889" s="14"/>
      <c r="BJ889" s="14"/>
      <c r="BK889" s="14"/>
      <c r="BL889" s="14"/>
      <c r="BM889" s="14"/>
      <c r="BN889" s="14"/>
    </row>
    <row r="890" ht="22.5" customHeight="1">
      <c r="A890" s="493"/>
      <c r="B890" s="350"/>
      <c r="C890" s="351"/>
      <c r="D890" s="447"/>
      <c r="E890" s="494"/>
      <c r="F890" s="495"/>
      <c r="G890" s="434"/>
      <c r="H890" s="394"/>
      <c r="I890" s="394"/>
      <c r="J890" s="477"/>
      <c r="K890" s="479"/>
      <c r="L890" s="496"/>
      <c r="M890" s="496"/>
      <c r="N890" s="360"/>
      <c r="O890" s="497"/>
      <c r="P890" s="362"/>
      <c r="Q890" s="387"/>
      <c r="R890" s="387"/>
      <c r="S890" s="439"/>
      <c r="T890" s="439"/>
      <c r="U890" s="498"/>
      <c r="V890" s="430"/>
      <c r="W890" s="382"/>
      <c r="X890" s="366"/>
      <c r="Y890" s="366"/>
      <c r="Z890" s="367"/>
      <c r="AA890" s="367"/>
      <c r="AB890" s="13"/>
      <c r="AC890" s="13"/>
      <c r="AD890" s="13"/>
      <c r="AE890" s="13"/>
      <c r="AF890" s="13"/>
      <c r="AG890" s="13"/>
      <c r="AH890" s="13"/>
      <c r="AI890" s="13"/>
      <c r="AJ890" s="13"/>
      <c r="AK890" s="13"/>
      <c r="AL890" s="13"/>
      <c r="AM890" s="14"/>
      <c r="AN890" s="14"/>
      <c r="AO890" s="14"/>
      <c r="AP890" s="14"/>
      <c r="AQ890" s="14"/>
      <c r="AR890" s="14"/>
      <c r="AS890" s="14"/>
      <c r="AT890" s="14"/>
      <c r="AU890" s="14"/>
      <c r="AV890" s="14"/>
      <c r="AW890" s="14"/>
      <c r="AX890" s="14"/>
      <c r="AY890" s="14"/>
      <c r="AZ890" s="14"/>
      <c r="BA890" s="14"/>
      <c r="BB890" s="14"/>
      <c r="BC890" s="14"/>
      <c r="BD890" s="14"/>
      <c r="BE890" s="14"/>
      <c r="BF890" s="14"/>
      <c r="BG890" s="14"/>
      <c r="BH890" s="14"/>
      <c r="BI890" s="14"/>
      <c r="BJ890" s="14"/>
      <c r="BK890" s="14"/>
      <c r="BL890" s="14"/>
      <c r="BM890" s="14"/>
      <c r="BN890" s="14"/>
    </row>
    <row r="891" ht="22.5" customHeight="1">
      <c r="A891" s="493"/>
      <c r="B891" s="350"/>
      <c r="C891" s="351"/>
      <c r="D891" s="447"/>
      <c r="E891" s="494"/>
      <c r="F891" s="495"/>
      <c r="G891" s="434"/>
      <c r="H891" s="394"/>
      <c r="I891" s="394"/>
      <c r="J891" s="477"/>
      <c r="K891" s="479"/>
      <c r="L891" s="496"/>
      <c r="M891" s="496"/>
      <c r="N891" s="360"/>
      <c r="O891" s="497"/>
      <c r="P891" s="362"/>
      <c r="Q891" s="387"/>
      <c r="R891" s="387"/>
      <c r="S891" s="439"/>
      <c r="T891" s="439"/>
      <c r="U891" s="498"/>
      <c r="V891" s="430"/>
      <c r="W891" s="382"/>
      <c r="X891" s="366"/>
      <c r="Y891" s="366"/>
      <c r="Z891" s="367"/>
      <c r="AA891" s="367"/>
      <c r="AB891" s="13"/>
      <c r="AC891" s="13"/>
      <c r="AD891" s="13"/>
      <c r="AE891" s="13"/>
      <c r="AF891" s="13"/>
      <c r="AG891" s="13"/>
      <c r="AH891" s="13"/>
      <c r="AI891" s="13"/>
      <c r="AJ891" s="13"/>
      <c r="AK891" s="13"/>
      <c r="AL891" s="13"/>
      <c r="AM891" s="14"/>
      <c r="AN891" s="14"/>
      <c r="AO891" s="14"/>
      <c r="AP891" s="14"/>
      <c r="AQ891" s="14"/>
      <c r="AR891" s="14"/>
      <c r="AS891" s="14"/>
      <c r="AT891" s="14"/>
      <c r="AU891" s="14"/>
      <c r="AV891" s="14"/>
      <c r="AW891" s="14"/>
      <c r="AX891" s="14"/>
      <c r="AY891" s="14"/>
      <c r="AZ891" s="14"/>
      <c r="BA891" s="14"/>
      <c r="BB891" s="14"/>
      <c r="BC891" s="14"/>
      <c r="BD891" s="14"/>
      <c r="BE891" s="14"/>
      <c r="BF891" s="14"/>
      <c r="BG891" s="14"/>
      <c r="BH891" s="14"/>
      <c r="BI891" s="14"/>
      <c r="BJ891" s="14"/>
      <c r="BK891" s="14"/>
      <c r="BL891" s="14"/>
      <c r="BM891" s="14"/>
      <c r="BN891" s="14"/>
    </row>
    <row r="892" ht="22.5" customHeight="1">
      <c r="A892" s="493"/>
      <c r="B892" s="350"/>
      <c r="C892" s="351"/>
      <c r="D892" s="447"/>
      <c r="E892" s="494"/>
      <c r="F892" s="495"/>
      <c r="G892" s="434"/>
      <c r="H892" s="394"/>
      <c r="I892" s="394"/>
      <c r="J892" s="477"/>
      <c r="K892" s="479"/>
      <c r="L892" s="496"/>
      <c r="M892" s="496"/>
      <c r="N892" s="360"/>
      <c r="O892" s="497"/>
      <c r="P892" s="362"/>
      <c r="Q892" s="387"/>
      <c r="R892" s="387"/>
      <c r="S892" s="439"/>
      <c r="T892" s="439"/>
      <c r="U892" s="498"/>
      <c r="V892" s="430"/>
      <c r="W892" s="382"/>
      <c r="X892" s="366"/>
      <c r="Y892" s="366"/>
      <c r="Z892" s="367"/>
      <c r="AA892" s="367"/>
      <c r="AB892" s="13"/>
      <c r="AC892" s="13"/>
      <c r="AD892" s="13"/>
      <c r="AE892" s="13"/>
      <c r="AF892" s="13"/>
      <c r="AG892" s="13"/>
      <c r="AH892" s="13"/>
      <c r="AI892" s="13"/>
      <c r="AJ892" s="13"/>
      <c r="AK892" s="13"/>
      <c r="AL892" s="13"/>
      <c r="AM892" s="14"/>
      <c r="AN892" s="14"/>
      <c r="AO892" s="14"/>
      <c r="AP892" s="14"/>
      <c r="AQ892" s="14"/>
      <c r="AR892" s="14"/>
      <c r="AS892" s="14"/>
      <c r="AT892" s="14"/>
      <c r="AU892" s="14"/>
      <c r="AV892" s="14"/>
      <c r="AW892" s="14"/>
      <c r="AX892" s="14"/>
      <c r="AY892" s="14"/>
      <c r="AZ892" s="14"/>
      <c r="BA892" s="14"/>
      <c r="BB892" s="14"/>
      <c r="BC892" s="14"/>
      <c r="BD892" s="14"/>
      <c r="BE892" s="14"/>
      <c r="BF892" s="14"/>
      <c r="BG892" s="14"/>
      <c r="BH892" s="14"/>
      <c r="BI892" s="14"/>
      <c r="BJ892" s="14"/>
      <c r="BK892" s="14"/>
      <c r="BL892" s="14"/>
      <c r="BM892" s="14"/>
      <c r="BN892" s="14"/>
    </row>
    <row r="893" ht="22.5" customHeight="1">
      <c r="A893" s="493"/>
      <c r="B893" s="350"/>
      <c r="C893" s="351"/>
      <c r="D893" s="447"/>
      <c r="E893" s="494"/>
      <c r="F893" s="495"/>
      <c r="G893" s="434"/>
      <c r="H893" s="394"/>
      <c r="I893" s="394"/>
      <c r="J893" s="477"/>
      <c r="K893" s="479"/>
      <c r="L893" s="496"/>
      <c r="M893" s="496"/>
      <c r="N893" s="360"/>
      <c r="O893" s="497"/>
      <c r="P893" s="362"/>
      <c r="Q893" s="387"/>
      <c r="R893" s="387"/>
      <c r="S893" s="439"/>
      <c r="T893" s="439"/>
      <c r="U893" s="498"/>
      <c r="V893" s="430"/>
      <c r="W893" s="382"/>
      <c r="X893" s="366"/>
      <c r="Y893" s="366"/>
      <c r="Z893" s="367"/>
      <c r="AA893" s="367"/>
      <c r="AB893" s="13"/>
      <c r="AC893" s="13"/>
      <c r="AD893" s="13"/>
      <c r="AE893" s="13"/>
      <c r="AF893" s="13"/>
      <c r="AG893" s="13"/>
      <c r="AH893" s="13"/>
      <c r="AI893" s="13"/>
      <c r="AJ893" s="13"/>
      <c r="AK893" s="13"/>
      <c r="AL893" s="13"/>
      <c r="AM893" s="14"/>
      <c r="AN893" s="14"/>
      <c r="AO893" s="14"/>
      <c r="AP893" s="14"/>
      <c r="AQ893" s="14"/>
      <c r="AR893" s="14"/>
      <c r="AS893" s="14"/>
      <c r="AT893" s="14"/>
      <c r="AU893" s="14"/>
      <c r="AV893" s="14"/>
      <c r="AW893" s="14"/>
      <c r="AX893" s="14"/>
      <c r="AY893" s="14"/>
      <c r="AZ893" s="14"/>
      <c r="BA893" s="14"/>
      <c r="BB893" s="14"/>
      <c r="BC893" s="14"/>
      <c r="BD893" s="14"/>
      <c r="BE893" s="14"/>
      <c r="BF893" s="14"/>
      <c r="BG893" s="14"/>
      <c r="BH893" s="14"/>
      <c r="BI893" s="14"/>
      <c r="BJ893" s="14"/>
      <c r="BK893" s="14"/>
      <c r="BL893" s="14"/>
      <c r="BM893" s="14"/>
      <c r="BN893" s="14"/>
    </row>
    <row r="894" ht="22.5" customHeight="1">
      <c r="A894" s="493"/>
      <c r="B894" s="350"/>
      <c r="C894" s="351"/>
      <c r="D894" s="447"/>
      <c r="E894" s="494"/>
      <c r="F894" s="495"/>
      <c r="G894" s="434"/>
      <c r="H894" s="394"/>
      <c r="I894" s="394"/>
      <c r="J894" s="477"/>
      <c r="K894" s="479"/>
      <c r="L894" s="496"/>
      <c r="M894" s="496"/>
      <c r="N894" s="360"/>
      <c r="O894" s="497"/>
      <c r="P894" s="362"/>
      <c r="Q894" s="387"/>
      <c r="R894" s="387"/>
      <c r="S894" s="439"/>
      <c r="T894" s="439"/>
      <c r="U894" s="498"/>
      <c r="V894" s="430"/>
      <c r="W894" s="382"/>
      <c r="X894" s="366"/>
      <c r="Y894" s="366"/>
      <c r="Z894" s="367"/>
      <c r="AA894" s="367"/>
      <c r="AB894" s="13"/>
      <c r="AC894" s="13"/>
      <c r="AD894" s="13"/>
      <c r="AE894" s="13"/>
      <c r="AF894" s="13"/>
      <c r="AG894" s="13"/>
      <c r="AH894" s="13"/>
      <c r="AI894" s="13"/>
      <c r="AJ894" s="13"/>
      <c r="AK894" s="13"/>
      <c r="AL894" s="13"/>
      <c r="AM894" s="14"/>
      <c r="AN894" s="14"/>
      <c r="AO894" s="14"/>
      <c r="AP894" s="14"/>
      <c r="AQ894" s="14"/>
      <c r="AR894" s="14"/>
      <c r="AS894" s="14"/>
      <c r="AT894" s="14"/>
      <c r="AU894" s="14"/>
      <c r="AV894" s="14"/>
      <c r="AW894" s="14"/>
      <c r="AX894" s="14"/>
      <c r="AY894" s="14"/>
      <c r="AZ894" s="14"/>
      <c r="BA894" s="14"/>
      <c r="BB894" s="14"/>
      <c r="BC894" s="14"/>
      <c r="BD894" s="14"/>
      <c r="BE894" s="14"/>
      <c r="BF894" s="14"/>
      <c r="BG894" s="14"/>
      <c r="BH894" s="14"/>
      <c r="BI894" s="14"/>
      <c r="BJ894" s="14"/>
      <c r="BK894" s="14"/>
      <c r="BL894" s="14"/>
      <c r="BM894" s="14"/>
      <c r="BN894" s="14"/>
    </row>
    <row r="895" ht="22.5" customHeight="1">
      <c r="A895" s="493"/>
      <c r="B895" s="350"/>
      <c r="C895" s="351"/>
      <c r="D895" s="447"/>
      <c r="E895" s="494"/>
      <c r="F895" s="495"/>
      <c r="G895" s="434"/>
      <c r="H895" s="394"/>
      <c r="I895" s="394"/>
      <c r="J895" s="477"/>
      <c r="K895" s="479"/>
      <c r="L895" s="496"/>
      <c r="M895" s="496"/>
      <c r="N895" s="360"/>
      <c r="O895" s="497"/>
      <c r="P895" s="362"/>
      <c r="Q895" s="387"/>
      <c r="R895" s="387"/>
      <c r="S895" s="439"/>
      <c r="T895" s="439"/>
      <c r="U895" s="498"/>
      <c r="V895" s="430"/>
      <c r="W895" s="382"/>
      <c r="X895" s="366"/>
      <c r="Y895" s="366"/>
      <c r="Z895" s="367"/>
      <c r="AA895" s="367"/>
      <c r="AB895" s="13"/>
      <c r="AC895" s="13"/>
      <c r="AD895" s="13"/>
      <c r="AE895" s="13"/>
      <c r="AF895" s="13"/>
      <c r="AG895" s="13"/>
      <c r="AH895" s="13"/>
      <c r="AI895" s="13"/>
      <c r="AJ895" s="13"/>
      <c r="AK895" s="13"/>
      <c r="AL895" s="13"/>
      <c r="AM895" s="14"/>
      <c r="AN895" s="14"/>
      <c r="AO895" s="14"/>
      <c r="AP895" s="14"/>
      <c r="AQ895" s="14"/>
      <c r="AR895" s="14"/>
      <c r="AS895" s="14"/>
      <c r="AT895" s="14"/>
      <c r="AU895" s="14"/>
      <c r="AV895" s="14"/>
      <c r="AW895" s="14"/>
      <c r="AX895" s="14"/>
      <c r="AY895" s="14"/>
      <c r="AZ895" s="14"/>
      <c r="BA895" s="14"/>
      <c r="BB895" s="14"/>
      <c r="BC895" s="14"/>
      <c r="BD895" s="14"/>
      <c r="BE895" s="14"/>
      <c r="BF895" s="14"/>
      <c r="BG895" s="14"/>
      <c r="BH895" s="14"/>
      <c r="BI895" s="14"/>
      <c r="BJ895" s="14"/>
      <c r="BK895" s="14"/>
      <c r="BL895" s="14"/>
      <c r="BM895" s="14"/>
      <c r="BN895" s="14"/>
    </row>
    <row r="896" ht="22.5" customHeight="1">
      <c r="A896" s="493"/>
      <c r="B896" s="350"/>
      <c r="C896" s="351"/>
      <c r="D896" s="447"/>
      <c r="E896" s="494"/>
      <c r="F896" s="495"/>
      <c r="G896" s="434"/>
      <c r="H896" s="394"/>
      <c r="I896" s="394"/>
      <c r="J896" s="477"/>
      <c r="K896" s="479"/>
      <c r="L896" s="496"/>
      <c r="M896" s="496"/>
      <c r="N896" s="360"/>
      <c r="O896" s="497"/>
      <c r="P896" s="362"/>
      <c r="Q896" s="387"/>
      <c r="R896" s="387"/>
      <c r="S896" s="439"/>
      <c r="T896" s="439"/>
      <c r="U896" s="498"/>
      <c r="V896" s="430"/>
      <c r="W896" s="382"/>
      <c r="X896" s="366"/>
      <c r="Y896" s="366"/>
      <c r="Z896" s="367"/>
      <c r="AA896" s="367"/>
      <c r="AB896" s="13"/>
      <c r="AC896" s="13"/>
      <c r="AD896" s="13"/>
      <c r="AE896" s="13"/>
      <c r="AF896" s="13"/>
      <c r="AG896" s="13"/>
      <c r="AH896" s="13"/>
      <c r="AI896" s="13"/>
      <c r="AJ896" s="13"/>
      <c r="AK896" s="13"/>
      <c r="AL896" s="13"/>
      <c r="AM896" s="14"/>
      <c r="AN896" s="14"/>
      <c r="AO896" s="14"/>
      <c r="AP896" s="14"/>
      <c r="AQ896" s="14"/>
      <c r="AR896" s="14"/>
      <c r="AS896" s="14"/>
      <c r="AT896" s="14"/>
      <c r="AU896" s="14"/>
      <c r="AV896" s="14"/>
      <c r="AW896" s="14"/>
      <c r="AX896" s="14"/>
      <c r="AY896" s="14"/>
      <c r="AZ896" s="14"/>
      <c r="BA896" s="14"/>
      <c r="BB896" s="14"/>
      <c r="BC896" s="14"/>
      <c r="BD896" s="14"/>
      <c r="BE896" s="14"/>
      <c r="BF896" s="14"/>
      <c r="BG896" s="14"/>
      <c r="BH896" s="14"/>
      <c r="BI896" s="14"/>
      <c r="BJ896" s="14"/>
      <c r="BK896" s="14"/>
      <c r="BL896" s="14"/>
      <c r="BM896" s="14"/>
      <c r="BN896" s="14"/>
    </row>
    <row r="897" ht="22.5" customHeight="1">
      <c r="A897" s="493"/>
      <c r="B897" s="350"/>
      <c r="C897" s="351"/>
      <c r="D897" s="447"/>
      <c r="E897" s="494"/>
      <c r="F897" s="495"/>
      <c r="G897" s="434"/>
      <c r="H897" s="394"/>
      <c r="I897" s="394"/>
      <c r="J897" s="477"/>
      <c r="K897" s="479"/>
      <c r="L897" s="496"/>
      <c r="M897" s="496"/>
      <c r="N897" s="360"/>
      <c r="O897" s="497"/>
      <c r="P897" s="362"/>
      <c r="Q897" s="387"/>
      <c r="R897" s="387"/>
      <c r="S897" s="439"/>
      <c r="T897" s="439"/>
      <c r="U897" s="498"/>
      <c r="V897" s="430"/>
      <c r="W897" s="382"/>
      <c r="X897" s="366"/>
      <c r="Y897" s="366"/>
      <c r="Z897" s="367"/>
      <c r="AA897" s="367"/>
      <c r="AB897" s="13"/>
      <c r="AC897" s="13"/>
      <c r="AD897" s="13"/>
      <c r="AE897" s="13"/>
      <c r="AF897" s="13"/>
      <c r="AG897" s="13"/>
      <c r="AH897" s="13"/>
      <c r="AI897" s="13"/>
      <c r="AJ897" s="13"/>
      <c r="AK897" s="13"/>
      <c r="AL897" s="13"/>
      <c r="AM897" s="14"/>
      <c r="AN897" s="14"/>
      <c r="AO897" s="14"/>
      <c r="AP897" s="14"/>
      <c r="AQ897" s="14"/>
      <c r="AR897" s="14"/>
      <c r="AS897" s="14"/>
      <c r="AT897" s="14"/>
      <c r="AU897" s="14"/>
      <c r="AV897" s="14"/>
      <c r="AW897" s="14"/>
      <c r="AX897" s="14"/>
      <c r="AY897" s="14"/>
      <c r="AZ897" s="14"/>
      <c r="BA897" s="14"/>
      <c r="BB897" s="14"/>
      <c r="BC897" s="14"/>
      <c r="BD897" s="14"/>
      <c r="BE897" s="14"/>
      <c r="BF897" s="14"/>
      <c r="BG897" s="14"/>
      <c r="BH897" s="14"/>
      <c r="BI897" s="14"/>
      <c r="BJ897" s="14"/>
      <c r="BK897" s="14"/>
      <c r="BL897" s="14"/>
      <c r="BM897" s="14"/>
      <c r="BN897" s="14"/>
    </row>
    <row r="898" ht="22.5" customHeight="1">
      <c r="A898" s="493"/>
      <c r="B898" s="350"/>
      <c r="C898" s="351"/>
      <c r="D898" s="447"/>
      <c r="E898" s="494"/>
      <c r="F898" s="495"/>
      <c r="G898" s="434"/>
      <c r="H898" s="394"/>
      <c r="I898" s="394"/>
      <c r="J898" s="477"/>
      <c r="K898" s="479"/>
      <c r="L898" s="496"/>
      <c r="M898" s="496"/>
      <c r="N898" s="360"/>
      <c r="O898" s="497"/>
      <c r="P898" s="362"/>
      <c r="Q898" s="387"/>
      <c r="R898" s="387"/>
      <c r="S898" s="439"/>
      <c r="T898" s="439"/>
      <c r="U898" s="498"/>
      <c r="V898" s="430"/>
      <c r="W898" s="382"/>
      <c r="X898" s="366"/>
      <c r="Y898" s="366"/>
      <c r="Z898" s="367"/>
      <c r="AA898" s="367"/>
      <c r="AB898" s="13"/>
      <c r="AC898" s="13"/>
      <c r="AD898" s="13"/>
      <c r="AE898" s="13"/>
      <c r="AF898" s="13"/>
      <c r="AG898" s="13"/>
      <c r="AH898" s="13"/>
      <c r="AI898" s="13"/>
      <c r="AJ898" s="13"/>
      <c r="AK898" s="13"/>
      <c r="AL898" s="13"/>
      <c r="AM898" s="14"/>
      <c r="AN898" s="14"/>
      <c r="AO898" s="14"/>
      <c r="AP898" s="14"/>
      <c r="AQ898" s="14"/>
      <c r="AR898" s="14"/>
      <c r="AS898" s="14"/>
      <c r="AT898" s="14"/>
      <c r="AU898" s="14"/>
      <c r="AV898" s="14"/>
      <c r="AW898" s="14"/>
      <c r="AX898" s="14"/>
      <c r="AY898" s="14"/>
      <c r="AZ898" s="14"/>
      <c r="BA898" s="14"/>
      <c r="BB898" s="14"/>
      <c r="BC898" s="14"/>
      <c r="BD898" s="14"/>
      <c r="BE898" s="14"/>
      <c r="BF898" s="14"/>
      <c r="BG898" s="14"/>
      <c r="BH898" s="14"/>
      <c r="BI898" s="14"/>
      <c r="BJ898" s="14"/>
      <c r="BK898" s="14"/>
      <c r="BL898" s="14"/>
      <c r="BM898" s="14"/>
      <c r="BN898" s="14"/>
    </row>
    <row r="899" ht="22.5" customHeight="1">
      <c r="A899" s="493"/>
      <c r="B899" s="350"/>
      <c r="C899" s="351"/>
      <c r="D899" s="447"/>
      <c r="E899" s="494"/>
      <c r="F899" s="495"/>
      <c r="G899" s="434"/>
      <c r="H899" s="394"/>
      <c r="I899" s="394"/>
      <c r="J899" s="477"/>
      <c r="K899" s="479"/>
      <c r="L899" s="496"/>
      <c r="M899" s="496"/>
      <c r="N899" s="360"/>
      <c r="O899" s="497"/>
      <c r="P899" s="362"/>
      <c r="Q899" s="387"/>
      <c r="R899" s="387"/>
      <c r="S899" s="439"/>
      <c r="T899" s="439"/>
      <c r="U899" s="498"/>
      <c r="V899" s="430"/>
      <c r="W899" s="382"/>
      <c r="X899" s="366"/>
      <c r="Y899" s="366"/>
      <c r="Z899" s="367"/>
      <c r="AA899" s="367"/>
      <c r="AB899" s="13"/>
      <c r="AC899" s="13"/>
      <c r="AD899" s="13"/>
      <c r="AE899" s="13"/>
      <c r="AF899" s="13"/>
      <c r="AG899" s="13"/>
      <c r="AH899" s="13"/>
      <c r="AI899" s="13"/>
      <c r="AJ899" s="13"/>
      <c r="AK899" s="13"/>
      <c r="AL899" s="13"/>
      <c r="AM899" s="14"/>
      <c r="AN899" s="14"/>
      <c r="AO899" s="14"/>
      <c r="AP899" s="14"/>
      <c r="AQ899" s="14"/>
      <c r="AR899" s="14"/>
      <c r="AS899" s="14"/>
      <c r="AT899" s="14"/>
      <c r="AU899" s="14"/>
      <c r="AV899" s="14"/>
      <c r="AW899" s="14"/>
      <c r="AX899" s="14"/>
      <c r="AY899" s="14"/>
      <c r="AZ899" s="14"/>
      <c r="BA899" s="14"/>
      <c r="BB899" s="14"/>
      <c r="BC899" s="14"/>
      <c r="BD899" s="14"/>
      <c r="BE899" s="14"/>
      <c r="BF899" s="14"/>
      <c r="BG899" s="14"/>
      <c r="BH899" s="14"/>
      <c r="BI899" s="14"/>
      <c r="BJ899" s="14"/>
      <c r="BK899" s="14"/>
      <c r="BL899" s="14"/>
      <c r="BM899" s="14"/>
      <c r="BN899" s="14"/>
    </row>
    <row r="900" ht="22.5" customHeight="1">
      <c r="A900" s="493"/>
      <c r="B900" s="350"/>
      <c r="C900" s="351"/>
      <c r="D900" s="447"/>
      <c r="E900" s="494"/>
      <c r="F900" s="495"/>
      <c r="G900" s="434"/>
      <c r="H900" s="394"/>
      <c r="I900" s="394"/>
      <c r="J900" s="477"/>
      <c r="K900" s="479"/>
      <c r="L900" s="496"/>
      <c r="M900" s="496"/>
      <c r="N900" s="360"/>
      <c r="O900" s="497"/>
      <c r="P900" s="362"/>
      <c r="Q900" s="387"/>
      <c r="R900" s="387"/>
      <c r="S900" s="439"/>
      <c r="T900" s="439"/>
      <c r="U900" s="498"/>
      <c r="V900" s="430"/>
      <c r="W900" s="382"/>
      <c r="X900" s="366"/>
      <c r="Y900" s="366"/>
      <c r="Z900" s="367"/>
      <c r="AA900" s="367"/>
      <c r="AB900" s="13"/>
      <c r="AC900" s="13"/>
      <c r="AD900" s="13"/>
      <c r="AE900" s="13"/>
      <c r="AF900" s="13"/>
      <c r="AG900" s="13"/>
      <c r="AH900" s="13"/>
      <c r="AI900" s="13"/>
      <c r="AJ900" s="13"/>
      <c r="AK900" s="13"/>
      <c r="AL900" s="13"/>
      <c r="AM900" s="14"/>
      <c r="AN900" s="14"/>
      <c r="AO900" s="14"/>
      <c r="AP900" s="14"/>
      <c r="AQ900" s="14"/>
      <c r="AR900" s="14"/>
      <c r="AS900" s="14"/>
      <c r="AT900" s="14"/>
      <c r="AU900" s="14"/>
      <c r="AV900" s="14"/>
      <c r="AW900" s="14"/>
      <c r="AX900" s="14"/>
      <c r="AY900" s="14"/>
      <c r="AZ900" s="14"/>
      <c r="BA900" s="14"/>
      <c r="BB900" s="14"/>
      <c r="BC900" s="14"/>
      <c r="BD900" s="14"/>
      <c r="BE900" s="14"/>
      <c r="BF900" s="14"/>
      <c r="BG900" s="14"/>
      <c r="BH900" s="14"/>
      <c r="BI900" s="14"/>
      <c r="BJ900" s="14"/>
      <c r="BK900" s="14"/>
      <c r="BL900" s="14"/>
      <c r="BM900" s="14"/>
      <c r="BN900" s="14"/>
    </row>
    <row r="901" ht="22.5" customHeight="1">
      <c r="A901" s="493"/>
      <c r="B901" s="350"/>
      <c r="C901" s="351"/>
      <c r="D901" s="447"/>
      <c r="E901" s="494"/>
      <c r="F901" s="495"/>
      <c r="G901" s="434"/>
      <c r="H901" s="394"/>
      <c r="I901" s="394"/>
      <c r="J901" s="477"/>
      <c r="K901" s="479"/>
      <c r="L901" s="496"/>
      <c r="M901" s="496"/>
      <c r="N901" s="360"/>
      <c r="O901" s="497"/>
      <c r="P901" s="362"/>
      <c r="Q901" s="387"/>
      <c r="R901" s="387"/>
      <c r="S901" s="439"/>
      <c r="T901" s="439"/>
      <c r="U901" s="498"/>
      <c r="V901" s="430"/>
      <c r="W901" s="382"/>
      <c r="X901" s="366"/>
      <c r="Y901" s="366"/>
      <c r="Z901" s="367"/>
      <c r="AA901" s="367"/>
      <c r="AB901" s="13"/>
      <c r="AC901" s="13"/>
      <c r="AD901" s="13"/>
      <c r="AE901" s="13"/>
      <c r="AF901" s="13"/>
      <c r="AG901" s="13"/>
      <c r="AH901" s="13"/>
      <c r="AI901" s="13"/>
      <c r="AJ901" s="13"/>
      <c r="AK901" s="13"/>
      <c r="AL901" s="13"/>
      <c r="AM901" s="14"/>
      <c r="AN901" s="14"/>
      <c r="AO901" s="14"/>
      <c r="AP901" s="14"/>
      <c r="AQ901" s="14"/>
      <c r="AR901" s="14"/>
      <c r="AS901" s="14"/>
      <c r="AT901" s="14"/>
      <c r="AU901" s="14"/>
      <c r="AV901" s="14"/>
      <c r="AW901" s="14"/>
      <c r="AX901" s="14"/>
      <c r="AY901" s="14"/>
      <c r="AZ901" s="14"/>
      <c r="BA901" s="14"/>
      <c r="BB901" s="14"/>
      <c r="BC901" s="14"/>
      <c r="BD901" s="14"/>
      <c r="BE901" s="14"/>
      <c r="BF901" s="14"/>
      <c r="BG901" s="14"/>
      <c r="BH901" s="14"/>
      <c r="BI901" s="14"/>
      <c r="BJ901" s="14"/>
      <c r="BK901" s="14"/>
      <c r="BL901" s="14"/>
      <c r="BM901" s="14"/>
      <c r="BN901" s="14"/>
    </row>
    <row r="902" ht="22.5" customHeight="1">
      <c r="A902" s="493"/>
      <c r="B902" s="350"/>
      <c r="C902" s="351"/>
      <c r="D902" s="447"/>
      <c r="E902" s="494"/>
      <c r="F902" s="495"/>
      <c r="G902" s="434"/>
      <c r="H902" s="394"/>
      <c r="I902" s="394"/>
      <c r="J902" s="477"/>
      <c r="K902" s="479"/>
      <c r="L902" s="496"/>
      <c r="M902" s="496"/>
      <c r="N902" s="360"/>
      <c r="O902" s="497"/>
      <c r="P902" s="362"/>
      <c r="Q902" s="387"/>
      <c r="R902" s="387"/>
      <c r="S902" s="439"/>
      <c r="T902" s="439"/>
      <c r="U902" s="498"/>
      <c r="V902" s="430"/>
      <c r="W902" s="382"/>
      <c r="X902" s="366"/>
      <c r="Y902" s="366"/>
      <c r="Z902" s="367"/>
      <c r="AA902" s="367"/>
      <c r="AB902" s="13"/>
      <c r="AC902" s="13"/>
      <c r="AD902" s="13"/>
      <c r="AE902" s="13"/>
      <c r="AF902" s="13"/>
      <c r="AG902" s="13"/>
      <c r="AH902" s="13"/>
      <c r="AI902" s="13"/>
      <c r="AJ902" s="13"/>
      <c r="AK902" s="13"/>
      <c r="AL902" s="13"/>
      <c r="AM902" s="14"/>
      <c r="AN902" s="14"/>
      <c r="AO902" s="14"/>
      <c r="AP902" s="14"/>
      <c r="AQ902" s="14"/>
      <c r="AR902" s="14"/>
      <c r="AS902" s="14"/>
      <c r="AT902" s="14"/>
      <c r="AU902" s="14"/>
      <c r="AV902" s="14"/>
      <c r="AW902" s="14"/>
      <c r="AX902" s="14"/>
      <c r="AY902" s="14"/>
      <c r="AZ902" s="14"/>
      <c r="BA902" s="14"/>
      <c r="BB902" s="14"/>
      <c r="BC902" s="14"/>
      <c r="BD902" s="14"/>
      <c r="BE902" s="14"/>
      <c r="BF902" s="14"/>
      <c r="BG902" s="14"/>
      <c r="BH902" s="14"/>
      <c r="BI902" s="14"/>
      <c r="BJ902" s="14"/>
      <c r="BK902" s="14"/>
      <c r="BL902" s="14"/>
      <c r="BM902" s="14"/>
      <c r="BN902" s="14"/>
    </row>
    <row r="903" ht="22.5" customHeight="1">
      <c r="A903" s="493"/>
      <c r="B903" s="350"/>
      <c r="C903" s="351"/>
      <c r="D903" s="447"/>
      <c r="E903" s="494"/>
      <c r="F903" s="495"/>
      <c r="G903" s="434"/>
      <c r="H903" s="394"/>
      <c r="I903" s="394"/>
      <c r="J903" s="477"/>
      <c r="K903" s="479"/>
      <c r="L903" s="496"/>
      <c r="M903" s="496"/>
      <c r="N903" s="360"/>
      <c r="O903" s="497"/>
      <c r="P903" s="362"/>
      <c r="Q903" s="387"/>
      <c r="R903" s="387"/>
      <c r="S903" s="439"/>
      <c r="T903" s="439"/>
      <c r="U903" s="498"/>
      <c r="V903" s="430"/>
      <c r="W903" s="382"/>
      <c r="X903" s="366"/>
      <c r="Y903" s="366"/>
      <c r="Z903" s="367"/>
      <c r="AA903" s="367"/>
      <c r="AB903" s="13"/>
      <c r="AC903" s="13"/>
      <c r="AD903" s="13"/>
      <c r="AE903" s="13"/>
      <c r="AF903" s="13"/>
      <c r="AG903" s="13"/>
      <c r="AH903" s="13"/>
      <c r="AI903" s="13"/>
      <c r="AJ903" s="13"/>
      <c r="AK903" s="13"/>
      <c r="AL903" s="13"/>
      <c r="AM903" s="14"/>
      <c r="AN903" s="14"/>
      <c r="AO903" s="14"/>
      <c r="AP903" s="14"/>
      <c r="AQ903" s="14"/>
      <c r="AR903" s="14"/>
      <c r="AS903" s="14"/>
      <c r="AT903" s="14"/>
      <c r="AU903" s="14"/>
      <c r="AV903" s="14"/>
      <c r="AW903" s="14"/>
      <c r="AX903" s="14"/>
      <c r="AY903" s="14"/>
      <c r="AZ903" s="14"/>
      <c r="BA903" s="14"/>
      <c r="BB903" s="14"/>
      <c r="BC903" s="14"/>
      <c r="BD903" s="14"/>
      <c r="BE903" s="14"/>
      <c r="BF903" s="14"/>
      <c r="BG903" s="14"/>
      <c r="BH903" s="14"/>
      <c r="BI903" s="14"/>
      <c r="BJ903" s="14"/>
      <c r="BK903" s="14"/>
      <c r="BL903" s="14"/>
      <c r="BM903" s="14"/>
      <c r="BN903" s="14"/>
    </row>
    <row r="904" ht="22.5" customHeight="1">
      <c r="A904" s="493"/>
      <c r="B904" s="350"/>
      <c r="C904" s="351"/>
      <c r="D904" s="447"/>
      <c r="E904" s="494"/>
      <c r="F904" s="495"/>
      <c r="G904" s="434"/>
      <c r="H904" s="394"/>
      <c r="I904" s="394"/>
      <c r="J904" s="477"/>
      <c r="K904" s="479"/>
      <c r="L904" s="496"/>
      <c r="M904" s="496"/>
      <c r="N904" s="360"/>
      <c r="O904" s="497"/>
      <c r="P904" s="362"/>
      <c r="Q904" s="387"/>
      <c r="R904" s="387"/>
      <c r="S904" s="439"/>
      <c r="T904" s="439"/>
      <c r="U904" s="498"/>
      <c r="V904" s="430"/>
      <c r="W904" s="382"/>
      <c r="X904" s="366"/>
      <c r="Y904" s="366"/>
      <c r="Z904" s="367"/>
      <c r="AA904" s="367"/>
      <c r="AB904" s="13"/>
      <c r="AC904" s="13"/>
      <c r="AD904" s="13"/>
      <c r="AE904" s="13"/>
      <c r="AF904" s="13"/>
      <c r="AG904" s="13"/>
      <c r="AH904" s="13"/>
      <c r="AI904" s="13"/>
      <c r="AJ904" s="13"/>
      <c r="AK904" s="13"/>
      <c r="AL904" s="13"/>
      <c r="AM904" s="14"/>
      <c r="AN904" s="14"/>
      <c r="AO904" s="14"/>
      <c r="AP904" s="14"/>
      <c r="AQ904" s="14"/>
      <c r="AR904" s="14"/>
      <c r="AS904" s="14"/>
      <c r="AT904" s="14"/>
      <c r="AU904" s="14"/>
      <c r="AV904" s="14"/>
      <c r="AW904" s="14"/>
      <c r="AX904" s="14"/>
      <c r="AY904" s="14"/>
      <c r="AZ904" s="14"/>
      <c r="BA904" s="14"/>
      <c r="BB904" s="14"/>
      <c r="BC904" s="14"/>
      <c r="BD904" s="14"/>
      <c r="BE904" s="14"/>
      <c r="BF904" s="14"/>
      <c r="BG904" s="14"/>
      <c r="BH904" s="14"/>
      <c r="BI904" s="14"/>
      <c r="BJ904" s="14"/>
      <c r="BK904" s="14"/>
      <c r="BL904" s="14"/>
      <c r="BM904" s="14"/>
      <c r="BN904" s="14"/>
    </row>
    <row r="905" ht="22.5" customHeight="1">
      <c r="A905" s="493"/>
      <c r="B905" s="350"/>
      <c r="C905" s="351"/>
      <c r="D905" s="447"/>
      <c r="E905" s="494"/>
      <c r="F905" s="495"/>
      <c r="G905" s="434"/>
      <c r="H905" s="394"/>
      <c r="I905" s="394"/>
      <c r="J905" s="477"/>
      <c r="K905" s="479"/>
      <c r="L905" s="496"/>
      <c r="M905" s="496"/>
      <c r="N905" s="360"/>
      <c r="O905" s="497"/>
      <c r="P905" s="362"/>
      <c r="Q905" s="387"/>
      <c r="R905" s="387"/>
      <c r="S905" s="439"/>
      <c r="T905" s="439"/>
      <c r="U905" s="498"/>
      <c r="V905" s="430"/>
      <c r="W905" s="382"/>
      <c r="X905" s="366"/>
      <c r="Y905" s="366"/>
      <c r="Z905" s="367"/>
      <c r="AA905" s="367"/>
      <c r="AB905" s="13"/>
      <c r="AC905" s="13"/>
      <c r="AD905" s="13"/>
      <c r="AE905" s="13"/>
      <c r="AF905" s="13"/>
      <c r="AG905" s="13"/>
      <c r="AH905" s="13"/>
      <c r="AI905" s="13"/>
      <c r="AJ905" s="13"/>
      <c r="AK905" s="13"/>
      <c r="AL905" s="13"/>
      <c r="AM905" s="14"/>
      <c r="AN905" s="14"/>
      <c r="AO905" s="14"/>
      <c r="AP905" s="14"/>
      <c r="AQ905" s="14"/>
      <c r="AR905" s="14"/>
      <c r="AS905" s="14"/>
      <c r="AT905" s="14"/>
      <c r="AU905" s="14"/>
      <c r="AV905" s="14"/>
      <c r="AW905" s="14"/>
      <c r="AX905" s="14"/>
      <c r="AY905" s="14"/>
      <c r="AZ905" s="14"/>
      <c r="BA905" s="14"/>
      <c r="BB905" s="14"/>
      <c r="BC905" s="14"/>
      <c r="BD905" s="14"/>
      <c r="BE905" s="14"/>
      <c r="BF905" s="14"/>
      <c r="BG905" s="14"/>
      <c r="BH905" s="14"/>
      <c r="BI905" s="14"/>
      <c r="BJ905" s="14"/>
      <c r="BK905" s="14"/>
      <c r="BL905" s="14"/>
      <c r="BM905" s="14"/>
      <c r="BN905" s="14"/>
    </row>
    <row r="906" ht="22.5" customHeight="1">
      <c r="A906" s="493"/>
      <c r="B906" s="350"/>
      <c r="C906" s="351"/>
      <c r="D906" s="447"/>
      <c r="E906" s="494"/>
      <c r="F906" s="495"/>
      <c r="G906" s="434"/>
      <c r="H906" s="394"/>
      <c r="I906" s="394"/>
      <c r="J906" s="477"/>
      <c r="K906" s="479"/>
      <c r="L906" s="496"/>
      <c r="M906" s="496"/>
      <c r="N906" s="360"/>
      <c r="O906" s="497"/>
      <c r="P906" s="362"/>
      <c r="Q906" s="387"/>
      <c r="R906" s="387"/>
      <c r="S906" s="439"/>
      <c r="T906" s="439"/>
      <c r="U906" s="498"/>
      <c r="V906" s="430"/>
      <c r="W906" s="382"/>
      <c r="X906" s="366"/>
      <c r="Y906" s="366"/>
      <c r="Z906" s="367"/>
      <c r="AA906" s="367"/>
      <c r="AB906" s="13"/>
      <c r="AC906" s="13"/>
      <c r="AD906" s="13"/>
      <c r="AE906" s="13"/>
      <c r="AF906" s="13"/>
      <c r="AG906" s="13"/>
      <c r="AH906" s="13"/>
      <c r="AI906" s="13"/>
      <c r="AJ906" s="13"/>
      <c r="AK906" s="13"/>
      <c r="AL906" s="13"/>
      <c r="AM906" s="14"/>
      <c r="AN906" s="14"/>
      <c r="AO906" s="14"/>
      <c r="AP906" s="14"/>
      <c r="AQ906" s="14"/>
      <c r="AR906" s="14"/>
      <c r="AS906" s="14"/>
      <c r="AT906" s="14"/>
      <c r="AU906" s="14"/>
      <c r="AV906" s="14"/>
      <c r="AW906" s="14"/>
      <c r="AX906" s="14"/>
      <c r="AY906" s="14"/>
      <c r="AZ906" s="14"/>
      <c r="BA906" s="14"/>
      <c r="BB906" s="14"/>
      <c r="BC906" s="14"/>
      <c r="BD906" s="14"/>
      <c r="BE906" s="14"/>
      <c r="BF906" s="14"/>
      <c r="BG906" s="14"/>
      <c r="BH906" s="14"/>
      <c r="BI906" s="14"/>
      <c r="BJ906" s="14"/>
      <c r="BK906" s="14"/>
      <c r="BL906" s="14"/>
      <c r="BM906" s="14"/>
      <c r="BN906" s="14"/>
    </row>
    <row r="907" ht="22.5" customHeight="1">
      <c r="A907" s="493"/>
      <c r="B907" s="350"/>
      <c r="C907" s="351"/>
      <c r="D907" s="447"/>
      <c r="E907" s="494"/>
      <c r="F907" s="495"/>
      <c r="G907" s="434"/>
      <c r="H907" s="394"/>
      <c r="I907" s="394"/>
      <c r="J907" s="477"/>
      <c r="K907" s="479"/>
      <c r="L907" s="496"/>
      <c r="M907" s="496"/>
      <c r="N907" s="360"/>
      <c r="O907" s="497"/>
      <c r="P907" s="362"/>
      <c r="Q907" s="387"/>
      <c r="R907" s="387"/>
      <c r="S907" s="439"/>
      <c r="T907" s="439"/>
      <c r="U907" s="498"/>
      <c r="V907" s="430"/>
      <c r="W907" s="382"/>
      <c r="X907" s="366"/>
      <c r="Y907" s="366"/>
      <c r="Z907" s="367"/>
      <c r="AA907" s="367"/>
      <c r="AB907" s="13"/>
      <c r="AC907" s="13"/>
      <c r="AD907" s="13"/>
      <c r="AE907" s="13"/>
      <c r="AF907" s="13"/>
      <c r="AG907" s="13"/>
      <c r="AH907" s="13"/>
      <c r="AI907" s="13"/>
      <c r="AJ907" s="13"/>
      <c r="AK907" s="13"/>
      <c r="AL907" s="13"/>
      <c r="AM907" s="14"/>
      <c r="AN907" s="14"/>
      <c r="AO907" s="14"/>
      <c r="AP907" s="14"/>
      <c r="AQ907" s="14"/>
      <c r="AR907" s="14"/>
      <c r="AS907" s="14"/>
      <c r="AT907" s="14"/>
      <c r="AU907" s="14"/>
      <c r="AV907" s="14"/>
      <c r="AW907" s="14"/>
      <c r="AX907" s="14"/>
      <c r="AY907" s="14"/>
      <c r="AZ907" s="14"/>
      <c r="BA907" s="14"/>
      <c r="BB907" s="14"/>
      <c r="BC907" s="14"/>
      <c r="BD907" s="14"/>
      <c r="BE907" s="14"/>
      <c r="BF907" s="14"/>
      <c r="BG907" s="14"/>
      <c r="BH907" s="14"/>
      <c r="BI907" s="14"/>
      <c r="BJ907" s="14"/>
      <c r="BK907" s="14"/>
      <c r="BL907" s="14"/>
      <c r="BM907" s="14"/>
      <c r="BN907" s="14"/>
    </row>
    <row r="908" ht="22.5" customHeight="1">
      <c r="A908" s="493"/>
      <c r="B908" s="350"/>
      <c r="C908" s="351"/>
      <c r="D908" s="447"/>
      <c r="E908" s="494"/>
      <c r="F908" s="495"/>
      <c r="G908" s="434"/>
      <c r="H908" s="394"/>
      <c r="I908" s="394"/>
      <c r="J908" s="477"/>
      <c r="K908" s="479"/>
      <c r="L908" s="496"/>
      <c r="M908" s="496"/>
      <c r="N908" s="360"/>
      <c r="O908" s="497"/>
      <c r="P908" s="362"/>
      <c r="Q908" s="387"/>
      <c r="R908" s="387"/>
      <c r="S908" s="439"/>
      <c r="T908" s="439"/>
      <c r="U908" s="498"/>
      <c r="V908" s="430"/>
      <c r="W908" s="382"/>
      <c r="X908" s="366"/>
      <c r="Y908" s="366"/>
      <c r="Z908" s="367"/>
      <c r="AA908" s="367"/>
      <c r="AB908" s="13"/>
      <c r="AC908" s="13"/>
      <c r="AD908" s="13"/>
      <c r="AE908" s="13"/>
      <c r="AF908" s="13"/>
      <c r="AG908" s="13"/>
      <c r="AH908" s="13"/>
      <c r="AI908" s="13"/>
      <c r="AJ908" s="13"/>
      <c r="AK908" s="13"/>
      <c r="AL908" s="13"/>
      <c r="AM908" s="14"/>
      <c r="AN908" s="14"/>
      <c r="AO908" s="14"/>
      <c r="AP908" s="14"/>
      <c r="AQ908" s="14"/>
      <c r="AR908" s="14"/>
      <c r="AS908" s="14"/>
      <c r="AT908" s="14"/>
      <c r="AU908" s="14"/>
      <c r="AV908" s="14"/>
      <c r="AW908" s="14"/>
      <c r="AX908" s="14"/>
      <c r="AY908" s="14"/>
      <c r="AZ908" s="14"/>
      <c r="BA908" s="14"/>
      <c r="BB908" s="14"/>
      <c r="BC908" s="14"/>
      <c r="BD908" s="14"/>
      <c r="BE908" s="14"/>
      <c r="BF908" s="14"/>
      <c r="BG908" s="14"/>
      <c r="BH908" s="14"/>
      <c r="BI908" s="14"/>
      <c r="BJ908" s="14"/>
      <c r="BK908" s="14"/>
      <c r="BL908" s="14"/>
      <c r="BM908" s="14"/>
      <c r="BN908" s="14"/>
    </row>
    <row r="909" ht="22.5" customHeight="1">
      <c r="A909" s="493"/>
      <c r="B909" s="350"/>
      <c r="C909" s="351"/>
      <c r="D909" s="447"/>
      <c r="E909" s="494"/>
      <c r="F909" s="495"/>
      <c r="G909" s="434"/>
      <c r="H909" s="394"/>
      <c r="I909" s="394"/>
      <c r="J909" s="477"/>
      <c r="K909" s="479"/>
      <c r="L909" s="496"/>
      <c r="M909" s="496"/>
      <c r="N909" s="360"/>
      <c r="O909" s="497"/>
      <c r="P909" s="362"/>
      <c r="Q909" s="387"/>
      <c r="R909" s="387"/>
      <c r="S909" s="439"/>
      <c r="T909" s="439"/>
      <c r="U909" s="498"/>
      <c r="V909" s="430"/>
      <c r="W909" s="382"/>
      <c r="X909" s="366"/>
      <c r="Y909" s="366"/>
      <c r="Z909" s="367"/>
      <c r="AA909" s="367"/>
      <c r="AB909" s="13"/>
      <c r="AC909" s="13"/>
      <c r="AD909" s="13"/>
      <c r="AE909" s="13"/>
      <c r="AF909" s="13"/>
      <c r="AG909" s="13"/>
      <c r="AH909" s="13"/>
      <c r="AI909" s="13"/>
      <c r="AJ909" s="13"/>
      <c r="AK909" s="13"/>
      <c r="AL909" s="13"/>
      <c r="AM909" s="14"/>
      <c r="AN909" s="14"/>
      <c r="AO909" s="14"/>
      <c r="AP909" s="14"/>
      <c r="AQ909" s="14"/>
      <c r="AR909" s="14"/>
      <c r="AS909" s="14"/>
      <c r="AT909" s="14"/>
      <c r="AU909" s="14"/>
      <c r="AV909" s="14"/>
      <c r="AW909" s="14"/>
      <c r="AX909" s="14"/>
      <c r="AY909" s="14"/>
      <c r="AZ909" s="14"/>
      <c r="BA909" s="14"/>
      <c r="BB909" s="14"/>
      <c r="BC909" s="14"/>
      <c r="BD909" s="14"/>
      <c r="BE909" s="14"/>
      <c r="BF909" s="14"/>
      <c r="BG909" s="14"/>
      <c r="BH909" s="14"/>
      <c r="BI909" s="14"/>
      <c r="BJ909" s="14"/>
      <c r="BK909" s="14"/>
      <c r="BL909" s="14"/>
      <c r="BM909" s="14"/>
      <c r="BN909" s="14"/>
    </row>
    <row r="910" ht="22.5" customHeight="1">
      <c r="A910" s="493"/>
      <c r="B910" s="350"/>
      <c r="C910" s="351"/>
      <c r="D910" s="447"/>
      <c r="E910" s="494"/>
      <c r="F910" s="495"/>
      <c r="G910" s="434"/>
      <c r="H910" s="394"/>
      <c r="I910" s="394"/>
      <c r="J910" s="477"/>
      <c r="K910" s="479"/>
      <c r="L910" s="496"/>
      <c r="M910" s="496"/>
      <c r="N910" s="360"/>
      <c r="O910" s="497"/>
      <c r="P910" s="362"/>
      <c r="Q910" s="387"/>
      <c r="R910" s="387"/>
      <c r="S910" s="439"/>
      <c r="T910" s="439"/>
      <c r="U910" s="498"/>
      <c r="V910" s="430"/>
      <c r="W910" s="382"/>
      <c r="X910" s="366"/>
      <c r="Y910" s="366"/>
      <c r="Z910" s="367"/>
      <c r="AA910" s="367"/>
      <c r="AB910" s="13"/>
      <c r="AC910" s="13"/>
      <c r="AD910" s="13"/>
      <c r="AE910" s="13"/>
      <c r="AF910" s="13"/>
      <c r="AG910" s="13"/>
      <c r="AH910" s="13"/>
      <c r="AI910" s="13"/>
      <c r="AJ910" s="13"/>
      <c r="AK910" s="13"/>
      <c r="AL910" s="13"/>
      <c r="AM910" s="14"/>
      <c r="AN910" s="14"/>
      <c r="AO910" s="14"/>
      <c r="AP910" s="14"/>
      <c r="AQ910" s="14"/>
      <c r="AR910" s="14"/>
      <c r="AS910" s="14"/>
      <c r="AT910" s="14"/>
      <c r="AU910" s="14"/>
      <c r="AV910" s="14"/>
      <c r="AW910" s="14"/>
      <c r="AX910" s="14"/>
      <c r="AY910" s="14"/>
      <c r="AZ910" s="14"/>
      <c r="BA910" s="14"/>
      <c r="BB910" s="14"/>
      <c r="BC910" s="14"/>
      <c r="BD910" s="14"/>
      <c r="BE910" s="14"/>
      <c r="BF910" s="14"/>
      <c r="BG910" s="14"/>
      <c r="BH910" s="14"/>
      <c r="BI910" s="14"/>
      <c r="BJ910" s="14"/>
      <c r="BK910" s="14"/>
      <c r="BL910" s="14"/>
      <c r="BM910" s="14"/>
      <c r="BN910" s="14"/>
    </row>
    <row r="911" ht="22.5" customHeight="1">
      <c r="A911" s="493"/>
      <c r="B911" s="350"/>
      <c r="C911" s="351"/>
      <c r="D911" s="447"/>
      <c r="E911" s="494"/>
      <c r="F911" s="495"/>
      <c r="G911" s="434"/>
      <c r="H911" s="394"/>
      <c r="I911" s="394"/>
      <c r="J911" s="477"/>
      <c r="K911" s="479"/>
      <c r="L911" s="496"/>
      <c r="M911" s="496"/>
      <c r="N911" s="360"/>
      <c r="O911" s="497"/>
      <c r="P911" s="362"/>
      <c r="Q911" s="387"/>
      <c r="R911" s="387"/>
      <c r="S911" s="439"/>
      <c r="T911" s="439"/>
      <c r="U911" s="498"/>
      <c r="V911" s="430"/>
      <c r="W911" s="382"/>
      <c r="X911" s="366"/>
      <c r="Y911" s="366"/>
      <c r="Z911" s="367"/>
      <c r="AA911" s="367"/>
      <c r="AB911" s="13"/>
      <c r="AC911" s="13"/>
      <c r="AD911" s="13"/>
      <c r="AE911" s="13"/>
      <c r="AF911" s="13"/>
      <c r="AG911" s="13"/>
      <c r="AH911" s="13"/>
      <c r="AI911" s="13"/>
      <c r="AJ911" s="13"/>
      <c r="AK911" s="13"/>
      <c r="AL911" s="13"/>
      <c r="AM911" s="14"/>
      <c r="AN911" s="14"/>
      <c r="AO911" s="14"/>
      <c r="AP911" s="14"/>
      <c r="AQ911" s="14"/>
      <c r="AR911" s="14"/>
      <c r="AS911" s="14"/>
      <c r="AT911" s="14"/>
      <c r="AU911" s="14"/>
      <c r="AV911" s="14"/>
      <c r="AW911" s="14"/>
      <c r="AX911" s="14"/>
      <c r="AY911" s="14"/>
      <c r="AZ911" s="14"/>
      <c r="BA911" s="14"/>
      <c r="BB911" s="14"/>
      <c r="BC911" s="14"/>
      <c r="BD911" s="14"/>
      <c r="BE911" s="14"/>
      <c r="BF911" s="14"/>
      <c r="BG911" s="14"/>
      <c r="BH911" s="14"/>
      <c r="BI911" s="14"/>
      <c r="BJ911" s="14"/>
      <c r="BK911" s="14"/>
      <c r="BL911" s="14"/>
      <c r="BM911" s="14"/>
      <c r="BN911" s="14"/>
    </row>
    <row r="912" ht="22.5" customHeight="1">
      <c r="A912" s="493"/>
      <c r="B912" s="350"/>
      <c r="C912" s="351"/>
      <c r="D912" s="447"/>
      <c r="E912" s="494"/>
      <c r="F912" s="495"/>
      <c r="G912" s="434"/>
      <c r="H912" s="394"/>
      <c r="I912" s="394"/>
      <c r="J912" s="477"/>
      <c r="K912" s="479"/>
      <c r="L912" s="496"/>
      <c r="M912" s="496"/>
      <c r="N912" s="360"/>
      <c r="O912" s="497"/>
      <c r="P912" s="362"/>
      <c r="Q912" s="387"/>
      <c r="R912" s="387"/>
      <c r="S912" s="439"/>
      <c r="T912" s="439"/>
      <c r="U912" s="498"/>
      <c r="V912" s="430"/>
      <c r="W912" s="382"/>
      <c r="X912" s="366"/>
      <c r="Y912" s="366"/>
      <c r="Z912" s="367"/>
      <c r="AA912" s="367"/>
      <c r="AB912" s="13"/>
      <c r="AC912" s="13"/>
      <c r="AD912" s="13"/>
      <c r="AE912" s="13"/>
      <c r="AF912" s="13"/>
      <c r="AG912" s="13"/>
      <c r="AH912" s="13"/>
      <c r="AI912" s="13"/>
      <c r="AJ912" s="13"/>
      <c r="AK912" s="13"/>
      <c r="AL912" s="13"/>
      <c r="AM912" s="14"/>
      <c r="AN912" s="14"/>
      <c r="AO912" s="14"/>
      <c r="AP912" s="14"/>
      <c r="AQ912" s="14"/>
      <c r="AR912" s="14"/>
      <c r="AS912" s="14"/>
      <c r="AT912" s="14"/>
      <c r="AU912" s="14"/>
      <c r="AV912" s="14"/>
      <c r="AW912" s="14"/>
      <c r="AX912" s="14"/>
      <c r="AY912" s="14"/>
      <c r="AZ912" s="14"/>
      <c r="BA912" s="14"/>
      <c r="BB912" s="14"/>
      <c r="BC912" s="14"/>
      <c r="BD912" s="14"/>
      <c r="BE912" s="14"/>
      <c r="BF912" s="14"/>
      <c r="BG912" s="14"/>
      <c r="BH912" s="14"/>
      <c r="BI912" s="14"/>
      <c r="BJ912" s="14"/>
      <c r="BK912" s="14"/>
      <c r="BL912" s="14"/>
      <c r="BM912" s="14"/>
      <c r="BN912" s="14"/>
    </row>
    <row r="913" ht="22.5" customHeight="1">
      <c r="A913" s="493"/>
      <c r="B913" s="350"/>
      <c r="C913" s="351"/>
      <c r="D913" s="447"/>
      <c r="E913" s="494"/>
      <c r="F913" s="495"/>
      <c r="G913" s="434"/>
      <c r="H913" s="394"/>
      <c r="I913" s="394"/>
      <c r="J913" s="477"/>
      <c r="K913" s="479"/>
      <c r="L913" s="496"/>
      <c r="M913" s="496"/>
      <c r="N913" s="360"/>
      <c r="O913" s="497"/>
      <c r="P913" s="362"/>
      <c r="Q913" s="387"/>
      <c r="R913" s="387"/>
      <c r="S913" s="439"/>
      <c r="T913" s="439"/>
      <c r="U913" s="498"/>
      <c r="V913" s="430"/>
      <c r="W913" s="382"/>
      <c r="X913" s="366"/>
      <c r="Y913" s="366"/>
      <c r="Z913" s="367"/>
      <c r="AA913" s="367"/>
      <c r="AB913" s="13"/>
      <c r="AC913" s="13"/>
      <c r="AD913" s="13"/>
      <c r="AE913" s="13"/>
      <c r="AF913" s="13"/>
      <c r="AG913" s="13"/>
      <c r="AH913" s="13"/>
      <c r="AI913" s="13"/>
      <c r="AJ913" s="13"/>
      <c r="AK913" s="13"/>
      <c r="AL913" s="13"/>
      <c r="AM913" s="14"/>
      <c r="AN913" s="14"/>
      <c r="AO913" s="14"/>
      <c r="AP913" s="14"/>
      <c r="AQ913" s="14"/>
      <c r="AR913" s="14"/>
      <c r="AS913" s="14"/>
      <c r="AT913" s="14"/>
      <c r="AU913" s="14"/>
      <c r="AV913" s="14"/>
      <c r="AW913" s="14"/>
      <c r="AX913" s="14"/>
      <c r="AY913" s="14"/>
      <c r="AZ913" s="14"/>
      <c r="BA913" s="14"/>
      <c r="BB913" s="14"/>
      <c r="BC913" s="14"/>
      <c r="BD913" s="14"/>
      <c r="BE913" s="14"/>
      <c r="BF913" s="14"/>
      <c r="BG913" s="14"/>
      <c r="BH913" s="14"/>
      <c r="BI913" s="14"/>
      <c r="BJ913" s="14"/>
      <c r="BK913" s="14"/>
      <c r="BL913" s="14"/>
      <c r="BM913" s="14"/>
      <c r="BN913" s="14"/>
    </row>
    <row r="914" ht="22.5" customHeight="1">
      <c r="A914" s="493"/>
      <c r="B914" s="350"/>
      <c r="C914" s="351"/>
      <c r="D914" s="447"/>
      <c r="E914" s="494"/>
      <c r="F914" s="495"/>
      <c r="G914" s="434"/>
      <c r="H914" s="394"/>
      <c r="I914" s="394"/>
      <c r="J914" s="477"/>
      <c r="K914" s="479"/>
      <c r="L914" s="496"/>
      <c r="M914" s="496"/>
      <c r="N914" s="360"/>
      <c r="O914" s="497"/>
      <c r="P914" s="362"/>
      <c r="Q914" s="387"/>
      <c r="R914" s="387"/>
      <c r="S914" s="439"/>
      <c r="T914" s="439"/>
      <c r="U914" s="498"/>
      <c r="V914" s="430"/>
      <c r="W914" s="382"/>
      <c r="X914" s="366"/>
      <c r="Y914" s="366"/>
      <c r="Z914" s="367"/>
      <c r="AA914" s="367"/>
      <c r="AB914" s="13"/>
      <c r="AC914" s="13"/>
      <c r="AD914" s="13"/>
      <c r="AE914" s="13"/>
      <c r="AF914" s="13"/>
      <c r="AG914" s="13"/>
      <c r="AH914" s="13"/>
      <c r="AI914" s="13"/>
      <c r="AJ914" s="13"/>
      <c r="AK914" s="13"/>
      <c r="AL914" s="13"/>
      <c r="AM914" s="14"/>
      <c r="AN914" s="14"/>
      <c r="AO914" s="14"/>
      <c r="AP914" s="14"/>
      <c r="AQ914" s="14"/>
      <c r="AR914" s="14"/>
      <c r="AS914" s="14"/>
      <c r="AT914" s="14"/>
      <c r="AU914" s="14"/>
      <c r="AV914" s="14"/>
      <c r="AW914" s="14"/>
      <c r="AX914" s="14"/>
      <c r="AY914" s="14"/>
      <c r="AZ914" s="14"/>
      <c r="BA914" s="14"/>
      <c r="BB914" s="14"/>
      <c r="BC914" s="14"/>
      <c r="BD914" s="14"/>
      <c r="BE914" s="14"/>
      <c r="BF914" s="14"/>
      <c r="BG914" s="14"/>
      <c r="BH914" s="14"/>
      <c r="BI914" s="14"/>
      <c r="BJ914" s="14"/>
      <c r="BK914" s="14"/>
      <c r="BL914" s="14"/>
      <c r="BM914" s="14"/>
      <c r="BN914" s="14"/>
    </row>
    <row r="915" ht="22.5" customHeight="1">
      <c r="A915" s="493"/>
      <c r="B915" s="350"/>
      <c r="C915" s="351"/>
      <c r="D915" s="447"/>
      <c r="E915" s="494"/>
      <c r="F915" s="495"/>
      <c r="G915" s="434"/>
      <c r="H915" s="394"/>
      <c r="I915" s="394"/>
      <c r="J915" s="477"/>
      <c r="K915" s="479"/>
      <c r="L915" s="496"/>
      <c r="M915" s="496"/>
      <c r="N915" s="360"/>
      <c r="O915" s="497"/>
      <c r="P915" s="362"/>
      <c r="Q915" s="387"/>
      <c r="R915" s="387"/>
      <c r="S915" s="439"/>
      <c r="T915" s="439"/>
      <c r="U915" s="498"/>
      <c r="V915" s="430"/>
      <c r="W915" s="382"/>
      <c r="X915" s="366"/>
      <c r="Y915" s="366"/>
      <c r="Z915" s="367"/>
      <c r="AA915" s="367"/>
      <c r="AB915" s="13"/>
      <c r="AC915" s="13"/>
      <c r="AD915" s="13"/>
      <c r="AE915" s="13"/>
      <c r="AF915" s="13"/>
      <c r="AG915" s="13"/>
      <c r="AH915" s="13"/>
      <c r="AI915" s="13"/>
      <c r="AJ915" s="13"/>
      <c r="AK915" s="13"/>
      <c r="AL915" s="13"/>
      <c r="AM915" s="14"/>
      <c r="AN915" s="14"/>
      <c r="AO915" s="14"/>
      <c r="AP915" s="14"/>
      <c r="AQ915" s="14"/>
      <c r="AR915" s="14"/>
      <c r="AS915" s="14"/>
      <c r="AT915" s="14"/>
      <c r="AU915" s="14"/>
      <c r="AV915" s="14"/>
      <c r="AW915" s="14"/>
      <c r="AX915" s="14"/>
      <c r="AY915" s="14"/>
      <c r="AZ915" s="14"/>
      <c r="BA915" s="14"/>
      <c r="BB915" s="14"/>
      <c r="BC915" s="14"/>
      <c r="BD915" s="14"/>
      <c r="BE915" s="14"/>
      <c r="BF915" s="14"/>
      <c r="BG915" s="14"/>
      <c r="BH915" s="14"/>
      <c r="BI915" s="14"/>
      <c r="BJ915" s="14"/>
      <c r="BK915" s="14"/>
      <c r="BL915" s="14"/>
      <c r="BM915" s="14"/>
      <c r="BN915" s="14"/>
    </row>
    <row r="916" ht="22.5" customHeight="1">
      <c r="A916" s="493"/>
      <c r="B916" s="350"/>
      <c r="C916" s="351"/>
      <c r="D916" s="447"/>
      <c r="E916" s="494"/>
      <c r="F916" s="495"/>
      <c r="G916" s="434"/>
      <c r="H916" s="394"/>
      <c r="I916" s="394"/>
      <c r="J916" s="477"/>
      <c r="K916" s="479"/>
      <c r="L916" s="496"/>
      <c r="M916" s="496"/>
      <c r="N916" s="360"/>
      <c r="O916" s="497"/>
      <c r="P916" s="362"/>
      <c r="Q916" s="387"/>
      <c r="R916" s="387"/>
      <c r="S916" s="439"/>
      <c r="T916" s="439"/>
      <c r="U916" s="498"/>
      <c r="V916" s="430"/>
      <c r="W916" s="382"/>
      <c r="X916" s="366"/>
      <c r="Y916" s="366"/>
      <c r="Z916" s="367"/>
      <c r="AA916" s="367"/>
      <c r="AB916" s="13"/>
      <c r="AC916" s="13"/>
      <c r="AD916" s="13"/>
      <c r="AE916" s="13"/>
      <c r="AF916" s="13"/>
      <c r="AG916" s="13"/>
      <c r="AH916" s="13"/>
      <c r="AI916" s="13"/>
      <c r="AJ916" s="13"/>
      <c r="AK916" s="13"/>
      <c r="AL916" s="13"/>
      <c r="AM916" s="14"/>
      <c r="AN916" s="14"/>
      <c r="AO916" s="14"/>
      <c r="AP916" s="14"/>
      <c r="AQ916" s="14"/>
      <c r="AR916" s="14"/>
      <c r="AS916" s="14"/>
      <c r="AT916" s="14"/>
      <c r="AU916" s="14"/>
      <c r="AV916" s="14"/>
      <c r="AW916" s="14"/>
      <c r="AX916" s="14"/>
      <c r="AY916" s="14"/>
      <c r="AZ916" s="14"/>
      <c r="BA916" s="14"/>
      <c r="BB916" s="14"/>
      <c r="BC916" s="14"/>
      <c r="BD916" s="14"/>
      <c r="BE916" s="14"/>
      <c r="BF916" s="14"/>
      <c r="BG916" s="14"/>
      <c r="BH916" s="14"/>
      <c r="BI916" s="14"/>
      <c r="BJ916" s="14"/>
      <c r="BK916" s="14"/>
      <c r="BL916" s="14"/>
      <c r="BM916" s="14"/>
      <c r="BN916" s="14"/>
    </row>
    <row r="917" ht="22.5" customHeight="1">
      <c r="A917" s="493"/>
      <c r="B917" s="350"/>
      <c r="C917" s="351"/>
      <c r="D917" s="447"/>
      <c r="E917" s="494"/>
      <c r="F917" s="495"/>
      <c r="G917" s="434"/>
      <c r="H917" s="394"/>
      <c r="I917" s="394"/>
      <c r="J917" s="477"/>
      <c r="K917" s="479"/>
      <c r="L917" s="496"/>
      <c r="M917" s="496"/>
      <c r="N917" s="360"/>
      <c r="O917" s="497"/>
      <c r="P917" s="362"/>
      <c r="Q917" s="387"/>
      <c r="R917" s="387"/>
      <c r="S917" s="439"/>
      <c r="T917" s="439"/>
      <c r="U917" s="498"/>
      <c r="V917" s="430"/>
      <c r="W917" s="382"/>
      <c r="X917" s="366"/>
      <c r="Y917" s="366"/>
      <c r="Z917" s="367"/>
      <c r="AA917" s="367"/>
      <c r="AB917" s="13"/>
      <c r="AC917" s="13"/>
      <c r="AD917" s="13"/>
      <c r="AE917" s="13"/>
      <c r="AF917" s="13"/>
      <c r="AG917" s="13"/>
      <c r="AH917" s="13"/>
      <c r="AI917" s="13"/>
      <c r="AJ917" s="13"/>
      <c r="AK917" s="13"/>
      <c r="AL917" s="13"/>
      <c r="AM917" s="14"/>
      <c r="AN917" s="14"/>
      <c r="AO917" s="14"/>
      <c r="AP917" s="14"/>
      <c r="AQ917" s="14"/>
      <c r="AR917" s="14"/>
      <c r="AS917" s="14"/>
      <c r="AT917" s="14"/>
      <c r="AU917" s="14"/>
      <c r="AV917" s="14"/>
      <c r="AW917" s="14"/>
      <c r="AX917" s="14"/>
      <c r="AY917" s="14"/>
      <c r="AZ917" s="14"/>
      <c r="BA917" s="14"/>
      <c r="BB917" s="14"/>
      <c r="BC917" s="14"/>
      <c r="BD917" s="14"/>
      <c r="BE917" s="14"/>
      <c r="BF917" s="14"/>
      <c r="BG917" s="14"/>
      <c r="BH917" s="14"/>
      <c r="BI917" s="14"/>
      <c r="BJ917" s="14"/>
      <c r="BK917" s="14"/>
      <c r="BL917" s="14"/>
      <c r="BM917" s="14"/>
      <c r="BN917" s="14"/>
    </row>
    <row r="918" ht="22.5" customHeight="1">
      <c r="A918" s="493"/>
      <c r="B918" s="350"/>
      <c r="C918" s="351"/>
      <c r="D918" s="447"/>
      <c r="E918" s="494"/>
      <c r="F918" s="495"/>
      <c r="G918" s="434"/>
      <c r="H918" s="394"/>
      <c r="I918" s="394"/>
      <c r="J918" s="477"/>
      <c r="K918" s="479"/>
      <c r="L918" s="496"/>
      <c r="M918" s="496"/>
      <c r="N918" s="360"/>
      <c r="O918" s="497"/>
      <c r="P918" s="362"/>
      <c r="Q918" s="387"/>
      <c r="R918" s="387"/>
      <c r="S918" s="439"/>
      <c r="T918" s="439"/>
      <c r="U918" s="498"/>
      <c r="V918" s="430"/>
      <c r="W918" s="382"/>
      <c r="X918" s="366"/>
      <c r="Y918" s="366"/>
      <c r="Z918" s="367"/>
      <c r="AA918" s="367"/>
      <c r="AB918" s="13"/>
      <c r="AC918" s="13"/>
      <c r="AD918" s="13"/>
      <c r="AE918" s="13"/>
      <c r="AF918" s="13"/>
      <c r="AG918" s="13"/>
      <c r="AH918" s="13"/>
      <c r="AI918" s="13"/>
      <c r="AJ918" s="13"/>
      <c r="AK918" s="13"/>
      <c r="AL918" s="13"/>
      <c r="AM918" s="14"/>
      <c r="AN918" s="14"/>
      <c r="AO918" s="14"/>
      <c r="AP918" s="14"/>
      <c r="AQ918" s="14"/>
      <c r="AR918" s="14"/>
      <c r="AS918" s="14"/>
      <c r="AT918" s="14"/>
      <c r="AU918" s="14"/>
      <c r="AV918" s="14"/>
      <c r="AW918" s="14"/>
      <c r="AX918" s="14"/>
      <c r="AY918" s="14"/>
      <c r="AZ918" s="14"/>
      <c r="BA918" s="14"/>
      <c r="BB918" s="14"/>
      <c r="BC918" s="14"/>
      <c r="BD918" s="14"/>
      <c r="BE918" s="14"/>
      <c r="BF918" s="14"/>
      <c r="BG918" s="14"/>
      <c r="BH918" s="14"/>
      <c r="BI918" s="14"/>
      <c r="BJ918" s="14"/>
      <c r="BK918" s="14"/>
      <c r="BL918" s="14"/>
      <c r="BM918" s="14"/>
      <c r="BN918" s="14"/>
    </row>
    <row r="919" ht="22.5" customHeight="1">
      <c r="A919" s="493"/>
      <c r="B919" s="350"/>
      <c r="C919" s="351"/>
      <c r="D919" s="447"/>
      <c r="E919" s="494"/>
      <c r="F919" s="495"/>
      <c r="G919" s="434"/>
      <c r="H919" s="394"/>
      <c r="I919" s="394"/>
      <c r="J919" s="477"/>
      <c r="K919" s="479"/>
      <c r="L919" s="496"/>
      <c r="M919" s="496"/>
      <c r="N919" s="360"/>
      <c r="O919" s="497"/>
      <c r="P919" s="362"/>
      <c r="Q919" s="387"/>
      <c r="R919" s="387"/>
      <c r="S919" s="439"/>
      <c r="T919" s="439"/>
      <c r="U919" s="498"/>
      <c r="V919" s="430"/>
      <c r="W919" s="382"/>
      <c r="X919" s="366"/>
      <c r="Y919" s="366"/>
      <c r="Z919" s="367"/>
      <c r="AA919" s="367"/>
      <c r="AB919" s="13"/>
      <c r="AC919" s="13"/>
      <c r="AD919" s="13"/>
      <c r="AE919" s="13"/>
      <c r="AF919" s="13"/>
      <c r="AG919" s="13"/>
      <c r="AH919" s="13"/>
      <c r="AI919" s="13"/>
      <c r="AJ919" s="13"/>
      <c r="AK919" s="13"/>
      <c r="AL919" s="13"/>
      <c r="AM919" s="14"/>
      <c r="AN919" s="14"/>
      <c r="AO919" s="14"/>
      <c r="AP919" s="14"/>
      <c r="AQ919" s="14"/>
      <c r="AR919" s="14"/>
      <c r="AS919" s="14"/>
      <c r="AT919" s="14"/>
      <c r="AU919" s="14"/>
      <c r="AV919" s="14"/>
      <c r="AW919" s="14"/>
      <c r="AX919" s="14"/>
      <c r="AY919" s="14"/>
      <c r="AZ919" s="14"/>
      <c r="BA919" s="14"/>
      <c r="BB919" s="14"/>
      <c r="BC919" s="14"/>
      <c r="BD919" s="14"/>
      <c r="BE919" s="14"/>
      <c r="BF919" s="14"/>
      <c r="BG919" s="14"/>
      <c r="BH919" s="14"/>
      <c r="BI919" s="14"/>
      <c r="BJ919" s="14"/>
      <c r="BK919" s="14"/>
      <c r="BL919" s="14"/>
      <c r="BM919" s="14"/>
      <c r="BN919" s="14"/>
    </row>
    <row r="920" ht="22.5" customHeight="1">
      <c r="A920" s="493"/>
      <c r="B920" s="350"/>
      <c r="C920" s="351"/>
      <c r="D920" s="447"/>
      <c r="E920" s="494"/>
      <c r="F920" s="495"/>
      <c r="G920" s="434"/>
      <c r="H920" s="394"/>
      <c r="I920" s="394"/>
      <c r="J920" s="477"/>
      <c r="K920" s="479"/>
      <c r="L920" s="496"/>
      <c r="M920" s="496"/>
      <c r="N920" s="360"/>
      <c r="O920" s="497"/>
      <c r="P920" s="362"/>
      <c r="Q920" s="387"/>
      <c r="R920" s="387"/>
      <c r="S920" s="439"/>
      <c r="T920" s="439"/>
      <c r="U920" s="498"/>
      <c r="V920" s="430"/>
      <c r="W920" s="382"/>
      <c r="X920" s="366"/>
      <c r="Y920" s="366"/>
      <c r="Z920" s="367"/>
      <c r="AA920" s="367"/>
      <c r="AB920" s="13"/>
      <c r="AC920" s="13"/>
      <c r="AD920" s="13"/>
      <c r="AE920" s="13"/>
      <c r="AF920" s="13"/>
      <c r="AG920" s="13"/>
      <c r="AH920" s="13"/>
      <c r="AI920" s="13"/>
      <c r="AJ920" s="13"/>
      <c r="AK920" s="13"/>
      <c r="AL920" s="13"/>
      <c r="AM920" s="14"/>
      <c r="AN920" s="14"/>
      <c r="AO920" s="14"/>
      <c r="AP920" s="14"/>
      <c r="AQ920" s="14"/>
      <c r="AR920" s="14"/>
      <c r="AS920" s="14"/>
      <c r="AT920" s="14"/>
      <c r="AU920" s="14"/>
      <c r="AV920" s="14"/>
      <c r="AW920" s="14"/>
      <c r="AX920" s="14"/>
      <c r="AY920" s="14"/>
      <c r="AZ920" s="14"/>
      <c r="BA920" s="14"/>
      <c r="BB920" s="14"/>
      <c r="BC920" s="14"/>
      <c r="BD920" s="14"/>
      <c r="BE920" s="14"/>
      <c r="BF920" s="14"/>
      <c r="BG920" s="14"/>
      <c r="BH920" s="14"/>
      <c r="BI920" s="14"/>
      <c r="BJ920" s="14"/>
      <c r="BK920" s="14"/>
      <c r="BL920" s="14"/>
      <c r="BM920" s="14"/>
      <c r="BN920" s="14"/>
    </row>
    <row r="921" ht="22.5" customHeight="1">
      <c r="A921" s="493"/>
      <c r="B921" s="350"/>
      <c r="C921" s="351"/>
      <c r="D921" s="447"/>
      <c r="E921" s="494"/>
      <c r="F921" s="495"/>
      <c r="G921" s="434"/>
      <c r="H921" s="394"/>
      <c r="I921" s="394"/>
      <c r="J921" s="477"/>
      <c r="K921" s="479"/>
      <c r="L921" s="496"/>
      <c r="M921" s="496"/>
      <c r="N921" s="360"/>
      <c r="O921" s="497"/>
      <c r="P921" s="362"/>
      <c r="Q921" s="387"/>
      <c r="R921" s="387"/>
      <c r="S921" s="439"/>
      <c r="T921" s="439"/>
      <c r="U921" s="498"/>
      <c r="V921" s="430"/>
      <c r="W921" s="382"/>
      <c r="X921" s="366"/>
      <c r="Y921" s="366"/>
      <c r="Z921" s="367"/>
      <c r="AA921" s="367"/>
      <c r="AB921" s="13"/>
      <c r="AC921" s="13"/>
      <c r="AD921" s="13"/>
      <c r="AE921" s="13"/>
      <c r="AF921" s="13"/>
      <c r="AG921" s="13"/>
      <c r="AH921" s="13"/>
      <c r="AI921" s="13"/>
      <c r="AJ921" s="13"/>
      <c r="AK921" s="13"/>
      <c r="AL921" s="13"/>
      <c r="AM921" s="14"/>
      <c r="AN921" s="14"/>
      <c r="AO921" s="14"/>
      <c r="AP921" s="14"/>
      <c r="AQ921" s="14"/>
      <c r="AR921" s="14"/>
      <c r="AS921" s="14"/>
      <c r="AT921" s="14"/>
      <c r="AU921" s="14"/>
      <c r="AV921" s="14"/>
      <c r="AW921" s="14"/>
      <c r="AX921" s="14"/>
      <c r="AY921" s="14"/>
      <c r="AZ921" s="14"/>
      <c r="BA921" s="14"/>
      <c r="BB921" s="14"/>
      <c r="BC921" s="14"/>
      <c r="BD921" s="14"/>
      <c r="BE921" s="14"/>
      <c r="BF921" s="14"/>
      <c r="BG921" s="14"/>
      <c r="BH921" s="14"/>
      <c r="BI921" s="14"/>
      <c r="BJ921" s="14"/>
      <c r="BK921" s="14"/>
      <c r="BL921" s="14"/>
      <c r="BM921" s="14"/>
      <c r="BN921" s="14"/>
    </row>
    <row r="922" ht="22.5" customHeight="1">
      <c r="A922" s="493"/>
      <c r="B922" s="350"/>
      <c r="C922" s="351"/>
      <c r="D922" s="447"/>
      <c r="E922" s="494"/>
      <c r="F922" s="495"/>
      <c r="G922" s="434"/>
      <c r="H922" s="394"/>
      <c r="I922" s="394"/>
      <c r="J922" s="477"/>
      <c r="K922" s="479"/>
      <c r="L922" s="496"/>
      <c r="M922" s="496"/>
      <c r="N922" s="360"/>
      <c r="O922" s="497"/>
      <c r="P922" s="362"/>
      <c r="Q922" s="387"/>
      <c r="R922" s="387"/>
      <c r="S922" s="439"/>
      <c r="T922" s="439"/>
      <c r="U922" s="498"/>
      <c r="V922" s="430"/>
      <c r="W922" s="382"/>
      <c r="X922" s="366"/>
      <c r="Y922" s="366"/>
      <c r="Z922" s="367"/>
      <c r="AA922" s="367"/>
      <c r="AB922" s="13"/>
      <c r="AC922" s="13"/>
      <c r="AD922" s="13"/>
      <c r="AE922" s="13"/>
      <c r="AF922" s="13"/>
      <c r="AG922" s="13"/>
      <c r="AH922" s="13"/>
      <c r="AI922" s="13"/>
      <c r="AJ922" s="13"/>
      <c r="AK922" s="13"/>
      <c r="AL922" s="13"/>
      <c r="AM922" s="14"/>
      <c r="AN922" s="14"/>
      <c r="AO922" s="14"/>
      <c r="AP922" s="14"/>
      <c r="AQ922" s="14"/>
      <c r="AR922" s="14"/>
      <c r="AS922" s="14"/>
      <c r="AT922" s="14"/>
      <c r="AU922" s="14"/>
      <c r="AV922" s="14"/>
      <c r="AW922" s="14"/>
      <c r="AX922" s="14"/>
      <c r="AY922" s="14"/>
      <c r="AZ922" s="14"/>
      <c r="BA922" s="14"/>
      <c r="BB922" s="14"/>
      <c r="BC922" s="14"/>
      <c r="BD922" s="14"/>
      <c r="BE922" s="14"/>
      <c r="BF922" s="14"/>
      <c r="BG922" s="14"/>
      <c r="BH922" s="14"/>
      <c r="BI922" s="14"/>
      <c r="BJ922" s="14"/>
      <c r="BK922" s="14"/>
      <c r="BL922" s="14"/>
      <c r="BM922" s="14"/>
      <c r="BN922" s="14"/>
    </row>
    <row r="923" ht="22.5" customHeight="1">
      <c r="A923" s="493"/>
      <c r="B923" s="350"/>
      <c r="C923" s="351"/>
      <c r="D923" s="447"/>
      <c r="E923" s="494"/>
      <c r="F923" s="495"/>
      <c r="G923" s="434"/>
      <c r="H923" s="394"/>
      <c r="I923" s="394"/>
      <c r="J923" s="477"/>
      <c r="K923" s="479"/>
      <c r="L923" s="496"/>
      <c r="M923" s="496"/>
      <c r="N923" s="360"/>
      <c r="O923" s="497"/>
      <c r="P923" s="362"/>
      <c r="Q923" s="387"/>
      <c r="R923" s="387"/>
      <c r="S923" s="439"/>
      <c r="T923" s="439"/>
      <c r="U923" s="498"/>
      <c r="V923" s="430"/>
      <c r="W923" s="382"/>
      <c r="X923" s="366"/>
      <c r="Y923" s="366"/>
      <c r="Z923" s="367"/>
      <c r="AA923" s="367"/>
      <c r="AB923" s="13"/>
      <c r="AC923" s="13"/>
      <c r="AD923" s="13"/>
      <c r="AE923" s="13"/>
      <c r="AF923" s="13"/>
      <c r="AG923" s="13"/>
      <c r="AH923" s="13"/>
      <c r="AI923" s="13"/>
      <c r="AJ923" s="13"/>
      <c r="AK923" s="13"/>
      <c r="AL923" s="13"/>
      <c r="AM923" s="14"/>
      <c r="AN923" s="14"/>
      <c r="AO923" s="14"/>
      <c r="AP923" s="14"/>
      <c r="AQ923" s="14"/>
      <c r="AR923" s="14"/>
      <c r="AS923" s="14"/>
      <c r="AT923" s="14"/>
      <c r="AU923" s="14"/>
      <c r="AV923" s="14"/>
      <c r="AW923" s="14"/>
      <c r="AX923" s="14"/>
      <c r="AY923" s="14"/>
      <c r="AZ923" s="14"/>
      <c r="BA923" s="14"/>
      <c r="BB923" s="14"/>
      <c r="BC923" s="14"/>
      <c r="BD923" s="14"/>
      <c r="BE923" s="14"/>
      <c r="BF923" s="14"/>
      <c r="BG923" s="14"/>
      <c r="BH923" s="14"/>
      <c r="BI923" s="14"/>
      <c r="BJ923" s="14"/>
      <c r="BK923" s="14"/>
      <c r="BL923" s="14"/>
      <c r="BM923" s="14"/>
      <c r="BN923" s="14"/>
    </row>
    <row r="924" ht="22.5" customHeight="1">
      <c r="A924" s="493"/>
      <c r="B924" s="350"/>
      <c r="C924" s="351"/>
      <c r="D924" s="447"/>
      <c r="E924" s="494"/>
      <c r="F924" s="495"/>
      <c r="G924" s="434"/>
      <c r="H924" s="394"/>
      <c r="I924" s="394"/>
      <c r="J924" s="477"/>
      <c r="K924" s="479"/>
      <c r="L924" s="496"/>
      <c r="M924" s="496"/>
      <c r="N924" s="360"/>
      <c r="O924" s="497"/>
      <c r="P924" s="362"/>
      <c r="Q924" s="387"/>
      <c r="R924" s="387"/>
      <c r="S924" s="439"/>
      <c r="T924" s="439"/>
      <c r="U924" s="498"/>
      <c r="V924" s="430"/>
      <c r="W924" s="382"/>
      <c r="X924" s="366"/>
      <c r="Y924" s="366"/>
      <c r="Z924" s="367"/>
      <c r="AA924" s="367"/>
      <c r="AB924" s="13"/>
      <c r="AC924" s="13"/>
      <c r="AD924" s="13"/>
      <c r="AE924" s="13"/>
      <c r="AF924" s="13"/>
      <c r="AG924" s="13"/>
      <c r="AH924" s="13"/>
      <c r="AI924" s="13"/>
      <c r="AJ924" s="13"/>
      <c r="AK924" s="13"/>
      <c r="AL924" s="13"/>
      <c r="AM924" s="14"/>
      <c r="AN924" s="14"/>
      <c r="AO924" s="14"/>
      <c r="AP924" s="14"/>
      <c r="AQ924" s="14"/>
      <c r="AR924" s="14"/>
      <c r="AS924" s="14"/>
      <c r="AT924" s="14"/>
      <c r="AU924" s="14"/>
      <c r="AV924" s="14"/>
      <c r="AW924" s="14"/>
      <c r="AX924" s="14"/>
      <c r="AY924" s="14"/>
      <c r="AZ924" s="14"/>
      <c r="BA924" s="14"/>
      <c r="BB924" s="14"/>
      <c r="BC924" s="14"/>
      <c r="BD924" s="14"/>
      <c r="BE924" s="14"/>
      <c r="BF924" s="14"/>
      <c r="BG924" s="14"/>
      <c r="BH924" s="14"/>
      <c r="BI924" s="14"/>
      <c r="BJ924" s="14"/>
      <c r="BK924" s="14"/>
      <c r="BL924" s="14"/>
      <c r="BM924" s="14"/>
      <c r="BN924" s="14"/>
    </row>
    <row r="925" ht="22.5" customHeight="1">
      <c r="A925" s="493"/>
      <c r="B925" s="350"/>
      <c r="C925" s="351"/>
      <c r="D925" s="447"/>
      <c r="E925" s="494"/>
      <c r="F925" s="495"/>
      <c r="G925" s="434"/>
      <c r="H925" s="394"/>
      <c r="I925" s="394"/>
      <c r="J925" s="477"/>
      <c r="K925" s="479"/>
      <c r="L925" s="496"/>
      <c r="M925" s="496"/>
      <c r="N925" s="360"/>
      <c r="O925" s="497"/>
      <c r="P925" s="362"/>
      <c r="Q925" s="387"/>
      <c r="R925" s="387"/>
      <c r="S925" s="439"/>
      <c r="T925" s="439"/>
      <c r="U925" s="498"/>
      <c r="V925" s="430"/>
      <c r="W925" s="382"/>
      <c r="X925" s="366"/>
      <c r="Y925" s="366"/>
      <c r="Z925" s="367"/>
      <c r="AA925" s="367"/>
      <c r="AB925" s="13"/>
      <c r="AC925" s="13"/>
      <c r="AD925" s="13"/>
      <c r="AE925" s="13"/>
      <c r="AF925" s="13"/>
      <c r="AG925" s="13"/>
      <c r="AH925" s="13"/>
      <c r="AI925" s="13"/>
      <c r="AJ925" s="13"/>
      <c r="AK925" s="13"/>
      <c r="AL925" s="13"/>
      <c r="AM925" s="14"/>
      <c r="AN925" s="14"/>
      <c r="AO925" s="14"/>
      <c r="AP925" s="14"/>
      <c r="AQ925" s="14"/>
      <c r="AR925" s="14"/>
      <c r="AS925" s="14"/>
      <c r="AT925" s="14"/>
      <c r="AU925" s="14"/>
      <c r="AV925" s="14"/>
      <c r="AW925" s="14"/>
      <c r="AX925" s="14"/>
      <c r="AY925" s="14"/>
      <c r="AZ925" s="14"/>
      <c r="BA925" s="14"/>
      <c r="BB925" s="14"/>
      <c r="BC925" s="14"/>
      <c r="BD925" s="14"/>
      <c r="BE925" s="14"/>
      <c r="BF925" s="14"/>
      <c r="BG925" s="14"/>
      <c r="BH925" s="14"/>
      <c r="BI925" s="14"/>
      <c r="BJ925" s="14"/>
      <c r="BK925" s="14"/>
      <c r="BL925" s="14"/>
      <c r="BM925" s="14"/>
      <c r="BN925" s="14"/>
    </row>
    <row r="926" ht="22.5" customHeight="1">
      <c r="A926" s="493"/>
      <c r="B926" s="350"/>
      <c r="C926" s="351"/>
      <c r="D926" s="447"/>
      <c r="E926" s="494"/>
      <c r="F926" s="495"/>
      <c r="G926" s="434"/>
      <c r="H926" s="394"/>
      <c r="I926" s="394"/>
      <c r="J926" s="477"/>
      <c r="K926" s="479"/>
      <c r="L926" s="496"/>
      <c r="M926" s="496"/>
      <c r="N926" s="360"/>
      <c r="O926" s="497"/>
      <c r="P926" s="362"/>
      <c r="Q926" s="387"/>
      <c r="R926" s="387"/>
      <c r="S926" s="439"/>
      <c r="T926" s="439"/>
      <c r="U926" s="498"/>
      <c r="V926" s="430"/>
      <c r="W926" s="382"/>
      <c r="X926" s="366"/>
      <c r="Y926" s="366"/>
      <c r="Z926" s="367"/>
      <c r="AA926" s="367"/>
      <c r="AB926" s="13"/>
      <c r="AC926" s="13"/>
      <c r="AD926" s="13"/>
      <c r="AE926" s="13"/>
      <c r="AF926" s="13"/>
      <c r="AG926" s="13"/>
      <c r="AH926" s="13"/>
      <c r="AI926" s="13"/>
      <c r="AJ926" s="13"/>
      <c r="AK926" s="13"/>
      <c r="AL926" s="13"/>
      <c r="AM926" s="14"/>
      <c r="AN926" s="14"/>
      <c r="AO926" s="14"/>
      <c r="AP926" s="14"/>
      <c r="AQ926" s="14"/>
      <c r="AR926" s="14"/>
      <c r="AS926" s="14"/>
      <c r="AT926" s="14"/>
      <c r="AU926" s="14"/>
      <c r="AV926" s="14"/>
      <c r="AW926" s="14"/>
      <c r="AX926" s="14"/>
      <c r="AY926" s="14"/>
      <c r="AZ926" s="14"/>
      <c r="BA926" s="14"/>
      <c r="BB926" s="14"/>
      <c r="BC926" s="14"/>
      <c r="BD926" s="14"/>
      <c r="BE926" s="14"/>
      <c r="BF926" s="14"/>
      <c r="BG926" s="14"/>
      <c r="BH926" s="14"/>
      <c r="BI926" s="14"/>
      <c r="BJ926" s="14"/>
      <c r="BK926" s="14"/>
      <c r="BL926" s="14"/>
      <c r="BM926" s="14"/>
      <c r="BN926" s="14"/>
    </row>
    <row r="927" ht="22.5" customHeight="1">
      <c r="A927" s="493"/>
      <c r="B927" s="350"/>
      <c r="C927" s="351"/>
      <c r="D927" s="447"/>
      <c r="E927" s="494"/>
      <c r="F927" s="495"/>
      <c r="G927" s="434"/>
      <c r="H927" s="394"/>
      <c r="I927" s="394"/>
      <c r="J927" s="477"/>
      <c r="K927" s="479"/>
      <c r="L927" s="496"/>
      <c r="M927" s="496"/>
      <c r="N927" s="360"/>
      <c r="O927" s="497"/>
      <c r="P927" s="362"/>
      <c r="Q927" s="387"/>
      <c r="R927" s="387"/>
      <c r="S927" s="439"/>
      <c r="T927" s="439"/>
      <c r="U927" s="498"/>
      <c r="V927" s="430"/>
      <c r="W927" s="382"/>
      <c r="X927" s="366"/>
      <c r="Y927" s="366"/>
      <c r="Z927" s="367"/>
      <c r="AA927" s="367"/>
      <c r="AB927" s="13"/>
      <c r="AC927" s="13"/>
      <c r="AD927" s="13"/>
      <c r="AE927" s="13"/>
      <c r="AF927" s="13"/>
      <c r="AG927" s="13"/>
      <c r="AH927" s="13"/>
      <c r="AI927" s="13"/>
      <c r="AJ927" s="13"/>
      <c r="AK927" s="13"/>
      <c r="AL927" s="13"/>
      <c r="AM927" s="14"/>
      <c r="AN927" s="14"/>
      <c r="AO927" s="14"/>
      <c r="AP927" s="14"/>
      <c r="AQ927" s="14"/>
      <c r="AR927" s="14"/>
      <c r="AS927" s="14"/>
      <c r="AT927" s="14"/>
      <c r="AU927" s="14"/>
      <c r="AV927" s="14"/>
      <c r="AW927" s="14"/>
      <c r="AX927" s="14"/>
      <c r="AY927" s="14"/>
      <c r="AZ927" s="14"/>
      <c r="BA927" s="14"/>
      <c r="BB927" s="14"/>
      <c r="BC927" s="14"/>
      <c r="BD927" s="14"/>
      <c r="BE927" s="14"/>
      <c r="BF927" s="14"/>
      <c r="BG927" s="14"/>
      <c r="BH927" s="14"/>
      <c r="BI927" s="14"/>
      <c r="BJ927" s="14"/>
      <c r="BK927" s="14"/>
      <c r="BL927" s="14"/>
      <c r="BM927" s="14"/>
      <c r="BN927" s="14"/>
    </row>
    <row r="928" ht="22.5" customHeight="1">
      <c r="A928" s="493"/>
      <c r="B928" s="350"/>
      <c r="C928" s="351"/>
      <c r="D928" s="447"/>
      <c r="E928" s="494"/>
      <c r="F928" s="495"/>
      <c r="G928" s="434"/>
      <c r="H928" s="394"/>
      <c r="I928" s="394"/>
      <c r="J928" s="477"/>
      <c r="K928" s="479"/>
      <c r="L928" s="496"/>
      <c r="M928" s="496"/>
      <c r="N928" s="360"/>
      <c r="O928" s="497"/>
      <c r="P928" s="362"/>
      <c r="Q928" s="387"/>
      <c r="R928" s="387"/>
      <c r="S928" s="439"/>
      <c r="T928" s="439"/>
      <c r="U928" s="498"/>
      <c r="V928" s="430"/>
      <c r="W928" s="382"/>
      <c r="X928" s="366"/>
      <c r="Y928" s="366"/>
      <c r="Z928" s="367"/>
      <c r="AA928" s="367"/>
      <c r="AB928" s="13"/>
      <c r="AC928" s="13"/>
      <c r="AD928" s="13"/>
      <c r="AE928" s="13"/>
      <c r="AF928" s="13"/>
      <c r="AG928" s="13"/>
      <c r="AH928" s="13"/>
      <c r="AI928" s="13"/>
      <c r="AJ928" s="13"/>
      <c r="AK928" s="13"/>
      <c r="AL928" s="13"/>
      <c r="AM928" s="14"/>
      <c r="AN928" s="14"/>
      <c r="AO928" s="14"/>
      <c r="AP928" s="14"/>
      <c r="AQ928" s="14"/>
      <c r="AR928" s="14"/>
      <c r="AS928" s="14"/>
      <c r="AT928" s="14"/>
      <c r="AU928" s="14"/>
      <c r="AV928" s="14"/>
      <c r="AW928" s="14"/>
      <c r="AX928" s="14"/>
      <c r="AY928" s="14"/>
      <c r="AZ928" s="14"/>
      <c r="BA928" s="14"/>
      <c r="BB928" s="14"/>
      <c r="BC928" s="14"/>
      <c r="BD928" s="14"/>
      <c r="BE928" s="14"/>
      <c r="BF928" s="14"/>
      <c r="BG928" s="14"/>
      <c r="BH928" s="14"/>
      <c r="BI928" s="14"/>
      <c r="BJ928" s="14"/>
      <c r="BK928" s="14"/>
      <c r="BL928" s="14"/>
      <c r="BM928" s="14"/>
      <c r="BN928" s="14"/>
    </row>
    <row r="929" ht="22.5" customHeight="1">
      <c r="A929" s="493"/>
      <c r="B929" s="350"/>
      <c r="C929" s="351"/>
      <c r="D929" s="447"/>
      <c r="E929" s="494"/>
      <c r="F929" s="495"/>
      <c r="G929" s="434"/>
      <c r="H929" s="394"/>
      <c r="I929" s="394"/>
      <c r="J929" s="477"/>
      <c r="K929" s="479"/>
      <c r="L929" s="496"/>
      <c r="M929" s="496"/>
      <c r="N929" s="360"/>
      <c r="O929" s="497"/>
      <c r="P929" s="362"/>
      <c r="Q929" s="387"/>
      <c r="R929" s="387"/>
      <c r="S929" s="439"/>
      <c r="T929" s="439"/>
      <c r="U929" s="498"/>
      <c r="V929" s="430"/>
      <c r="W929" s="382"/>
      <c r="X929" s="366"/>
      <c r="Y929" s="366"/>
      <c r="Z929" s="367"/>
      <c r="AA929" s="367"/>
      <c r="AB929" s="13"/>
      <c r="AC929" s="13"/>
      <c r="AD929" s="13"/>
      <c r="AE929" s="13"/>
      <c r="AF929" s="13"/>
      <c r="AG929" s="13"/>
      <c r="AH929" s="13"/>
      <c r="AI929" s="13"/>
      <c r="AJ929" s="13"/>
      <c r="AK929" s="13"/>
      <c r="AL929" s="13"/>
      <c r="AM929" s="14"/>
      <c r="AN929" s="14"/>
      <c r="AO929" s="14"/>
      <c r="AP929" s="14"/>
      <c r="AQ929" s="14"/>
      <c r="AR929" s="14"/>
      <c r="AS929" s="14"/>
      <c r="AT929" s="14"/>
      <c r="AU929" s="14"/>
      <c r="AV929" s="14"/>
      <c r="AW929" s="14"/>
      <c r="AX929" s="14"/>
      <c r="AY929" s="14"/>
      <c r="AZ929" s="14"/>
      <c r="BA929" s="14"/>
      <c r="BB929" s="14"/>
      <c r="BC929" s="14"/>
      <c r="BD929" s="14"/>
      <c r="BE929" s="14"/>
      <c r="BF929" s="14"/>
      <c r="BG929" s="14"/>
      <c r="BH929" s="14"/>
      <c r="BI929" s="14"/>
      <c r="BJ929" s="14"/>
      <c r="BK929" s="14"/>
      <c r="BL929" s="14"/>
      <c r="BM929" s="14"/>
      <c r="BN929" s="14"/>
    </row>
    <row r="930" ht="22.5" customHeight="1">
      <c r="A930" s="493"/>
      <c r="B930" s="350"/>
      <c r="C930" s="351"/>
      <c r="D930" s="447"/>
      <c r="E930" s="494"/>
      <c r="F930" s="495"/>
      <c r="G930" s="434"/>
      <c r="H930" s="394"/>
      <c r="I930" s="394"/>
      <c r="J930" s="477"/>
      <c r="K930" s="479"/>
      <c r="L930" s="496"/>
      <c r="M930" s="496"/>
      <c r="N930" s="360"/>
      <c r="O930" s="497"/>
      <c r="P930" s="362"/>
      <c r="Q930" s="387"/>
      <c r="R930" s="387"/>
      <c r="S930" s="439"/>
      <c r="T930" s="439"/>
      <c r="U930" s="498"/>
      <c r="V930" s="430"/>
      <c r="W930" s="382"/>
      <c r="X930" s="366"/>
      <c r="Y930" s="366"/>
      <c r="Z930" s="367"/>
      <c r="AA930" s="367"/>
      <c r="AB930" s="13"/>
      <c r="AC930" s="13"/>
      <c r="AD930" s="13"/>
      <c r="AE930" s="13"/>
      <c r="AF930" s="13"/>
      <c r="AG930" s="13"/>
      <c r="AH930" s="13"/>
      <c r="AI930" s="13"/>
      <c r="AJ930" s="13"/>
      <c r="AK930" s="13"/>
      <c r="AL930" s="13"/>
      <c r="AM930" s="14"/>
      <c r="AN930" s="14"/>
      <c r="AO930" s="14"/>
      <c r="AP930" s="14"/>
      <c r="AQ930" s="14"/>
      <c r="AR930" s="14"/>
      <c r="AS930" s="14"/>
      <c r="AT930" s="14"/>
      <c r="AU930" s="14"/>
      <c r="AV930" s="14"/>
      <c r="AW930" s="14"/>
      <c r="AX930" s="14"/>
      <c r="AY930" s="14"/>
      <c r="AZ930" s="14"/>
      <c r="BA930" s="14"/>
      <c r="BB930" s="14"/>
      <c r="BC930" s="14"/>
      <c r="BD930" s="14"/>
      <c r="BE930" s="14"/>
      <c r="BF930" s="14"/>
      <c r="BG930" s="14"/>
      <c r="BH930" s="14"/>
      <c r="BI930" s="14"/>
      <c r="BJ930" s="14"/>
      <c r="BK930" s="14"/>
      <c r="BL930" s="14"/>
      <c r="BM930" s="14"/>
      <c r="BN930" s="14"/>
    </row>
    <row r="931" ht="22.5" customHeight="1">
      <c r="A931" s="493"/>
      <c r="B931" s="350"/>
      <c r="C931" s="351"/>
      <c r="D931" s="447"/>
      <c r="E931" s="494"/>
      <c r="F931" s="495"/>
      <c r="G931" s="434"/>
      <c r="H931" s="394"/>
      <c r="I931" s="394"/>
      <c r="J931" s="477"/>
      <c r="K931" s="479"/>
      <c r="L931" s="496"/>
      <c r="M931" s="496"/>
      <c r="N931" s="360"/>
      <c r="O931" s="497"/>
      <c r="P931" s="362"/>
      <c r="Q931" s="387"/>
      <c r="R931" s="387"/>
      <c r="S931" s="439"/>
      <c r="T931" s="439"/>
      <c r="U931" s="498"/>
      <c r="V931" s="430"/>
      <c r="W931" s="382"/>
      <c r="X931" s="366"/>
      <c r="Y931" s="366"/>
      <c r="Z931" s="367"/>
      <c r="AA931" s="367"/>
      <c r="AB931" s="13"/>
      <c r="AC931" s="13"/>
      <c r="AD931" s="13"/>
      <c r="AE931" s="13"/>
      <c r="AF931" s="13"/>
      <c r="AG931" s="13"/>
      <c r="AH931" s="13"/>
      <c r="AI931" s="13"/>
      <c r="AJ931" s="13"/>
      <c r="AK931" s="13"/>
      <c r="AL931" s="13"/>
      <c r="AM931" s="14"/>
      <c r="AN931" s="14"/>
      <c r="AO931" s="14"/>
      <c r="AP931" s="14"/>
      <c r="AQ931" s="14"/>
      <c r="AR931" s="14"/>
      <c r="AS931" s="14"/>
      <c r="AT931" s="14"/>
      <c r="AU931" s="14"/>
      <c r="AV931" s="14"/>
      <c r="AW931" s="14"/>
      <c r="AX931" s="14"/>
      <c r="AY931" s="14"/>
      <c r="AZ931" s="14"/>
      <c r="BA931" s="14"/>
      <c r="BB931" s="14"/>
      <c r="BC931" s="14"/>
      <c r="BD931" s="14"/>
      <c r="BE931" s="14"/>
      <c r="BF931" s="14"/>
      <c r="BG931" s="14"/>
      <c r="BH931" s="14"/>
      <c r="BI931" s="14"/>
      <c r="BJ931" s="14"/>
      <c r="BK931" s="14"/>
      <c r="BL931" s="14"/>
      <c r="BM931" s="14"/>
      <c r="BN931" s="14"/>
    </row>
    <row r="932" ht="22.5" customHeight="1">
      <c r="A932" s="493"/>
      <c r="B932" s="350"/>
      <c r="C932" s="351"/>
      <c r="D932" s="447"/>
      <c r="E932" s="494"/>
      <c r="F932" s="495"/>
      <c r="G932" s="434"/>
      <c r="H932" s="394"/>
      <c r="I932" s="394"/>
      <c r="J932" s="477"/>
      <c r="K932" s="479"/>
      <c r="L932" s="496"/>
      <c r="M932" s="496"/>
      <c r="N932" s="360"/>
      <c r="O932" s="497"/>
      <c r="P932" s="362"/>
      <c r="Q932" s="387"/>
      <c r="R932" s="387"/>
      <c r="S932" s="439"/>
      <c r="T932" s="439"/>
      <c r="U932" s="498"/>
      <c r="V932" s="430"/>
      <c r="W932" s="382"/>
      <c r="X932" s="366"/>
      <c r="Y932" s="366"/>
      <c r="Z932" s="367"/>
      <c r="AA932" s="367"/>
      <c r="AB932" s="13"/>
      <c r="AC932" s="13"/>
      <c r="AD932" s="13"/>
      <c r="AE932" s="13"/>
      <c r="AF932" s="13"/>
      <c r="AG932" s="13"/>
      <c r="AH932" s="13"/>
      <c r="AI932" s="13"/>
      <c r="AJ932" s="13"/>
      <c r="AK932" s="13"/>
      <c r="AL932" s="13"/>
      <c r="AM932" s="14"/>
      <c r="AN932" s="14"/>
      <c r="AO932" s="14"/>
      <c r="AP932" s="14"/>
      <c r="AQ932" s="14"/>
      <c r="AR932" s="14"/>
      <c r="AS932" s="14"/>
      <c r="AT932" s="14"/>
      <c r="AU932" s="14"/>
      <c r="AV932" s="14"/>
      <c r="AW932" s="14"/>
      <c r="AX932" s="14"/>
      <c r="AY932" s="14"/>
      <c r="AZ932" s="14"/>
      <c r="BA932" s="14"/>
      <c r="BB932" s="14"/>
      <c r="BC932" s="14"/>
      <c r="BD932" s="14"/>
      <c r="BE932" s="14"/>
      <c r="BF932" s="14"/>
      <c r="BG932" s="14"/>
      <c r="BH932" s="14"/>
      <c r="BI932" s="14"/>
      <c r="BJ932" s="14"/>
      <c r="BK932" s="14"/>
      <c r="BL932" s="14"/>
      <c r="BM932" s="14"/>
      <c r="BN932" s="14"/>
    </row>
    <row r="933" ht="22.5" customHeight="1">
      <c r="A933" s="493"/>
      <c r="B933" s="350"/>
      <c r="C933" s="351"/>
      <c r="D933" s="447"/>
      <c r="E933" s="494"/>
      <c r="F933" s="495"/>
      <c r="G933" s="434"/>
      <c r="H933" s="394"/>
      <c r="I933" s="394"/>
      <c r="J933" s="477"/>
      <c r="K933" s="479"/>
      <c r="L933" s="496"/>
      <c r="M933" s="496"/>
      <c r="N933" s="360"/>
      <c r="O933" s="497"/>
      <c r="P933" s="362"/>
      <c r="Q933" s="387"/>
      <c r="R933" s="387"/>
      <c r="S933" s="439"/>
      <c r="T933" s="439"/>
      <c r="U933" s="498"/>
      <c r="V933" s="430"/>
      <c r="W933" s="382"/>
      <c r="X933" s="366"/>
      <c r="Y933" s="366"/>
      <c r="Z933" s="367"/>
      <c r="AA933" s="367"/>
      <c r="AB933" s="13"/>
      <c r="AC933" s="13"/>
      <c r="AD933" s="13"/>
      <c r="AE933" s="13"/>
      <c r="AF933" s="13"/>
      <c r="AG933" s="13"/>
      <c r="AH933" s="13"/>
      <c r="AI933" s="13"/>
      <c r="AJ933" s="13"/>
      <c r="AK933" s="13"/>
      <c r="AL933" s="13"/>
      <c r="AM933" s="14"/>
      <c r="AN933" s="14"/>
      <c r="AO933" s="14"/>
      <c r="AP933" s="14"/>
      <c r="AQ933" s="14"/>
      <c r="AR933" s="14"/>
      <c r="AS933" s="14"/>
      <c r="AT933" s="14"/>
      <c r="AU933" s="14"/>
      <c r="AV933" s="14"/>
      <c r="AW933" s="14"/>
      <c r="AX933" s="14"/>
      <c r="AY933" s="14"/>
      <c r="AZ933" s="14"/>
      <c r="BA933" s="14"/>
      <c r="BB933" s="14"/>
      <c r="BC933" s="14"/>
      <c r="BD933" s="14"/>
      <c r="BE933" s="14"/>
      <c r="BF933" s="14"/>
      <c r="BG933" s="14"/>
      <c r="BH933" s="14"/>
      <c r="BI933" s="14"/>
      <c r="BJ933" s="14"/>
      <c r="BK933" s="14"/>
      <c r="BL933" s="14"/>
      <c r="BM933" s="14"/>
      <c r="BN933" s="14"/>
    </row>
    <row r="934" ht="22.5" customHeight="1">
      <c r="A934" s="493"/>
      <c r="B934" s="350"/>
      <c r="C934" s="351"/>
      <c r="D934" s="447"/>
      <c r="E934" s="494"/>
      <c r="F934" s="495"/>
      <c r="G934" s="434"/>
      <c r="H934" s="394"/>
      <c r="I934" s="394"/>
      <c r="J934" s="477"/>
      <c r="K934" s="479"/>
      <c r="L934" s="496"/>
      <c r="M934" s="496"/>
      <c r="N934" s="360"/>
      <c r="O934" s="497"/>
      <c r="P934" s="362"/>
      <c r="Q934" s="387"/>
      <c r="R934" s="387"/>
      <c r="S934" s="439"/>
      <c r="T934" s="439"/>
      <c r="U934" s="498"/>
      <c r="V934" s="430"/>
      <c r="W934" s="382"/>
      <c r="X934" s="366"/>
      <c r="Y934" s="366"/>
      <c r="Z934" s="367"/>
      <c r="AA934" s="367"/>
      <c r="AB934" s="13"/>
      <c r="AC934" s="13"/>
      <c r="AD934" s="13"/>
      <c r="AE934" s="13"/>
      <c r="AF934" s="13"/>
      <c r="AG934" s="13"/>
      <c r="AH934" s="13"/>
      <c r="AI934" s="13"/>
      <c r="AJ934" s="13"/>
      <c r="AK934" s="13"/>
      <c r="AL934" s="13"/>
      <c r="AM934" s="14"/>
      <c r="AN934" s="14"/>
      <c r="AO934" s="14"/>
      <c r="AP934" s="14"/>
      <c r="AQ934" s="14"/>
      <c r="AR934" s="14"/>
      <c r="AS934" s="14"/>
      <c r="AT934" s="14"/>
      <c r="AU934" s="14"/>
      <c r="AV934" s="14"/>
      <c r="AW934" s="14"/>
      <c r="AX934" s="14"/>
      <c r="AY934" s="14"/>
      <c r="AZ934" s="14"/>
      <c r="BA934" s="14"/>
      <c r="BB934" s="14"/>
      <c r="BC934" s="14"/>
      <c r="BD934" s="14"/>
      <c r="BE934" s="14"/>
      <c r="BF934" s="14"/>
      <c r="BG934" s="14"/>
      <c r="BH934" s="14"/>
      <c r="BI934" s="14"/>
      <c r="BJ934" s="14"/>
      <c r="BK934" s="14"/>
      <c r="BL934" s="14"/>
      <c r="BM934" s="14"/>
      <c r="BN934" s="14"/>
    </row>
    <row r="935" ht="22.5" customHeight="1">
      <c r="A935" s="493"/>
      <c r="B935" s="350"/>
      <c r="C935" s="351"/>
      <c r="D935" s="447"/>
      <c r="E935" s="494"/>
      <c r="F935" s="495"/>
      <c r="G935" s="434"/>
      <c r="H935" s="394"/>
      <c r="I935" s="394"/>
      <c r="J935" s="477"/>
      <c r="K935" s="479"/>
      <c r="L935" s="496"/>
      <c r="M935" s="496"/>
      <c r="N935" s="360"/>
      <c r="O935" s="497"/>
      <c r="P935" s="362"/>
      <c r="Q935" s="387"/>
      <c r="R935" s="387"/>
      <c r="S935" s="439"/>
      <c r="T935" s="439"/>
      <c r="U935" s="498"/>
      <c r="V935" s="430"/>
      <c r="W935" s="382"/>
      <c r="X935" s="366"/>
      <c r="Y935" s="366"/>
      <c r="Z935" s="367"/>
      <c r="AA935" s="367"/>
      <c r="AB935" s="13"/>
      <c r="AC935" s="13"/>
      <c r="AD935" s="13"/>
      <c r="AE935" s="13"/>
      <c r="AF935" s="13"/>
      <c r="AG935" s="13"/>
      <c r="AH935" s="13"/>
      <c r="AI935" s="13"/>
      <c r="AJ935" s="13"/>
      <c r="AK935" s="13"/>
      <c r="AL935" s="13"/>
      <c r="AM935" s="14"/>
      <c r="AN935" s="14"/>
      <c r="AO935" s="14"/>
      <c r="AP935" s="14"/>
      <c r="AQ935" s="14"/>
      <c r="AR935" s="14"/>
      <c r="AS935" s="14"/>
      <c r="AT935" s="14"/>
      <c r="AU935" s="14"/>
      <c r="AV935" s="14"/>
      <c r="AW935" s="14"/>
      <c r="AX935" s="14"/>
      <c r="AY935" s="14"/>
      <c r="AZ935" s="14"/>
      <c r="BA935" s="14"/>
      <c r="BB935" s="14"/>
      <c r="BC935" s="14"/>
      <c r="BD935" s="14"/>
      <c r="BE935" s="14"/>
      <c r="BF935" s="14"/>
      <c r="BG935" s="14"/>
      <c r="BH935" s="14"/>
      <c r="BI935" s="14"/>
      <c r="BJ935" s="14"/>
      <c r="BK935" s="14"/>
      <c r="BL935" s="14"/>
      <c r="BM935" s="14"/>
      <c r="BN935" s="14"/>
    </row>
    <row r="936" ht="22.5" customHeight="1">
      <c r="A936" s="493"/>
      <c r="B936" s="350"/>
      <c r="C936" s="351"/>
      <c r="D936" s="447"/>
      <c r="E936" s="494"/>
      <c r="F936" s="495"/>
      <c r="G936" s="434"/>
      <c r="H936" s="394"/>
      <c r="I936" s="394"/>
      <c r="J936" s="477"/>
      <c r="K936" s="479"/>
      <c r="L936" s="496"/>
      <c r="M936" s="496"/>
      <c r="N936" s="360"/>
      <c r="O936" s="497"/>
      <c r="P936" s="362"/>
      <c r="Q936" s="387"/>
      <c r="R936" s="387"/>
      <c r="S936" s="439"/>
      <c r="T936" s="439"/>
      <c r="U936" s="498"/>
      <c r="V936" s="430"/>
      <c r="W936" s="382"/>
      <c r="X936" s="366"/>
      <c r="Y936" s="366"/>
      <c r="Z936" s="367"/>
      <c r="AA936" s="367"/>
      <c r="AB936" s="13"/>
      <c r="AC936" s="13"/>
      <c r="AD936" s="13"/>
      <c r="AE936" s="13"/>
      <c r="AF936" s="13"/>
      <c r="AG936" s="13"/>
      <c r="AH936" s="13"/>
      <c r="AI936" s="13"/>
      <c r="AJ936" s="13"/>
      <c r="AK936" s="13"/>
      <c r="AL936" s="13"/>
      <c r="AM936" s="14"/>
      <c r="AN936" s="14"/>
      <c r="AO936" s="14"/>
      <c r="AP936" s="14"/>
      <c r="AQ936" s="14"/>
      <c r="AR936" s="14"/>
      <c r="AS936" s="14"/>
      <c r="AT936" s="14"/>
      <c r="AU936" s="14"/>
      <c r="AV936" s="14"/>
      <c r="AW936" s="14"/>
      <c r="AX936" s="14"/>
      <c r="AY936" s="14"/>
      <c r="AZ936" s="14"/>
      <c r="BA936" s="14"/>
      <c r="BB936" s="14"/>
      <c r="BC936" s="14"/>
      <c r="BD936" s="14"/>
      <c r="BE936" s="14"/>
      <c r="BF936" s="14"/>
      <c r="BG936" s="14"/>
      <c r="BH936" s="14"/>
      <c r="BI936" s="14"/>
      <c r="BJ936" s="14"/>
      <c r="BK936" s="14"/>
      <c r="BL936" s="14"/>
      <c r="BM936" s="14"/>
      <c r="BN936" s="14"/>
    </row>
    <row r="937" ht="22.5" customHeight="1">
      <c r="A937" s="493"/>
      <c r="B937" s="350"/>
      <c r="C937" s="351"/>
      <c r="D937" s="447"/>
      <c r="E937" s="494"/>
      <c r="F937" s="495"/>
      <c r="G937" s="434"/>
      <c r="H937" s="394"/>
      <c r="I937" s="394"/>
      <c r="J937" s="477"/>
      <c r="K937" s="479"/>
      <c r="L937" s="496"/>
      <c r="M937" s="496"/>
      <c r="N937" s="360"/>
      <c r="O937" s="497"/>
      <c r="P937" s="362"/>
      <c r="Q937" s="387"/>
      <c r="R937" s="387"/>
      <c r="S937" s="439"/>
      <c r="T937" s="439"/>
      <c r="U937" s="498"/>
      <c r="V937" s="430"/>
      <c r="W937" s="382"/>
      <c r="X937" s="366"/>
      <c r="Y937" s="366"/>
      <c r="Z937" s="367"/>
      <c r="AA937" s="367"/>
      <c r="AB937" s="13"/>
      <c r="AC937" s="13"/>
      <c r="AD937" s="13"/>
      <c r="AE937" s="13"/>
      <c r="AF937" s="13"/>
      <c r="AG937" s="13"/>
      <c r="AH937" s="13"/>
      <c r="AI937" s="13"/>
      <c r="AJ937" s="13"/>
      <c r="AK937" s="13"/>
      <c r="AL937" s="13"/>
      <c r="AM937" s="14"/>
      <c r="AN937" s="14"/>
      <c r="AO937" s="14"/>
      <c r="AP937" s="14"/>
      <c r="AQ937" s="14"/>
      <c r="AR937" s="14"/>
      <c r="AS937" s="14"/>
      <c r="AT937" s="14"/>
      <c r="AU937" s="14"/>
      <c r="AV937" s="14"/>
      <c r="AW937" s="14"/>
      <c r="AX937" s="14"/>
      <c r="AY937" s="14"/>
      <c r="AZ937" s="14"/>
      <c r="BA937" s="14"/>
      <c r="BB937" s="14"/>
      <c r="BC937" s="14"/>
      <c r="BD937" s="14"/>
      <c r="BE937" s="14"/>
      <c r="BF937" s="14"/>
      <c r="BG937" s="14"/>
      <c r="BH937" s="14"/>
      <c r="BI937" s="14"/>
      <c r="BJ937" s="14"/>
      <c r="BK937" s="14"/>
      <c r="BL937" s="14"/>
      <c r="BM937" s="14"/>
      <c r="BN937" s="14"/>
    </row>
    <row r="938" ht="22.5" customHeight="1">
      <c r="A938" s="493"/>
      <c r="B938" s="350"/>
      <c r="C938" s="351"/>
      <c r="D938" s="447"/>
      <c r="E938" s="494"/>
      <c r="F938" s="495"/>
      <c r="G938" s="434"/>
      <c r="H938" s="394"/>
      <c r="I938" s="394"/>
      <c r="J938" s="477"/>
      <c r="K938" s="479"/>
      <c r="L938" s="496"/>
      <c r="M938" s="496"/>
      <c r="N938" s="360"/>
      <c r="O938" s="497"/>
      <c r="P938" s="362"/>
      <c r="Q938" s="387"/>
      <c r="R938" s="387"/>
      <c r="S938" s="439"/>
      <c r="T938" s="439"/>
      <c r="U938" s="498"/>
      <c r="V938" s="430"/>
      <c r="W938" s="382"/>
      <c r="X938" s="366"/>
      <c r="Y938" s="366"/>
      <c r="Z938" s="367"/>
      <c r="AA938" s="367"/>
      <c r="AB938" s="13"/>
      <c r="AC938" s="13"/>
      <c r="AD938" s="13"/>
      <c r="AE938" s="13"/>
      <c r="AF938" s="13"/>
      <c r="AG938" s="13"/>
      <c r="AH938" s="13"/>
      <c r="AI938" s="13"/>
      <c r="AJ938" s="13"/>
      <c r="AK938" s="13"/>
      <c r="AL938" s="13"/>
      <c r="AM938" s="14"/>
      <c r="AN938" s="14"/>
      <c r="AO938" s="14"/>
      <c r="AP938" s="14"/>
      <c r="AQ938" s="14"/>
      <c r="AR938" s="14"/>
      <c r="AS938" s="14"/>
      <c r="AT938" s="14"/>
      <c r="AU938" s="14"/>
      <c r="AV938" s="14"/>
      <c r="AW938" s="14"/>
      <c r="AX938" s="14"/>
      <c r="AY938" s="14"/>
      <c r="AZ938" s="14"/>
      <c r="BA938" s="14"/>
      <c r="BB938" s="14"/>
      <c r="BC938" s="14"/>
      <c r="BD938" s="14"/>
      <c r="BE938" s="14"/>
      <c r="BF938" s="14"/>
      <c r="BG938" s="14"/>
      <c r="BH938" s="14"/>
      <c r="BI938" s="14"/>
      <c r="BJ938" s="14"/>
      <c r="BK938" s="14"/>
      <c r="BL938" s="14"/>
      <c r="BM938" s="14"/>
      <c r="BN938" s="14"/>
    </row>
    <row r="939" ht="22.5" customHeight="1">
      <c r="A939" s="493"/>
      <c r="B939" s="350"/>
      <c r="C939" s="351"/>
      <c r="D939" s="447"/>
      <c r="E939" s="494"/>
      <c r="F939" s="495"/>
      <c r="G939" s="434"/>
      <c r="H939" s="394"/>
      <c r="I939" s="394"/>
      <c r="J939" s="477"/>
      <c r="K939" s="479"/>
      <c r="L939" s="496"/>
      <c r="M939" s="496"/>
      <c r="N939" s="360"/>
      <c r="O939" s="497"/>
      <c r="P939" s="362"/>
      <c r="Q939" s="387"/>
      <c r="R939" s="387"/>
      <c r="S939" s="439"/>
      <c r="T939" s="439"/>
      <c r="U939" s="498"/>
      <c r="V939" s="430"/>
      <c r="W939" s="382"/>
      <c r="X939" s="366"/>
      <c r="Y939" s="366"/>
      <c r="Z939" s="367"/>
      <c r="AA939" s="367"/>
      <c r="AB939" s="13"/>
      <c r="AC939" s="13"/>
      <c r="AD939" s="13"/>
      <c r="AE939" s="13"/>
      <c r="AF939" s="13"/>
      <c r="AG939" s="13"/>
      <c r="AH939" s="13"/>
      <c r="AI939" s="13"/>
      <c r="AJ939" s="13"/>
      <c r="AK939" s="13"/>
      <c r="AL939" s="13"/>
      <c r="AM939" s="14"/>
      <c r="AN939" s="14"/>
      <c r="AO939" s="14"/>
      <c r="AP939" s="14"/>
      <c r="AQ939" s="14"/>
      <c r="AR939" s="14"/>
      <c r="AS939" s="14"/>
      <c r="AT939" s="14"/>
      <c r="AU939" s="14"/>
      <c r="AV939" s="14"/>
      <c r="AW939" s="14"/>
      <c r="AX939" s="14"/>
      <c r="AY939" s="14"/>
      <c r="AZ939" s="14"/>
      <c r="BA939" s="14"/>
      <c r="BB939" s="14"/>
      <c r="BC939" s="14"/>
      <c r="BD939" s="14"/>
      <c r="BE939" s="14"/>
      <c r="BF939" s="14"/>
      <c r="BG939" s="14"/>
      <c r="BH939" s="14"/>
      <c r="BI939" s="14"/>
      <c r="BJ939" s="14"/>
      <c r="BK939" s="14"/>
      <c r="BL939" s="14"/>
      <c r="BM939" s="14"/>
      <c r="BN939" s="14"/>
    </row>
    <row r="940" ht="22.5" customHeight="1">
      <c r="A940" s="493"/>
      <c r="B940" s="350"/>
      <c r="C940" s="351"/>
      <c r="D940" s="447"/>
      <c r="E940" s="494"/>
      <c r="F940" s="495"/>
      <c r="G940" s="434"/>
      <c r="H940" s="394"/>
      <c r="I940" s="394"/>
      <c r="J940" s="477"/>
      <c r="K940" s="479"/>
      <c r="L940" s="496"/>
      <c r="M940" s="496"/>
      <c r="N940" s="360"/>
      <c r="O940" s="497"/>
      <c r="P940" s="362"/>
      <c r="Q940" s="387"/>
      <c r="R940" s="387"/>
      <c r="S940" s="439"/>
      <c r="T940" s="439"/>
      <c r="U940" s="498"/>
      <c r="V940" s="430"/>
      <c r="W940" s="382"/>
      <c r="X940" s="366"/>
      <c r="Y940" s="366"/>
      <c r="Z940" s="367"/>
      <c r="AA940" s="367"/>
      <c r="AB940" s="13"/>
      <c r="AC940" s="13"/>
      <c r="AD940" s="13"/>
      <c r="AE940" s="13"/>
      <c r="AF940" s="13"/>
      <c r="AG940" s="13"/>
      <c r="AH940" s="13"/>
      <c r="AI940" s="13"/>
      <c r="AJ940" s="13"/>
      <c r="AK940" s="13"/>
      <c r="AL940" s="13"/>
      <c r="AM940" s="14"/>
      <c r="AN940" s="14"/>
      <c r="AO940" s="14"/>
      <c r="AP940" s="14"/>
      <c r="AQ940" s="14"/>
      <c r="AR940" s="14"/>
      <c r="AS940" s="14"/>
      <c r="AT940" s="14"/>
      <c r="AU940" s="14"/>
      <c r="AV940" s="14"/>
      <c r="AW940" s="14"/>
      <c r="AX940" s="14"/>
      <c r="AY940" s="14"/>
      <c r="AZ940" s="14"/>
      <c r="BA940" s="14"/>
      <c r="BB940" s="14"/>
      <c r="BC940" s="14"/>
      <c r="BD940" s="14"/>
      <c r="BE940" s="14"/>
      <c r="BF940" s="14"/>
      <c r="BG940" s="14"/>
      <c r="BH940" s="14"/>
      <c r="BI940" s="14"/>
      <c r="BJ940" s="14"/>
      <c r="BK940" s="14"/>
      <c r="BL940" s="14"/>
      <c r="BM940" s="14"/>
      <c r="BN940" s="14"/>
    </row>
    <row r="941" ht="22.5" customHeight="1">
      <c r="A941" s="493"/>
      <c r="B941" s="350"/>
      <c r="C941" s="351"/>
      <c r="D941" s="447"/>
      <c r="E941" s="494"/>
      <c r="F941" s="495"/>
      <c r="G941" s="434"/>
      <c r="H941" s="394"/>
      <c r="I941" s="394"/>
      <c r="J941" s="477"/>
      <c r="K941" s="479"/>
      <c r="L941" s="496"/>
      <c r="M941" s="496"/>
      <c r="N941" s="360"/>
      <c r="O941" s="497"/>
      <c r="P941" s="362"/>
      <c r="Q941" s="387"/>
      <c r="R941" s="387"/>
      <c r="S941" s="439"/>
      <c r="T941" s="439"/>
      <c r="U941" s="498"/>
      <c r="V941" s="430"/>
      <c r="W941" s="382"/>
      <c r="X941" s="366"/>
      <c r="Y941" s="366"/>
      <c r="Z941" s="367"/>
      <c r="AA941" s="367"/>
      <c r="AB941" s="13"/>
      <c r="AC941" s="13"/>
      <c r="AD941" s="13"/>
      <c r="AE941" s="13"/>
      <c r="AF941" s="13"/>
      <c r="AG941" s="13"/>
      <c r="AH941" s="13"/>
      <c r="AI941" s="13"/>
      <c r="AJ941" s="13"/>
      <c r="AK941" s="13"/>
      <c r="AL941" s="13"/>
      <c r="AM941" s="14"/>
      <c r="AN941" s="14"/>
      <c r="AO941" s="14"/>
      <c r="AP941" s="14"/>
      <c r="AQ941" s="14"/>
      <c r="AR941" s="14"/>
      <c r="AS941" s="14"/>
      <c r="AT941" s="14"/>
      <c r="AU941" s="14"/>
      <c r="AV941" s="14"/>
      <c r="AW941" s="14"/>
      <c r="AX941" s="14"/>
      <c r="AY941" s="14"/>
      <c r="AZ941" s="14"/>
      <c r="BA941" s="14"/>
      <c r="BB941" s="14"/>
      <c r="BC941" s="14"/>
      <c r="BD941" s="14"/>
      <c r="BE941" s="14"/>
      <c r="BF941" s="14"/>
      <c r="BG941" s="14"/>
      <c r="BH941" s="14"/>
      <c r="BI941" s="14"/>
      <c r="BJ941" s="14"/>
      <c r="BK941" s="14"/>
      <c r="BL941" s="14"/>
      <c r="BM941" s="14"/>
      <c r="BN941" s="14"/>
    </row>
    <row r="942" ht="22.5" customHeight="1">
      <c r="A942" s="493"/>
      <c r="B942" s="350"/>
      <c r="C942" s="351"/>
      <c r="D942" s="447"/>
      <c r="E942" s="494"/>
      <c r="F942" s="495"/>
      <c r="G942" s="434"/>
      <c r="H942" s="394"/>
      <c r="I942" s="394"/>
      <c r="J942" s="477"/>
      <c r="K942" s="479"/>
      <c r="L942" s="496"/>
      <c r="M942" s="496"/>
      <c r="N942" s="360"/>
      <c r="O942" s="497"/>
      <c r="P942" s="362"/>
      <c r="Q942" s="387"/>
      <c r="R942" s="387"/>
      <c r="S942" s="439"/>
      <c r="T942" s="439"/>
      <c r="U942" s="498"/>
      <c r="V942" s="430"/>
      <c r="W942" s="382"/>
      <c r="X942" s="366"/>
      <c r="Y942" s="366"/>
      <c r="Z942" s="367"/>
      <c r="AA942" s="367"/>
      <c r="AB942" s="13"/>
      <c r="AC942" s="13"/>
      <c r="AD942" s="13"/>
      <c r="AE942" s="13"/>
      <c r="AF942" s="13"/>
      <c r="AG942" s="13"/>
      <c r="AH942" s="13"/>
      <c r="AI942" s="13"/>
      <c r="AJ942" s="13"/>
      <c r="AK942" s="13"/>
      <c r="AL942" s="13"/>
      <c r="AM942" s="14"/>
      <c r="AN942" s="14"/>
      <c r="AO942" s="14"/>
      <c r="AP942" s="14"/>
      <c r="AQ942" s="14"/>
      <c r="AR942" s="14"/>
      <c r="AS942" s="14"/>
      <c r="AT942" s="14"/>
      <c r="AU942" s="14"/>
      <c r="AV942" s="14"/>
      <c r="AW942" s="14"/>
      <c r="AX942" s="14"/>
      <c r="AY942" s="14"/>
      <c r="AZ942" s="14"/>
      <c r="BA942" s="14"/>
      <c r="BB942" s="14"/>
      <c r="BC942" s="14"/>
      <c r="BD942" s="14"/>
      <c r="BE942" s="14"/>
      <c r="BF942" s="14"/>
      <c r="BG942" s="14"/>
      <c r="BH942" s="14"/>
      <c r="BI942" s="14"/>
      <c r="BJ942" s="14"/>
      <c r="BK942" s="14"/>
      <c r="BL942" s="14"/>
      <c r="BM942" s="14"/>
      <c r="BN942" s="14"/>
    </row>
    <row r="943" ht="22.5" customHeight="1">
      <c r="A943" s="493"/>
      <c r="B943" s="350"/>
      <c r="C943" s="351"/>
      <c r="D943" s="447"/>
      <c r="E943" s="494"/>
      <c r="F943" s="495"/>
      <c r="G943" s="434"/>
      <c r="H943" s="394"/>
      <c r="I943" s="394"/>
      <c r="J943" s="477"/>
      <c r="K943" s="479"/>
      <c r="L943" s="496"/>
      <c r="M943" s="496"/>
      <c r="N943" s="360"/>
      <c r="O943" s="497"/>
      <c r="P943" s="362"/>
      <c r="Q943" s="387"/>
      <c r="R943" s="387"/>
      <c r="S943" s="439"/>
      <c r="T943" s="439"/>
      <c r="U943" s="498"/>
      <c r="V943" s="430"/>
      <c r="W943" s="382"/>
      <c r="X943" s="366"/>
      <c r="Y943" s="366"/>
      <c r="Z943" s="367"/>
      <c r="AA943" s="367"/>
      <c r="AB943" s="13"/>
      <c r="AC943" s="13"/>
      <c r="AD943" s="13"/>
      <c r="AE943" s="13"/>
      <c r="AF943" s="13"/>
      <c r="AG943" s="13"/>
      <c r="AH943" s="13"/>
      <c r="AI943" s="13"/>
      <c r="AJ943" s="13"/>
      <c r="AK943" s="13"/>
      <c r="AL943" s="13"/>
      <c r="AM943" s="14"/>
      <c r="AN943" s="14"/>
      <c r="AO943" s="14"/>
      <c r="AP943" s="14"/>
      <c r="AQ943" s="14"/>
      <c r="AR943" s="14"/>
      <c r="AS943" s="14"/>
      <c r="AT943" s="14"/>
      <c r="AU943" s="14"/>
      <c r="AV943" s="14"/>
      <c r="AW943" s="14"/>
      <c r="AX943" s="14"/>
      <c r="AY943" s="14"/>
      <c r="AZ943" s="14"/>
      <c r="BA943" s="14"/>
      <c r="BB943" s="14"/>
      <c r="BC943" s="14"/>
      <c r="BD943" s="14"/>
      <c r="BE943" s="14"/>
      <c r="BF943" s="14"/>
      <c r="BG943" s="14"/>
      <c r="BH943" s="14"/>
      <c r="BI943" s="14"/>
      <c r="BJ943" s="14"/>
      <c r="BK943" s="14"/>
      <c r="BL943" s="14"/>
      <c r="BM943" s="14"/>
      <c r="BN943" s="14"/>
    </row>
    <row r="944" ht="22.5" customHeight="1">
      <c r="A944" s="493"/>
      <c r="B944" s="350"/>
      <c r="C944" s="351"/>
      <c r="D944" s="447"/>
      <c r="E944" s="494"/>
      <c r="F944" s="495"/>
      <c r="G944" s="434"/>
      <c r="H944" s="394"/>
      <c r="I944" s="394"/>
      <c r="J944" s="477"/>
      <c r="K944" s="479"/>
      <c r="L944" s="496"/>
      <c r="M944" s="496"/>
      <c r="N944" s="360"/>
      <c r="O944" s="497"/>
      <c r="P944" s="362"/>
      <c r="Q944" s="387"/>
      <c r="R944" s="387"/>
      <c r="S944" s="439"/>
      <c r="T944" s="439"/>
      <c r="U944" s="498"/>
      <c r="V944" s="430"/>
      <c r="W944" s="382"/>
      <c r="X944" s="366"/>
      <c r="Y944" s="366"/>
      <c r="Z944" s="367"/>
      <c r="AA944" s="367"/>
      <c r="AB944" s="13"/>
      <c r="AC944" s="13"/>
      <c r="AD944" s="13"/>
      <c r="AE944" s="13"/>
      <c r="AF944" s="13"/>
      <c r="AG944" s="13"/>
      <c r="AH944" s="13"/>
      <c r="AI944" s="13"/>
      <c r="AJ944" s="13"/>
      <c r="AK944" s="13"/>
      <c r="AL944" s="13"/>
      <c r="AM944" s="14"/>
      <c r="AN944" s="14"/>
      <c r="AO944" s="14"/>
      <c r="AP944" s="14"/>
      <c r="AQ944" s="14"/>
      <c r="AR944" s="14"/>
      <c r="AS944" s="14"/>
      <c r="AT944" s="14"/>
      <c r="AU944" s="14"/>
      <c r="AV944" s="14"/>
      <c r="AW944" s="14"/>
      <c r="AX944" s="14"/>
      <c r="AY944" s="14"/>
      <c r="AZ944" s="14"/>
      <c r="BA944" s="14"/>
      <c r="BB944" s="14"/>
      <c r="BC944" s="14"/>
      <c r="BD944" s="14"/>
      <c r="BE944" s="14"/>
      <c r="BF944" s="14"/>
      <c r="BG944" s="14"/>
      <c r="BH944" s="14"/>
      <c r="BI944" s="14"/>
      <c r="BJ944" s="14"/>
      <c r="BK944" s="14"/>
      <c r="BL944" s="14"/>
      <c r="BM944" s="14"/>
      <c r="BN944" s="14"/>
    </row>
    <row r="945" ht="22.5" customHeight="1">
      <c r="A945" s="493"/>
      <c r="B945" s="350"/>
      <c r="C945" s="351"/>
      <c r="D945" s="447"/>
      <c r="E945" s="494"/>
      <c r="F945" s="495"/>
      <c r="G945" s="434"/>
      <c r="H945" s="394"/>
      <c r="I945" s="394"/>
      <c r="J945" s="477"/>
      <c r="K945" s="479"/>
      <c r="L945" s="496"/>
      <c r="M945" s="496"/>
      <c r="N945" s="360"/>
      <c r="O945" s="497"/>
      <c r="P945" s="362"/>
      <c r="Q945" s="387"/>
      <c r="R945" s="387"/>
      <c r="S945" s="439"/>
      <c r="T945" s="439"/>
      <c r="U945" s="498"/>
      <c r="V945" s="430"/>
      <c r="W945" s="382"/>
      <c r="X945" s="366"/>
      <c r="Y945" s="366"/>
      <c r="Z945" s="367"/>
      <c r="AA945" s="367"/>
      <c r="AB945" s="13"/>
      <c r="AC945" s="13"/>
      <c r="AD945" s="13"/>
      <c r="AE945" s="13"/>
      <c r="AF945" s="13"/>
      <c r="AG945" s="13"/>
      <c r="AH945" s="13"/>
      <c r="AI945" s="13"/>
      <c r="AJ945" s="13"/>
      <c r="AK945" s="13"/>
      <c r="AL945" s="13"/>
      <c r="AM945" s="14"/>
      <c r="AN945" s="14"/>
      <c r="AO945" s="14"/>
      <c r="AP945" s="14"/>
      <c r="AQ945" s="14"/>
      <c r="AR945" s="14"/>
      <c r="AS945" s="14"/>
      <c r="AT945" s="14"/>
      <c r="AU945" s="14"/>
      <c r="AV945" s="14"/>
      <c r="AW945" s="14"/>
      <c r="AX945" s="14"/>
      <c r="AY945" s="14"/>
      <c r="AZ945" s="14"/>
      <c r="BA945" s="14"/>
      <c r="BB945" s="14"/>
      <c r="BC945" s="14"/>
      <c r="BD945" s="14"/>
      <c r="BE945" s="14"/>
      <c r="BF945" s="14"/>
      <c r="BG945" s="14"/>
      <c r="BH945" s="14"/>
      <c r="BI945" s="14"/>
      <c r="BJ945" s="14"/>
      <c r="BK945" s="14"/>
      <c r="BL945" s="14"/>
      <c r="BM945" s="14"/>
      <c r="BN945" s="14"/>
    </row>
    <row r="946" ht="22.5" customHeight="1">
      <c r="A946" s="493"/>
      <c r="B946" s="350"/>
      <c r="C946" s="351"/>
      <c r="D946" s="447"/>
      <c r="E946" s="494"/>
      <c r="F946" s="495"/>
      <c r="G946" s="434"/>
      <c r="H946" s="394"/>
      <c r="I946" s="394"/>
      <c r="J946" s="477"/>
      <c r="K946" s="479"/>
      <c r="L946" s="496"/>
      <c r="M946" s="496"/>
      <c r="N946" s="360"/>
      <c r="O946" s="497"/>
      <c r="P946" s="362"/>
      <c r="Q946" s="387"/>
      <c r="R946" s="387"/>
      <c r="S946" s="439"/>
      <c r="T946" s="439"/>
      <c r="U946" s="498"/>
      <c r="V946" s="430"/>
      <c r="W946" s="382"/>
      <c r="X946" s="366"/>
      <c r="Y946" s="366"/>
      <c r="Z946" s="367"/>
      <c r="AA946" s="367"/>
      <c r="AB946" s="13"/>
      <c r="AC946" s="13"/>
      <c r="AD946" s="13"/>
      <c r="AE946" s="13"/>
      <c r="AF946" s="13"/>
      <c r="AG946" s="13"/>
      <c r="AH946" s="13"/>
      <c r="AI946" s="13"/>
      <c r="AJ946" s="13"/>
      <c r="AK946" s="13"/>
      <c r="AL946" s="13"/>
      <c r="AM946" s="14"/>
      <c r="AN946" s="14"/>
      <c r="AO946" s="14"/>
      <c r="AP946" s="14"/>
      <c r="AQ946" s="14"/>
      <c r="AR946" s="14"/>
      <c r="AS946" s="14"/>
      <c r="AT946" s="14"/>
      <c r="AU946" s="14"/>
      <c r="AV946" s="14"/>
      <c r="AW946" s="14"/>
      <c r="AX946" s="14"/>
      <c r="AY946" s="14"/>
      <c r="AZ946" s="14"/>
      <c r="BA946" s="14"/>
      <c r="BB946" s="14"/>
      <c r="BC946" s="14"/>
      <c r="BD946" s="14"/>
      <c r="BE946" s="14"/>
      <c r="BF946" s="14"/>
      <c r="BG946" s="14"/>
      <c r="BH946" s="14"/>
      <c r="BI946" s="14"/>
      <c r="BJ946" s="14"/>
      <c r="BK946" s="14"/>
      <c r="BL946" s="14"/>
      <c r="BM946" s="14"/>
      <c r="BN946" s="14"/>
    </row>
    <row r="947" ht="22.5" customHeight="1">
      <c r="A947" s="493"/>
      <c r="B947" s="350"/>
      <c r="C947" s="351"/>
      <c r="D947" s="447"/>
      <c r="E947" s="494"/>
      <c r="F947" s="495"/>
      <c r="G947" s="434"/>
      <c r="H947" s="394"/>
      <c r="I947" s="394"/>
      <c r="J947" s="477"/>
      <c r="K947" s="479"/>
      <c r="L947" s="496"/>
      <c r="M947" s="496"/>
      <c r="N947" s="360"/>
      <c r="O947" s="497"/>
      <c r="P947" s="362"/>
      <c r="Q947" s="387"/>
      <c r="R947" s="387"/>
      <c r="S947" s="439"/>
      <c r="T947" s="439"/>
      <c r="U947" s="498"/>
      <c r="V947" s="430"/>
      <c r="W947" s="382"/>
      <c r="X947" s="366"/>
      <c r="Y947" s="366"/>
      <c r="Z947" s="367"/>
      <c r="AA947" s="367"/>
      <c r="AB947" s="13"/>
      <c r="AC947" s="13"/>
      <c r="AD947" s="13"/>
      <c r="AE947" s="13"/>
      <c r="AF947" s="13"/>
      <c r="AG947" s="13"/>
      <c r="AH947" s="13"/>
      <c r="AI947" s="13"/>
      <c r="AJ947" s="13"/>
      <c r="AK947" s="13"/>
      <c r="AL947" s="13"/>
      <c r="AM947" s="14"/>
      <c r="AN947" s="14"/>
      <c r="AO947" s="14"/>
      <c r="AP947" s="14"/>
      <c r="AQ947" s="14"/>
      <c r="AR947" s="14"/>
      <c r="AS947" s="14"/>
      <c r="AT947" s="14"/>
      <c r="AU947" s="14"/>
      <c r="AV947" s="14"/>
      <c r="AW947" s="14"/>
      <c r="AX947" s="14"/>
      <c r="AY947" s="14"/>
      <c r="AZ947" s="14"/>
      <c r="BA947" s="14"/>
      <c r="BB947" s="14"/>
      <c r="BC947" s="14"/>
      <c r="BD947" s="14"/>
      <c r="BE947" s="14"/>
      <c r="BF947" s="14"/>
      <c r="BG947" s="14"/>
      <c r="BH947" s="14"/>
      <c r="BI947" s="14"/>
      <c r="BJ947" s="14"/>
      <c r="BK947" s="14"/>
      <c r="BL947" s="14"/>
      <c r="BM947" s="14"/>
      <c r="BN947" s="14"/>
    </row>
    <row r="948" ht="22.5" customHeight="1">
      <c r="A948" s="493"/>
      <c r="B948" s="350"/>
      <c r="C948" s="351"/>
      <c r="D948" s="447"/>
      <c r="E948" s="494"/>
      <c r="F948" s="495"/>
      <c r="G948" s="434"/>
      <c r="H948" s="394"/>
      <c r="I948" s="394"/>
      <c r="J948" s="477"/>
      <c r="K948" s="479"/>
      <c r="L948" s="496"/>
      <c r="M948" s="496"/>
      <c r="N948" s="360"/>
      <c r="O948" s="497"/>
      <c r="P948" s="362"/>
      <c r="Q948" s="387"/>
      <c r="R948" s="387"/>
      <c r="S948" s="439"/>
      <c r="T948" s="439"/>
      <c r="U948" s="498"/>
      <c r="V948" s="430"/>
      <c r="W948" s="382"/>
      <c r="X948" s="366"/>
      <c r="Y948" s="366"/>
      <c r="Z948" s="367"/>
      <c r="AA948" s="367"/>
      <c r="AB948" s="13"/>
      <c r="AC948" s="13"/>
      <c r="AD948" s="13"/>
      <c r="AE948" s="13"/>
      <c r="AF948" s="13"/>
      <c r="AG948" s="13"/>
      <c r="AH948" s="13"/>
      <c r="AI948" s="13"/>
      <c r="AJ948" s="13"/>
      <c r="AK948" s="13"/>
      <c r="AL948" s="13"/>
      <c r="AM948" s="14"/>
      <c r="AN948" s="14"/>
      <c r="AO948" s="14"/>
      <c r="AP948" s="14"/>
      <c r="AQ948" s="14"/>
      <c r="AR948" s="14"/>
      <c r="AS948" s="14"/>
      <c r="AT948" s="14"/>
      <c r="AU948" s="14"/>
      <c r="AV948" s="14"/>
      <c r="AW948" s="14"/>
      <c r="AX948" s="14"/>
      <c r="AY948" s="14"/>
      <c r="AZ948" s="14"/>
      <c r="BA948" s="14"/>
      <c r="BB948" s="14"/>
      <c r="BC948" s="14"/>
      <c r="BD948" s="14"/>
      <c r="BE948" s="14"/>
      <c r="BF948" s="14"/>
      <c r="BG948" s="14"/>
      <c r="BH948" s="14"/>
      <c r="BI948" s="14"/>
      <c r="BJ948" s="14"/>
      <c r="BK948" s="14"/>
      <c r="BL948" s="14"/>
      <c r="BM948" s="14"/>
      <c r="BN948" s="14"/>
    </row>
    <row r="949" ht="22.5" customHeight="1">
      <c r="A949" s="493"/>
      <c r="B949" s="350"/>
      <c r="C949" s="351"/>
      <c r="D949" s="447"/>
      <c r="E949" s="494"/>
      <c r="F949" s="495"/>
      <c r="G949" s="434"/>
      <c r="H949" s="394"/>
      <c r="I949" s="394"/>
      <c r="J949" s="477"/>
      <c r="K949" s="479"/>
      <c r="L949" s="496"/>
      <c r="M949" s="496"/>
      <c r="N949" s="360"/>
      <c r="O949" s="497"/>
      <c r="P949" s="362"/>
      <c r="Q949" s="387"/>
      <c r="R949" s="387"/>
      <c r="S949" s="439"/>
      <c r="T949" s="439"/>
      <c r="U949" s="498"/>
      <c r="V949" s="430"/>
      <c r="W949" s="382"/>
      <c r="X949" s="366"/>
      <c r="Y949" s="366"/>
      <c r="Z949" s="367"/>
      <c r="AA949" s="367"/>
      <c r="AB949" s="13"/>
      <c r="AC949" s="13"/>
      <c r="AD949" s="13"/>
      <c r="AE949" s="13"/>
      <c r="AF949" s="13"/>
      <c r="AG949" s="13"/>
      <c r="AH949" s="13"/>
      <c r="AI949" s="13"/>
      <c r="AJ949" s="13"/>
      <c r="AK949" s="13"/>
      <c r="AL949" s="13"/>
      <c r="AM949" s="14"/>
      <c r="AN949" s="14"/>
      <c r="AO949" s="14"/>
      <c r="AP949" s="14"/>
      <c r="AQ949" s="14"/>
      <c r="AR949" s="14"/>
      <c r="AS949" s="14"/>
      <c r="AT949" s="14"/>
      <c r="AU949" s="14"/>
      <c r="AV949" s="14"/>
      <c r="AW949" s="14"/>
      <c r="AX949" s="14"/>
      <c r="AY949" s="14"/>
      <c r="AZ949" s="14"/>
      <c r="BA949" s="14"/>
      <c r="BB949" s="14"/>
      <c r="BC949" s="14"/>
      <c r="BD949" s="14"/>
      <c r="BE949" s="14"/>
      <c r="BF949" s="14"/>
      <c r="BG949" s="14"/>
      <c r="BH949" s="14"/>
      <c r="BI949" s="14"/>
      <c r="BJ949" s="14"/>
      <c r="BK949" s="14"/>
      <c r="BL949" s="14"/>
      <c r="BM949" s="14"/>
      <c r="BN949" s="14"/>
    </row>
    <row r="950" ht="22.5" customHeight="1">
      <c r="A950" s="493"/>
      <c r="B950" s="350"/>
      <c r="C950" s="351"/>
      <c r="D950" s="447"/>
      <c r="E950" s="494"/>
      <c r="F950" s="495"/>
      <c r="G950" s="434"/>
      <c r="H950" s="394"/>
      <c r="I950" s="394"/>
      <c r="J950" s="477"/>
      <c r="K950" s="479"/>
      <c r="L950" s="496"/>
      <c r="M950" s="496"/>
      <c r="N950" s="360"/>
      <c r="O950" s="497"/>
      <c r="P950" s="362"/>
      <c r="Q950" s="387"/>
      <c r="R950" s="387"/>
      <c r="S950" s="439"/>
      <c r="T950" s="439"/>
      <c r="U950" s="498"/>
      <c r="V950" s="430"/>
      <c r="W950" s="382"/>
      <c r="X950" s="366"/>
      <c r="Y950" s="366"/>
      <c r="Z950" s="367"/>
      <c r="AA950" s="367"/>
      <c r="AB950" s="13"/>
      <c r="AC950" s="13"/>
      <c r="AD950" s="13"/>
      <c r="AE950" s="13"/>
      <c r="AF950" s="13"/>
      <c r="AG950" s="13"/>
      <c r="AH950" s="13"/>
      <c r="AI950" s="13"/>
      <c r="AJ950" s="13"/>
      <c r="AK950" s="13"/>
      <c r="AL950" s="13"/>
      <c r="AM950" s="14"/>
      <c r="AN950" s="14"/>
      <c r="AO950" s="14"/>
      <c r="AP950" s="14"/>
      <c r="AQ950" s="14"/>
      <c r="AR950" s="14"/>
      <c r="AS950" s="14"/>
      <c r="AT950" s="14"/>
      <c r="AU950" s="14"/>
      <c r="AV950" s="14"/>
      <c r="AW950" s="14"/>
      <c r="AX950" s="14"/>
      <c r="AY950" s="14"/>
      <c r="AZ950" s="14"/>
      <c r="BA950" s="14"/>
      <c r="BB950" s="14"/>
      <c r="BC950" s="14"/>
      <c r="BD950" s="14"/>
      <c r="BE950" s="14"/>
      <c r="BF950" s="14"/>
      <c r="BG950" s="14"/>
      <c r="BH950" s="14"/>
      <c r="BI950" s="14"/>
      <c r="BJ950" s="14"/>
      <c r="BK950" s="14"/>
      <c r="BL950" s="14"/>
      <c r="BM950" s="14"/>
      <c r="BN950" s="14"/>
    </row>
    <row r="951" ht="22.5" customHeight="1">
      <c r="A951" s="493"/>
      <c r="B951" s="350"/>
      <c r="C951" s="351"/>
      <c r="D951" s="447"/>
      <c r="E951" s="494"/>
      <c r="F951" s="495"/>
      <c r="G951" s="434"/>
      <c r="H951" s="394"/>
      <c r="I951" s="394"/>
      <c r="J951" s="477"/>
      <c r="K951" s="479"/>
      <c r="L951" s="496"/>
      <c r="M951" s="496"/>
      <c r="N951" s="360"/>
      <c r="O951" s="497"/>
      <c r="P951" s="362"/>
      <c r="Q951" s="387"/>
      <c r="R951" s="387"/>
      <c r="S951" s="439"/>
      <c r="T951" s="439"/>
      <c r="U951" s="498"/>
      <c r="V951" s="430"/>
      <c r="W951" s="382"/>
      <c r="X951" s="366"/>
      <c r="Y951" s="366"/>
      <c r="Z951" s="367"/>
      <c r="AA951" s="367"/>
      <c r="AB951" s="13"/>
      <c r="AC951" s="13"/>
      <c r="AD951" s="13"/>
      <c r="AE951" s="13"/>
      <c r="AF951" s="13"/>
      <c r="AG951" s="13"/>
      <c r="AH951" s="13"/>
      <c r="AI951" s="13"/>
      <c r="AJ951" s="13"/>
      <c r="AK951" s="13"/>
      <c r="AL951" s="13"/>
      <c r="AM951" s="14"/>
      <c r="AN951" s="14"/>
      <c r="AO951" s="14"/>
      <c r="AP951" s="14"/>
      <c r="AQ951" s="14"/>
      <c r="AR951" s="14"/>
      <c r="AS951" s="14"/>
      <c r="AT951" s="14"/>
      <c r="AU951" s="14"/>
      <c r="AV951" s="14"/>
      <c r="AW951" s="14"/>
      <c r="AX951" s="14"/>
      <c r="AY951" s="14"/>
      <c r="AZ951" s="14"/>
      <c r="BA951" s="14"/>
      <c r="BB951" s="14"/>
      <c r="BC951" s="14"/>
      <c r="BD951" s="14"/>
      <c r="BE951" s="14"/>
      <c r="BF951" s="14"/>
      <c r="BG951" s="14"/>
      <c r="BH951" s="14"/>
      <c r="BI951" s="14"/>
      <c r="BJ951" s="14"/>
      <c r="BK951" s="14"/>
      <c r="BL951" s="14"/>
      <c r="BM951" s="14"/>
      <c r="BN951" s="14"/>
    </row>
    <row r="952" ht="22.5" customHeight="1">
      <c r="A952" s="493"/>
      <c r="B952" s="350"/>
      <c r="C952" s="351"/>
      <c r="D952" s="447"/>
      <c r="E952" s="494"/>
      <c r="F952" s="495"/>
      <c r="G952" s="434"/>
      <c r="H952" s="394"/>
      <c r="I952" s="394"/>
      <c r="J952" s="477"/>
      <c r="K952" s="479"/>
      <c r="L952" s="496"/>
      <c r="M952" s="496"/>
      <c r="N952" s="360"/>
      <c r="O952" s="497"/>
      <c r="P952" s="362"/>
      <c r="Q952" s="387"/>
      <c r="R952" s="387"/>
      <c r="S952" s="439"/>
      <c r="T952" s="439"/>
      <c r="U952" s="498"/>
      <c r="V952" s="430"/>
      <c r="W952" s="382"/>
      <c r="X952" s="366"/>
      <c r="Y952" s="366"/>
      <c r="Z952" s="367"/>
      <c r="AA952" s="367"/>
      <c r="AB952" s="13"/>
      <c r="AC952" s="13"/>
      <c r="AD952" s="13"/>
      <c r="AE952" s="13"/>
      <c r="AF952" s="13"/>
      <c r="AG952" s="13"/>
      <c r="AH952" s="13"/>
      <c r="AI952" s="13"/>
      <c r="AJ952" s="13"/>
      <c r="AK952" s="13"/>
      <c r="AL952" s="13"/>
      <c r="AM952" s="14"/>
      <c r="AN952" s="14"/>
      <c r="AO952" s="14"/>
      <c r="AP952" s="14"/>
      <c r="AQ952" s="14"/>
      <c r="AR952" s="14"/>
      <c r="AS952" s="14"/>
      <c r="AT952" s="14"/>
      <c r="AU952" s="14"/>
      <c r="AV952" s="14"/>
      <c r="AW952" s="14"/>
      <c r="AX952" s="14"/>
      <c r="AY952" s="14"/>
      <c r="AZ952" s="14"/>
      <c r="BA952" s="14"/>
      <c r="BB952" s="14"/>
      <c r="BC952" s="14"/>
      <c r="BD952" s="14"/>
      <c r="BE952" s="14"/>
      <c r="BF952" s="14"/>
      <c r="BG952" s="14"/>
      <c r="BH952" s="14"/>
      <c r="BI952" s="14"/>
      <c r="BJ952" s="14"/>
      <c r="BK952" s="14"/>
      <c r="BL952" s="14"/>
      <c r="BM952" s="14"/>
      <c r="BN952" s="14"/>
    </row>
    <row r="953" ht="22.5" customHeight="1">
      <c r="A953" s="493"/>
      <c r="B953" s="350"/>
      <c r="C953" s="351"/>
      <c r="D953" s="447"/>
      <c r="E953" s="494"/>
      <c r="F953" s="495"/>
      <c r="G953" s="434"/>
      <c r="H953" s="394"/>
      <c r="I953" s="394"/>
      <c r="J953" s="477"/>
      <c r="K953" s="479"/>
      <c r="L953" s="496"/>
      <c r="M953" s="496"/>
      <c r="N953" s="360"/>
      <c r="O953" s="497"/>
      <c r="P953" s="362"/>
      <c r="Q953" s="387"/>
      <c r="R953" s="387"/>
      <c r="S953" s="439"/>
      <c r="T953" s="439"/>
      <c r="U953" s="498"/>
      <c r="V953" s="430"/>
      <c r="W953" s="382"/>
      <c r="X953" s="366"/>
      <c r="Y953" s="366"/>
      <c r="Z953" s="367"/>
      <c r="AA953" s="367"/>
      <c r="AB953" s="13"/>
      <c r="AC953" s="13"/>
      <c r="AD953" s="13"/>
      <c r="AE953" s="13"/>
      <c r="AF953" s="13"/>
      <c r="AG953" s="13"/>
      <c r="AH953" s="13"/>
      <c r="AI953" s="13"/>
      <c r="AJ953" s="13"/>
      <c r="AK953" s="13"/>
      <c r="AL953" s="13"/>
      <c r="AM953" s="14"/>
      <c r="AN953" s="14"/>
      <c r="AO953" s="14"/>
      <c r="AP953" s="14"/>
      <c r="AQ953" s="14"/>
      <c r="AR953" s="14"/>
      <c r="AS953" s="14"/>
      <c r="AT953" s="14"/>
      <c r="AU953" s="14"/>
      <c r="AV953" s="14"/>
      <c r="AW953" s="14"/>
      <c r="AX953" s="14"/>
      <c r="AY953" s="14"/>
      <c r="AZ953" s="14"/>
      <c r="BA953" s="14"/>
      <c r="BB953" s="14"/>
      <c r="BC953" s="14"/>
      <c r="BD953" s="14"/>
      <c r="BE953" s="14"/>
      <c r="BF953" s="14"/>
      <c r="BG953" s="14"/>
      <c r="BH953" s="14"/>
      <c r="BI953" s="14"/>
      <c r="BJ953" s="14"/>
      <c r="BK953" s="14"/>
      <c r="BL953" s="14"/>
      <c r="BM953" s="14"/>
      <c r="BN953" s="14"/>
    </row>
    <row r="954" ht="22.5" customHeight="1">
      <c r="A954" s="493"/>
      <c r="B954" s="350"/>
      <c r="C954" s="351"/>
      <c r="D954" s="447"/>
      <c r="E954" s="494"/>
      <c r="F954" s="495"/>
      <c r="G954" s="434"/>
      <c r="H954" s="394"/>
      <c r="I954" s="394"/>
      <c r="J954" s="477"/>
      <c r="K954" s="479"/>
      <c r="L954" s="496"/>
      <c r="M954" s="496"/>
      <c r="N954" s="360"/>
      <c r="O954" s="497"/>
      <c r="P954" s="362"/>
      <c r="Q954" s="387"/>
      <c r="R954" s="387"/>
      <c r="S954" s="439"/>
      <c r="T954" s="439"/>
      <c r="U954" s="498"/>
      <c r="V954" s="430"/>
      <c r="W954" s="382"/>
      <c r="X954" s="366"/>
      <c r="Y954" s="366"/>
      <c r="Z954" s="367"/>
      <c r="AA954" s="367"/>
      <c r="AB954" s="13"/>
      <c r="AC954" s="13"/>
      <c r="AD954" s="13"/>
      <c r="AE954" s="13"/>
      <c r="AF954" s="13"/>
      <c r="AG954" s="13"/>
      <c r="AH954" s="13"/>
      <c r="AI954" s="13"/>
      <c r="AJ954" s="13"/>
      <c r="AK954" s="13"/>
      <c r="AL954" s="13"/>
      <c r="AM954" s="14"/>
      <c r="AN954" s="14"/>
      <c r="AO954" s="14"/>
      <c r="AP954" s="14"/>
      <c r="AQ954" s="14"/>
      <c r="AR954" s="14"/>
      <c r="AS954" s="14"/>
      <c r="AT954" s="14"/>
      <c r="AU954" s="14"/>
      <c r="AV954" s="14"/>
      <c r="AW954" s="14"/>
      <c r="AX954" s="14"/>
      <c r="AY954" s="14"/>
      <c r="AZ954" s="14"/>
      <c r="BA954" s="14"/>
      <c r="BB954" s="14"/>
      <c r="BC954" s="14"/>
      <c r="BD954" s="14"/>
      <c r="BE954" s="14"/>
      <c r="BF954" s="14"/>
      <c r="BG954" s="14"/>
      <c r="BH954" s="14"/>
      <c r="BI954" s="14"/>
      <c r="BJ954" s="14"/>
      <c r="BK954" s="14"/>
      <c r="BL954" s="14"/>
      <c r="BM954" s="14"/>
      <c r="BN954" s="14"/>
    </row>
    <row r="955" ht="22.5" customHeight="1">
      <c r="A955" s="493"/>
      <c r="B955" s="350"/>
      <c r="C955" s="351"/>
      <c r="D955" s="447"/>
      <c r="E955" s="494"/>
      <c r="F955" s="495"/>
      <c r="G955" s="434"/>
      <c r="H955" s="394"/>
      <c r="I955" s="394"/>
      <c r="J955" s="477"/>
      <c r="K955" s="479"/>
      <c r="L955" s="496"/>
      <c r="M955" s="496"/>
      <c r="N955" s="360"/>
      <c r="O955" s="497"/>
      <c r="P955" s="362"/>
      <c r="Q955" s="387"/>
      <c r="R955" s="387"/>
      <c r="S955" s="439"/>
      <c r="T955" s="439"/>
      <c r="U955" s="498"/>
      <c r="V955" s="430"/>
      <c r="W955" s="382"/>
      <c r="X955" s="366"/>
      <c r="Y955" s="366"/>
      <c r="Z955" s="367"/>
      <c r="AA955" s="367"/>
      <c r="AB955" s="13"/>
      <c r="AC955" s="13"/>
      <c r="AD955" s="13"/>
      <c r="AE955" s="13"/>
      <c r="AF955" s="13"/>
      <c r="AG955" s="13"/>
      <c r="AH955" s="13"/>
      <c r="AI955" s="13"/>
      <c r="AJ955" s="13"/>
      <c r="AK955" s="13"/>
      <c r="AL955" s="13"/>
      <c r="AM955" s="14"/>
      <c r="AN955" s="14"/>
      <c r="AO955" s="14"/>
      <c r="AP955" s="14"/>
      <c r="AQ955" s="14"/>
      <c r="AR955" s="14"/>
      <c r="AS955" s="14"/>
      <c r="AT955" s="14"/>
      <c r="AU955" s="14"/>
      <c r="AV955" s="14"/>
      <c r="AW955" s="14"/>
      <c r="AX955" s="14"/>
      <c r="AY955" s="14"/>
      <c r="AZ955" s="14"/>
      <c r="BA955" s="14"/>
      <c r="BB955" s="14"/>
      <c r="BC955" s="14"/>
      <c r="BD955" s="14"/>
      <c r="BE955" s="14"/>
      <c r="BF955" s="14"/>
      <c r="BG955" s="14"/>
      <c r="BH955" s="14"/>
      <c r="BI955" s="14"/>
      <c r="BJ955" s="14"/>
      <c r="BK955" s="14"/>
      <c r="BL955" s="14"/>
      <c r="BM955" s="14"/>
      <c r="BN955" s="14"/>
    </row>
    <row r="956" ht="22.5" customHeight="1">
      <c r="A956" s="493"/>
      <c r="B956" s="350"/>
      <c r="C956" s="351"/>
      <c r="D956" s="447"/>
      <c r="E956" s="494"/>
      <c r="F956" s="495"/>
      <c r="G956" s="434"/>
      <c r="H956" s="394"/>
      <c r="I956" s="394"/>
      <c r="J956" s="477"/>
      <c r="K956" s="479"/>
      <c r="L956" s="496"/>
      <c r="M956" s="496"/>
      <c r="N956" s="360"/>
      <c r="O956" s="497"/>
      <c r="P956" s="362"/>
      <c r="Q956" s="387"/>
      <c r="R956" s="387"/>
      <c r="S956" s="439"/>
      <c r="T956" s="439"/>
      <c r="U956" s="498"/>
      <c r="V956" s="430"/>
      <c r="W956" s="382"/>
      <c r="X956" s="366"/>
      <c r="Y956" s="366"/>
      <c r="Z956" s="367"/>
      <c r="AA956" s="367"/>
      <c r="AB956" s="13"/>
      <c r="AC956" s="13"/>
      <c r="AD956" s="13"/>
      <c r="AE956" s="13"/>
      <c r="AF956" s="13"/>
      <c r="AG956" s="13"/>
      <c r="AH956" s="13"/>
      <c r="AI956" s="13"/>
      <c r="AJ956" s="13"/>
      <c r="AK956" s="13"/>
      <c r="AL956" s="13"/>
      <c r="AM956" s="14"/>
      <c r="AN956" s="14"/>
      <c r="AO956" s="14"/>
      <c r="AP956" s="14"/>
      <c r="AQ956" s="14"/>
      <c r="AR956" s="14"/>
      <c r="AS956" s="14"/>
      <c r="AT956" s="14"/>
      <c r="AU956" s="14"/>
      <c r="AV956" s="14"/>
      <c r="AW956" s="14"/>
      <c r="AX956" s="14"/>
      <c r="AY956" s="14"/>
      <c r="AZ956" s="14"/>
      <c r="BA956" s="14"/>
      <c r="BB956" s="14"/>
      <c r="BC956" s="14"/>
      <c r="BD956" s="14"/>
      <c r="BE956" s="14"/>
      <c r="BF956" s="14"/>
      <c r="BG956" s="14"/>
      <c r="BH956" s="14"/>
      <c r="BI956" s="14"/>
      <c r="BJ956" s="14"/>
      <c r="BK956" s="14"/>
      <c r="BL956" s="14"/>
      <c r="BM956" s="14"/>
      <c r="BN956" s="14"/>
    </row>
    <row r="957" ht="22.5" customHeight="1">
      <c r="A957" s="493"/>
      <c r="B957" s="350"/>
      <c r="C957" s="351"/>
      <c r="D957" s="447"/>
      <c r="E957" s="494"/>
      <c r="F957" s="495"/>
      <c r="G957" s="434"/>
      <c r="H957" s="394"/>
      <c r="I957" s="394"/>
      <c r="J957" s="477"/>
      <c r="K957" s="479"/>
      <c r="L957" s="496"/>
      <c r="M957" s="496"/>
      <c r="N957" s="360"/>
      <c r="O957" s="497"/>
      <c r="P957" s="362"/>
      <c r="Q957" s="387"/>
      <c r="R957" s="387"/>
      <c r="S957" s="439"/>
      <c r="T957" s="439"/>
      <c r="U957" s="498"/>
      <c r="V957" s="430"/>
      <c r="W957" s="382"/>
      <c r="X957" s="366"/>
      <c r="Y957" s="366"/>
      <c r="Z957" s="367"/>
      <c r="AA957" s="367"/>
      <c r="AB957" s="13"/>
      <c r="AC957" s="13"/>
      <c r="AD957" s="13"/>
      <c r="AE957" s="13"/>
      <c r="AF957" s="13"/>
      <c r="AG957" s="13"/>
      <c r="AH957" s="13"/>
      <c r="AI957" s="13"/>
      <c r="AJ957" s="13"/>
      <c r="AK957" s="13"/>
      <c r="AL957" s="13"/>
      <c r="AM957" s="14"/>
      <c r="AN957" s="14"/>
      <c r="AO957" s="14"/>
      <c r="AP957" s="14"/>
      <c r="AQ957" s="14"/>
      <c r="AR957" s="14"/>
      <c r="AS957" s="14"/>
      <c r="AT957" s="14"/>
      <c r="AU957" s="14"/>
      <c r="AV957" s="14"/>
      <c r="AW957" s="14"/>
      <c r="AX957" s="14"/>
      <c r="AY957" s="14"/>
      <c r="AZ957" s="14"/>
      <c r="BA957" s="14"/>
      <c r="BB957" s="14"/>
      <c r="BC957" s="14"/>
      <c r="BD957" s="14"/>
      <c r="BE957" s="14"/>
      <c r="BF957" s="14"/>
      <c r="BG957" s="14"/>
      <c r="BH957" s="14"/>
      <c r="BI957" s="14"/>
      <c r="BJ957" s="14"/>
      <c r="BK957" s="14"/>
      <c r="BL957" s="14"/>
      <c r="BM957" s="14"/>
      <c r="BN957" s="14"/>
    </row>
    <row r="958" ht="22.5" customHeight="1">
      <c r="A958" s="493"/>
      <c r="B958" s="350"/>
      <c r="C958" s="351"/>
      <c r="D958" s="447"/>
      <c r="E958" s="494"/>
      <c r="F958" s="495"/>
      <c r="G958" s="434"/>
      <c r="H958" s="394"/>
      <c r="I958" s="394"/>
      <c r="J958" s="477"/>
      <c r="K958" s="479"/>
      <c r="L958" s="496"/>
      <c r="M958" s="496"/>
      <c r="N958" s="360"/>
      <c r="O958" s="497"/>
      <c r="P958" s="362"/>
      <c r="Q958" s="387"/>
      <c r="R958" s="387"/>
      <c r="S958" s="439"/>
      <c r="T958" s="439"/>
      <c r="U958" s="498"/>
      <c r="V958" s="430"/>
      <c r="W958" s="382"/>
      <c r="X958" s="366"/>
      <c r="Y958" s="366"/>
      <c r="Z958" s="367"/>
      <c r="AA958" s="367"/>
      <c r="AB958" s="13"/>
      <c r="AC958" s="13"/>
      <c r="AD958" s="13"/>
      <c r="AE958" s="13"/>
      <c r="AF958" s="13"/>
      <c r="AG958" s="13"/>
      <c r="AH958" s="13"/>
      <c r="AI958" s="13"/>
      <c r="AJ958" s="13"/>
      <c r="AK958" s="13"/>
      <c r="AL958" s="13"/>
      <c r="AM958" s="14"/>
      <c r="AN958" s="14"/>
      <c r="AO958" s="14"/>
      <c r="AP958" s="14"/>
      <c r="AQ958" s="14"/>
      <c r="AR958" s="14"/>
      <c r="AS958" s="14"/>
      <c r="AT958" s="14"/>
      <c r="AU958" s="14"/>
      <c r="AV958" s="14"/>
      <c r="AW958" s="14"/>
      <c r="AX958" s="14"/>
      <c r="AY958" s="14"/>
      <c r="AZ958" s="14"/>
      <c r="BA958" s="14"/>
      <c r="BB958" s="14"/>
      <c r="BC958" s="14"/>
      <c r="BD958" s="14"/>
      <c r="BE958" s="14"/>
      <c r="BF958" s="14"/>
      <c r="BG958" s="14"/>
      <c r="BH958" s="14"/>
      <c r="BI958" s="14"/>
      <c r="BJ958" s="14"/>
      <c r="BK958" s="14"/>
      <c r="BL958" s="14"/>
      <c r="BM958" s="14"/>
      <c r="BN958" s="14"/>
    </row>
    <row r="959" ht="22.5" customHeight="1">
      <c r="A959" s="493"/>
      <c r="B959" s="350"/>
      <c r="C959" s="351"/>
      <c r="D959" s="447"/>
      <c r="E959" s="494"/>
      <c r="F959" s="495"/>
      <c r="G959" s="434"/>
      <c r="H959" s="394"/>
      <c r="I959" s="394"/>
      <c r="J959" s="477"/>
      <c r="K959" s="479"/>
      <c r="L959" s="496"/>
      <c r="M959" s="496"/>
      <c r="N959" s="360"/>
      <c r="O959" s="497"/>
      <c r="P959" s="362"/>
      <c r="Q959" s="387"/>
      <c r="R959" s="387"/>
      <c r="S959" s="439"/>
      <c r="T959" s="439"/>
      <c r="U959" s="498"/>
      <c r="V959" s="430"/>
      <c r="W959" s="382"/>
      <c r="X959" s="366"/>
      <c r="Y959" s="366"/>
      <c r="Z959" s="367"/>
      <c r="AA959" s="367"/>
      <c r="AB959" s="13"/>
      <c r="AC959" s="13"/>
      <c r="AD959" s="13"/>
      <c r="AE959" s="13"/>
      <c r="AF959" s="13"/>
      <c r="AG959" s="13"/>
      <c r="AH959" s="13"/>
      <c r="AI959" s="13"/>
      <c r="AJ959" s="13"/>
      <c r="AK959" s="13"/>
      <c r="AL959" s="13"/>
      <c r="AM959" s="14"/>
      <c r="AN959" s="14"/>
      <c r="AO959" s="14"/>
      <c r="AP959" s="14"/>
      <c r="AQ959" s="14"/>
      <c r="AR959" s="14"/>
      <c r="AS959" s="14"/>
      <c r="AT959" s="14"/>
      <c r="AU959" s="14"/>
      <c r="AV959" s="14"/>
      <c r="AW959" s="14"/>
      <c r="AX959" s="14"/>
      <c r="AY959" s="14"/>
      <c r="AZ959" s="14"/>
      <c r="BA959" s="14"/>
      <c r="BB959" s="14"/>
      <c r="BC959" s="14"/>
      <c r="BD959" s="14"/>
      <c r="BE959" s="14"/>
      <c r="BF959" s="14"/>
      <c r="BG959" s="14"/>
      <c r="BH959" s="14"/>
      <c r="BI959" s="14"/>
      <c r="BJ959" s="14"/>
      <c r="BK959" s="14"/>
      <c r="BL959" s="14"/>
      <c r="BM959" s="14"/>
      <c r="BN959" s="14"/>
    </row>
    <row r="960" ht="22.5" customHeight="1">
      <c r="A960" s="493"/>
      <c r="B960" s="350"/>
      <c r="C960" s="351"/>
      <c r="D960" s="447"/>
      <c r="E960" s="494"/>
      <c r="F960" s="495"/>
      <c r="G960" s="434"/>
      <c r="H960" s="394"/>
      <c r="I960" s="394"/>
      <c r="J960" s="477"/>
      <c r="K960" s="479"/>
      <c r="L960" s="496"/>
      <c r="M960" s="496"/>
      <c r="N960" s="360"/>
      <c r="O960" s="497"/>
      <c r="P960" s="362"/>
      <c r="Q960" s="387"/>
      <c r="R960" s="387"/>
      <c r="S960" s="439"/>
      <c r="T960" s="439"/>
      <c r="U960" s="498"/>
      <c r="V960" s="430"/>
      <c r="W960" s="382"/>
      <c r="X960" s="366"/>
      <c r="Y960" s="366"/>
      <c r="Z960" s="367"/>
      <c r="AA960" s="367"/>
      <c r="AB960" s="13"/>
      <c r="AC960" s="13"/>
      <c r="AD960" s="13"/>
      <c r="AE960" s="13"/>
      <c r="AF960" s="13"/>
      <c r="AG960" s="13"/>
      <c r="AH960" s="13"/>
      <c r="AI960" s="13"/>
      <c r="AJ960" s="13"/>
      <c r="AK960" s="13"/>
      <c r="AL960" s="13"/>
      <c r="AM960" s="14"/>
      <c r="AN960" s="14"/>
      <c r="AO960" s="14"/>
      <c r="AP960" s="14"/>
      <c r="AQ960" s="14"/>
      <c r="AR960" s="14"/>
      <c r="AS960" s="14"/>
      <c r="AT960" s="14"/>
      <c r="AU960" s="14"/>
      <c r="AV960" s="14"/>
      <c r="AW960" s="14"/>
      <c r="AX960" s="14"/>
      <c r="AY960" s="14"/>
      <c r="AZ960" s="14"/>
      <c r="BA960" s="14"/>
      <c r="BB960" s="14"/>
      <c r="BC960" s="14"/>
      <c r="BD960" s="14"/>
      <c r="BE960" s="14"/>
      <c r="BF960" s="14"/>
      <c r="BG960" s="14"/>
      <c r="BH960" s="14"/>
      <c r="BI960" s="14"/>
      <c r="BJ960" s="14"/>
      <c r="BK960" s="14"/>
      <c r="BL960" s="14"/>
      <c r="BM960" s="14"/>
      <c r="BN960" s="14"/>
    </row>
    <row r="961" ht="22.5" customHeight="1">
      <c r="A961" s="493"/>
      <c r="B961" s="350"/>
      <c r="C961" s="351"/>
      <c r="D961" s="447"/>
      <c r="E961" s="494"/>
      <c r="F961" s="495"/>
      <c r="G961" s="434"/>
      <c r="H961" s="394"/>
      <c r="I961" s="394"/>
      <c r="J961" s="477"/>
      <c r="K961" s="479"/>
      <c r="L961" s="496"/>
      <c r="M961" s="496"/>
      <c r="N961" s="360"/>
      <c r="O961" s="497"/>
      <c r="P961" s="362"/>
      <c r="Q961" s="387"/>
      <c r="R961" s="387"/>
      <c r="S961" s="439"/>
      <c r="T961" s="439"/>
      <c r="U961" s="498"/>
      <c r="V961" s="430"/>
      <c r="W961" s="382"/>
      <c r="X961" s="366"/>
      <c r="Y961" s="366"/>
      <c r="Z961" s="367"/>
      <c r="AA961" s="367"/>
      <c r="AB961" s="13"/>
      <c r="AC961" s="13"/>
      <c r="AD961" s="13"/>
      <c r="AE961" s="13"/>
      <c r="AF961" s="13"/>
      <c r="AG961" s="13"/>
      <c r="AH961" s="13"/>
      <c r="AI961" s="13"/>
      <c r="AJ961" s="13"/>
      <c r="AK961" s="13"/>
      <c r="AL961" s="13"/>
      <c r="AM961" s="14"/>
      <c r="AN961" s="14"/>
      <c r="AO961" s="14"/>
      <c r="AP961" s="14"/>
      <c r="AQ961" s="14"/>
      <c r="AR961" s="14"/>
      <c r="AS961" s="14"/>
      <c r="AT961" s="14"/>
      <c r="AU961" s="14"/>
      <c r="AV961" s="14"/>
      <c r="AW961" s="14"/>
      <c r="AX961" s="14"/>
      <c r="AY961" s="14"/>
      <c r="AZ961" s="14"/>
      <c r="BA961" s="14"/>
      <c r="BB961" s="14"/>
      <c r="BC961" s="14"/>
      <c r="BD961" s="14"/>
      <c r="BE961" s="14"/>
      <c r="BF961" s="14"/>
      <c r="BG961" s="14"/>
      <c r="BH961" s="14"/>
      <c r="BI961" s="14"/>
      <c r="BJ961" s="14"/>
      <c r="BK961" s="14"/>
      <c r="BL961" s="14"/>
      <c r="BM961" s="14"/>
      <c r="BN961" s="14"/>
    </row>
    <row r="962" ht="22.5" customHeight="1">
      <c r="A962" s="493"/>
      <c r="B962" s="350"/>
      <c r="C962" s="351"/>
      <c r="D962" s="447"/>
      <c r="E962" s="494"/>
      <c r="F962" s="495"/>
      <c r="G962" s="434"/>
      <c r="H962" s="394"/>
      <c r="I962" s="394"/>
      <c r="J962" s="477"/>
      <c r="K962" s="479"/>
      <c r="L962" s="496"/>
      <c r="M962" s="496"/>
      <c r="N962" s="360"/>
      <c r="O962" s="497"/>
      <c r="P962" s="362"/>
      <c r="Q962" s="387"/>
      <c r="R962" s="387"/>
      <c r="S962" s="439"/>
      <c r="T962" s="439"/>
      <c r="U962" s="498"/>
      <c r="V962" s="430"/>
      <c r="W962" s="382"/>
      <c r="X962" s="366"/>
      <c r="Y962" s="366"/>
      <c r="Z962" s="367"/>
      <c r="AA962" s="367"/>
      <c r="AB962" s="13"/>
      <c r="AC962" s="13"/>
      <c r="AD962" s="13"/>
      <c r="AE962" s="13"/>
      <c r="AF962" s="13"/>
      <c r="AG962" s="13"/>
      <c r="AH962" s="13"/>
      <c r="AI962" s="13"/>
      <c r="AJ962" s="13"/>
      <c r="AK962" s="13"/>
      <c r="AL962" s="13"/>
      <c r="AM962" s="14"/>
      <c r="AN962" s="14"/>
      <c r="AO962" s="14"/>
      <c r="AP962" s="14"/>
      <c r="AQ962" s="14"/>
      <c r="AR962" s="14"/>
      <c r="AS962" s="14"/>
      <c r="AT962" s="14"/>
      <c r="AU962" s="14"/>
      <c r="AV962" s="14"/>
      <c r="AW962" s="14"/>
      <c r="AX962" s="14"/>
      <c r="AY962" s="14"/>
      <c r="AZ962" s="14"/>
      <c r="BA962" s="14"/>
      <c r="BB962" s="14"/>
      <c r="BC962" s="14"/>
      <c r="BD962" s="14"/>
      <c r="BE962" s="14"/>
      <c r="BF962" s="14"/>
      <c r="BG962" s="14"/>
      <c r="BH962" s="14"/>
      <c r="BI962" s="14"/>
      <c r="BJ962" s="14"/>
      <c r="BK962" s="14"/>
      <c r="BL962" s="14"/>
      <c r="BM962" s="14"/>
      <c r="BN962" s="14"/>
    </row>
    <row r="963" ht="22.5" customHeight="1">
      <c r="A963" s="493"/>
      <c r="B963" s="350"/>
      <c r="C963" s="351"/>
      <c r="D963" s="447"/>
      <c r="E963" s="494"/>
      <c r="F963" s="495"/>
      <c r="G963" s="434"/>
      <c r="H963" s="394"/>
      <c r="I963" s="394"/>
      <c r="J963" s="477"/>
      <c r="K963" s="479"/>
      <c r="L963" s="496"/>
      <c r="M963" s="496"/>
      <c r="N963" s="360"/>
      <c r="O963" s="497"/>
      <c r="P963" s="362"/>
      <c r="Q963" s="387"/>
      <c r="R963" s="387"/>
      <c r="S963" s="439"/>
      <c r="T963" s="439"/>
      <c r="U963" s="498"/>
      <c r="V963" s="430"/>
      <c r="W963" s="382"/>
      <c r="X963" s="366"/>
      <c r="Y963" s="366"/>
      <c r="Z963" s="367"/>
      <c r="AA963" s="367"/>
      <c r="AB963" s="13"/>
      <c r="AC963" s="13"/>
      <c r="AD963" s="13"/>
      <c r="AE963" s="13"/>
      <c r="AF963" s="13"/>
      <c r="AG963" s="13"/>
      <c r="AH963" s="13"/>
      <c r="AI963" s="13"/>
      <c r="AJ963" s="13"/>
      <c r="AK963" s="13"/>
      <c r="AL963" s="13"/>
      <c r="AM963" s="14"/>
      <c r="AN963" s="14"/>
      <c r="AO963" s="14"/>
      <c r="AP963" s="14"/>
      <c r="AQ963" s="14"/>
      <c r="AR963" s="14"/>
      <c r="AS963" s="14"/>
      <c r="AT963" s="14"/>
      <c r="AU963" s="14"/>
      <c r="AV963" s="14"/>
      <c r="AW963" s="14"/>
      <c r="AX963" s="14"/>
      <c r="AY963" s="14"/>
      <c r="AZ963" s="14"/>
      <c r="BA963" s="14"/>
      <c r="BB963" s="14"/>
      <c r="BC963" s="14"/>
      <c r="BD963" s="14"/>
      <c r="BE963" s="14"/>
      <c r="BF963" s="14"/>
      <c r="BG963" s="14"/>
      <c r="BH963" s="14"/>
      <c r="BI963" s="14"/>
      <c r="BJ963" s="14"/>
      <c r="BK963" s="14"/>
      <c r="BL963" s="14"/>
      <c r="BM963" s="14"/>
      <c r="BN963" s="14"/>
    </row>
    <row r="964" ht="22.5" customHeight="1">
      <c r="A964" s="493"/>
      <c r="B964" s="350"/>
      <c r="C964" s="351"/>
      <c r="D964" s="447"/>
      <c r="E964" s="494"/>
      <c r="F964" s="495"/>
      <c r="G964" s="434"/>
      <c r="H964" s="394"/>
      <c r="I964" s="394"/>
      <c r="J964" s="477"/>
      <c r="K964" s="479"/>
      <c r="L964" s="496"/>
      <c r="M964" s="496"/>
      <c r="N964" s="360"/>
      <c r="O964" s="497"/>
      <c r="P964" s="362"/>
      <c r="Q964" s="387"/>
      <c r="R964" s="387"/>
      <c r="S964" s="439"/>
      <c r="T964" s="439"/>
      <c r="U964" s="498"/>
      <c r="V964" s="430"/>
      <c r="W964" s="382"/>
      <c r="X964" s="366"/>
      <c r="Y964" s="366"/>
      <c r="Z964" s="367"/>
      <c r="AA964" s="367"/>
      <c r="AB964" s="13"/>
      <c r="AC964" s="13"/>
      <c r="AD964" s="13"/>
      <c r="AE964" s="13"/>
      <c r="AF964" s="13"/>
      <c r="AG964" s="13"/>
      <c r="AH964" s="13"/>
      <c r="AI964" s="13"/>
      <c r="AJ964" s="13"/>
      <c r="AK964" s="13"/>
      <c r="AL964" s="13"/>
      <c r="AM964" s="14"/>
      <c r="AN964" s="14"/>
      <c r="AO964" s="14"/>
      <c r="AP964" s="14"/>
      <c r="AQ964" s="14"/>
      <c r="AR964" s="14"/>
      <c r="AS964" s="14"/>
      <c r="AT964" s="14"/>
      <c r="AU964" s="14"/>
      <c r="AV964" s="14"/>
      <c r="AW964" s="14"/>
      <c r="AX964" s="14"/>
      <c r="AY964" s="14"/>
      <c r="AZ964" s="14"/>
      <c r="BA964" s="14"/>
      <c r="BB964" s="14"/>
      <c r="BC964" s="14"/>
      <c r="BD964" s="14"/>
      <c r="BE964" s="14"/>
      <c r="BF964" s="14"/>
      <c r="BG964" s="14"/>
      <c r="BH964" s="14"/>
      <c r="BI964" s="14"/>
      <c r="BJ964" s="14"/>
      <c r="BK964" s="14"/>
      <c r="BL964" s="14"/>
      <c r="BM964" s="14"/>
      <c r="BN964" s="14"/>
    </row>
    <row r="965" ht="22.5" customHeight="1">
      <c r="A965" s="493"/>
      <c r="B965" s="350"/>
      <c r="C965" s="351"/>
      <c r="D965" s="447"/>
      <c r="E965" s="494"/>
      <c r="F965" s="495"/>
      <c r="G965" s="434"/>
      <c r="H965" s="394"/>
      <c r="I965" s="394"/>
      <c r="J965" s="477"/>
      <c r="K965" s="479"/>
      <c r="L965" s="496"/>
      <c r="M965" s="496"/>
      <c r="N965" s="360"/>
      <c r="O965" s="497"/>
      <c r="P965" s="362"/>
      <c r="Q965" s="387"/>
      <c r="R965" s="387"/>
      <c r="S965" s="439"/>
      <c r="T965" s="439"/>
      <c r="U965" s="498"/>
      <c r="V965" s="430"/>
      <c r="W965" s="382"/>
      <c r="X965" s="366"/>
      <c r="Y965" s="366"/>
      <c r="Z965" s="367"/>
      <c r="AA965" s="367"/>
      <c r="AB965" s="13"/>
      <c r="AC965" s="13"/>
      <c r="AD965" s="13"/>
      <c r="AE965" s="13"/>
      <c r="AF965" s="13"/>
      <c r="AG965" s="13"/>
      <c r="AH965" s="13"/>
      <c r="AI965" s="13"/>
      <c r="AJ965" s="13"/>
      <c r="AK965" s="13"/>
      <c r="AL965" s="13"/>
      <c r="AM965" s="14"/>
      <c r="AN965" s="14"/>
      <c r="AO965" s="14"/>
      <c r="AP965" s="14"/>
      <c r="AQ965" s="14"/>
      <c r="AR965" s="14"/>
      <c r="AS965" s="14"/>
      <c r="AT965" s="14"/>
      <c r="AU965" s="14"/>
      <c r="AV965" s="14"/>
      <c r="AW965" s="14"/>
      <c r="AX965" s="14"/>
      <c r="AY965" s="14"/>
      <c r="AZ965" s="14"/>
      <c r="BA965" s="14"/>
      <c r="BB965" s="14"/>
      <c r="BC965" s="14"/>
      <c r="BD965" s="14"/>
      <c r="BE965" s="14"/>
      <c r="BF965" s="14"/>
      <c r="BG965" s="14"/>
      <c r="BH965" s="14"/>
      <c r="BI965" s="14"/>
      <c r="BJ965" s="14"/>
      <c r="BK965" s="14"/>
      <c r="BL965" s="14"/>
      <c r="BM965" s="14"/>
      <c r="BN965" s="14"/>
    </row>
    <row r="966" ht="22.5" customHeight="1">
      <c r="A966" s="493"/>
      <c r="B966" s="350"/>
      <c r="C966" s="351"/>
      <c r="D966" s="447"/>
      <c r="E966" s="494"/>
      <c r="F966" s="495"/>
      <c r="G966" s="434"/>
      <c r="H966" s="394"/>
      <c r="I966" s="394"/>
      <c r="J966" s="477"/>
      <c r="K966" s="479"/>
      <c r="L966" s="496"/>
      <c r="M966" s="496"/>
      <c r="N966" s="360"/>
      <c r="O966" s="497"/>
      <c r="P966" s="362"/>
      <c r="Q966" s="387"/>
      <c r="R966" s="387"/>
      <c r="S966" s="439"/>
      <c r="T966" s="439"/>
      <c r="U966" s="498"/>
      <c r="V966" s="430"/>
      <c r="W966" s="382"/>
      <c r="X966" s="366"/>
      <c r="Y966" s="366"/>
      <c r="Z966" s="367"/>
      <c r="AA966" s="367"/>
      <c r="AB966" s="13"/>
      <c r="AC966" s="13"/>
      <c r="AD966" s="13"/>
      <c r="AE966" s="13"/>
      <c r="AF966" s="13"/>
      <c r="AG966" s="13"/>
      <c r="AH966" s="13"/>
      <c r="AI966" s="13"/>
      <c r="AJ966" s="13"/>
      <c r="AK966" s="13"/>
      <c r="AL966" s="13"/>
      <c r="AM966" s="14"/>
      <c r="AN966" s="14"/>
      <c r="AO966" s="14"/>
      <c r="AP966" s="14"/>
      <c r="AQ966" s="14"/>
      <c r="AR966" s="14"/>
      <c r="AS966" s="14"/>
      <c r="AT966" s="14"/>
      <c r="AU966" s="14"/>
      <c r="AV966" s="14"/>
      <c r="AW966" s="14"/>
      <c r="AX966" s="14"/>
      <c r="AY966" s="14"/>
      <c r="AZ966" s="14"/>
      <c r="BA966" s="14"/>
      <c r="BB966" s="14"/>
      <c r="BC966" s="14"/>
      <c r="BD966" s="14"/>
      <c r="BE966" s="14"/>
      <c r="BF966" s="14"/>
      <c r="BG966" s="14"/>
      <c r="BH966" s="14"/>
      <c r="BI966" s="14"/>
      <c r="BJ966" s="14"/>
      <c r="BK966" s="14"/>
      <c r="BL966" s="14"/>
      <c r="BM966" s="14"/>
      <c r="BN966" s="14"/>
    </row>
    <row r="967" ht="22.5" customHeight="1">
      <c r="A967" s="493"/>
      <c r="B967" s="350"/>
      <c r="C967" s="351"/>
      <c r="D967" s="447"/>
      <c r="E967" s="494"/>
      <c r="F967" s="495"/>
      <c r="G967" s="434"/>
      <c r="H967" s="394"/>
      <c r="I967" s="394"/>
      <c r="J967" s="477"/>
      <c r="K967" s="479"/>
      <c r="L967" s="496"/>
      <c r="M967" s="496"/>
      <c r="N967" s="360"/>
      <c r="O967" s="497"/>
      <c r="P967" s="362"/>
      <c r="Q967" s="387"/>
      <c r="R967" s="387"/>
      <c r="S967" s="439"/>
      <c r="T967" s="439"/>
      <c r="U967" s="498"/>
      <c r="V967" s="430"/>
      <c r="W967" s="382"/>
      <c r="X967" s="366"/>
      <c r="Y967" s="366"/>
      <c r="Z967" s="367"/>
      <c r="AA967" s="367"/>
      <c r="AB967" s="13"/>
      <c r="AC967" s="13"/>
      <c r="AD967" s="13"/>
      <c r="AE967" s="13"/>
      <c r="AF967" s="13"/>
      <c r="AG967" s="13"/>
      <c r="AH967" s="13"/>
      <c r="AI967" s="13"/>
      <c r="AJ967" s="13"/>
      <c r="AK967" s="13"/>
      <c r="AL967" s="13"/>
      <c r="AM967" s="14"/>
      <c r="AN967" s="14"/>
      <c r="AO967" s="14"/>
      <c r="AP967" s="14"/>
      <c r="AQ967" s="14"/>
      <c r="AR967" s="14"/>
      <c r="AS967" s="14"/>
      <c r="AT967" s="14"/>
      <c r="AU967" s="14"/>
      <c r="AV967" s="14"/>
      <c r="AW967" s="14"/>
      <c r="AX967" s="14"/>
      <c r="AY967" s="14"/>
      <c r="AZ967" s="14"/>
      <c r="BA967" s="14"/>
      <c r="BB967" s="14"/>
      <c r="BC967" s="14"/>
      <c r="BD967" s="14"/>
      <c r="BE967" s="14"/>
      <c r="BF967" s="14"/>
      <c r="BG967" s="14"/>
      <c r="BH967" s="14"/>
      <c r="BI967" s="14"/>
      <c r="BJ967" s="14"/>
      <c r="BK967" s="14"/>
      <c r="BL967" s="14"/>
      <c r="BM967" s="14"/>
      <c r="BN967" s="14"/>
    </row>
    <row r="968" ht="22.5" customHeight="1">
      <c r="A968" s="493"/>
      <c r="B968" s="350"/>
      <c r="C968" s="351"/>
      <c r="D968" s="447"/>
      <c r="E968" s="494"/>
      <c r="F968" s="495"/>
      <c r="G968" s="434"/>
      <c r="H968" s="394"/>
      <c r="I968" s="394"/>
      <c r="J968" s="477"/>
      <c r="K968" s="479"/>
      <c r="L968" s="496"/>
      <c r="M968" s="496"/>
      <c r="N968" s="360"/>
      <c r="O968" s="497"/>
      <c r="P968" s="362"/>
      <c r="Q968" s="387"/>
      <c r="R968" s="387"/>
      <c r="S968" s="439"/>
      <c r="T968" s="439"/>
      <c r="U968" s="498"/>
      <c r="V968" s="430"/>
      <c r="W968" s="382"/>
      <c r="X968" s="366"/>
      <c r="Y968" s="366"/>
      <c r="Z968" s="367"/>
      <c r="AA968" s="367"/>
      <c r="AB968" s="13"/>
      <c r="AC968" s="13"/>
      <c r="AD968" s="13"/>
      <c r="AE968" s="13"/>
      <c r="AF968" s="13"/>
      <c r="AG968" s="13"/>
      <c r="AH968" s="13"/>
      <c r="AI968" s="13"/>
      <c r="AJ968" s="13"/>
      <c r="AK968" s="13"/>
      <c r="AL968" s="13"/>
      <c r="AM968" s="14"/>
      <c r="AN968" s="14"/>
      <c r="AO968" s="14"/>
      <c r="AP968" s="14"/>
      <c r="AQ968" s="14"/>
      <c r="AR968" s="14"/>
      <c r="AS968" s="14"/>
      <c r="AT968" s="14"/>
      <c r="AU968" s="14"/>
      <c r="AV968" s="14"/>
      <c r="AW968" s="14"/>
      <c r="AX968" s="14"/>
      <c r="AY968" s="14"/>
      <c r="AZ968" s="14"/>
      <c r="BA968" s="14"/>
      <c r="BB968" s="14"/>
      <c r="BC968" s="14"/>
      <c r="BD968" s="14"/>
      <c r="BE968" s="14"/>
      <c r="BF968" s="14"/>
      <c r="BG968" s="14"/>
      <c r="BH968" s="14"/>
      <c r="BI968" s="14"/>
      <c r="BJ968" s="14"/>
      <c r="BK968" s="14"/>
      <c r="BL968" s="14"/>
      <c r="BM968" s="14"/>
      <c r="BN968" s="14"/>
    </row>
    <row r="969" ht="22.5" customHeight="1">
      <c r="A969" s="493"/>
      <c r="B969" s="350"/>
      <c r="C969" s="351"/>
      <c r="D969" s="447"/>
      <c r="E969" s="494"/>
      <c r="F969" s="495"/>
      <c r="G969" s="434"/>
      <c r="H969" s="394"/>
      <c r="I969" s="394"/>
      <c r="J969" s="477"/>
      <c r="K969" s="479"/>
      <c r="L969" s="496"/>
      <c r="M969" s="496"/>
      <c r="N969" s="360"/>
      <c r="O969" s="497"/>
      <c r="P969" s="362"/>
      <c r="Q969" s="387"/>
      <c r="R969" s="387"/>
      <c r="S969" s="439"/>
      <c r="T969" s="439"/>
      <c r="U969" s="498"/>
      <c r="V969" s="430"/>
      <c r="W969" s="382"/>
      <c r="X969" s="366"/>
      <c r="Y969" s="366"/>
      <c r="Z969" s="367"/>
      <c r="AA969" s="367"/>
      <c r="AB969" s="13"/>
      <c r="AC969" s="13"/>
      <c r="AD969" s="13"/>
      <c r="AE969" s="13"/>
      <c r="AF969" s="13"/>
      <c r="AG969" s="13"/>
      <c r="AH969" s="13"/>
      <c r="AI969" s="13"/>
      <c r="AJ969" s="13"/>
      <c r="AK969" s="13"/>
      <c r="AL969" s="13"/>
      <c r="AM969" s="14"/>
      <c r="AN969" s="14"/>
      <c r="AO969" s="14"/>
      <c r="AP969" s="14"/>
      <c r="AQ969" s="14"/>
      <c r="AR969" s="14"/>
      <c r="AS969" s="14"/>
      <c r="AT969" s="14"/>
      <c r="AU969" s="14"/>
      <c r="AV969" s="14"/>
      <c r="AW969" s="14"/>
      <c r="AX969" s="14"/>
      <c r="AY969" s="14"/>
      <c r="AZ969" s="14"/>
      <c r="BA969" s="14"/>
      <c r="BB969" s="14"/>
      <c r="BC969" s="14"/>
      <c r="BD969" s="14"/>
      <c r="BE969" s="14"/>
      <c r="BF969" s="14"/>
      <c r="BG969" s="14"/>
      <c r="BH969" s="14"/>
      <c r="BI969" s="14"/>
      <c r="BJ969" s="14"/>
      <c r="BK969" s="14"/>
      <c r="BL969" s="14"/>
      <c r="BM969" s="14"/>
      <c r="BN969" s="14"/>
    </row>
    <row r="970" ht="22.5" customHeight="1">
      <c r="A970" s="493"/>
      <c r="B970" s="350"/>
      <c r="C970" s="351"/>
      <c r="D970" s="447"/>
      <c r="E970" s="494"/>
      <c r="F970" s="495"/>
      <c r="G970" s="434"/>
      <c r="H970" s="394"/>
      <c r="I970" s="394"/>
      <c r="J970" s="477"/>
      <c r="K970" s="479"/>
      <c r="L970" s="496"/>
      <c r="M970" s="496"/>
      <c r="N970" s="360"/>
      <c r="O970" s="497"/>
      <c r="P970" s="362"/>
      <c r="Q970" s="387"/>
      <c r="R970" s="387"/>
      <c r="S970" s="439"/>
      <c r="T970" s="439"/>
      <c r="U970" s="498"/>
      <c r="V970" s="430"/>
      <c r="W970" s="382"/>
      <c r="X970" s="366"/>
      <c r="Y970" s="366"/>
      <c r="Z970" s="367"/>
      <c r="AA970" s="367"/>
      <c r="AB970" s="13"/>
      <c r="AC970" s="13"/>
      <c r="AD970" s="13"/>
      <c r="AE970" s="13"/>
      <c r="AF970" s="13"/>
      <c r="AG970" s="13"/>
      <c r="AH970" s="13"/>
      <c r="AI970" s="13"/>
      <c r="AJ970" s="13"/>
      <c r="AK970" s="13"/>
      <c r="AL970" s="13"/>
      <c r="AM970" s="14"/>
      <c r="AN970" s="14"/>
      <c r="AO970" s="14"/>
      <c r="AP970" s="14"/>
      <c r="AQ970" s="14"/>
      <c r="AR970" s="14"/>
      <c r="AS970" s="14"/>
      <c r="AT970" s="14"/>
      <c r="AU970" s="14"/>
      <c r="AV970" s="14"/>
      <c r="AW970" s="14"/>
      <c r="AX970" s="14"/>
      <c r="AY970" s="14"/>
      <c r="AZ970" s="14"/>
      <c r="BA970" s="14"/>
      <c r="BB970" s="14"/>
      <c r="BC970" s="14"/>
      <c r="BD970" s="14"/>
      <c r="BE970" s="14"/>
      <c r="BF970" s="14"/>
      <c r="BG970" s="14"/>
      <c r="BH970" s="14"/>
      <c r="BI970" s="14"/>
      <c r="BJ970" s="14"/>
      <c r="BK970" s="14"/>
      <c r="BL970" s="14"/>
      <c r="BM970" s="14"/>
      <c r="BN970" s="14"/>
    </row>
    <row r="971" ht="22.5" customHeight="1">
      <c r="A971" s="493"/>
      <c r="B971" s="350"/>
      <c r="C971" s="351"/>
      <c r="D971" s="447"/>
      <c r="E971" s="494"/>
      <c r="F971" s="495"/>
      <c r="G971" s="434"/>
      <c r="H971" s="394"/>
      <c r="I971" s="394"/>
      <c r="J971" s="477"/>
      <c r="K971" s="479"/>
      <c r="L971" s="496"/>
      <c r="M971" s="496"/>
      <c r="N971" s="360"/>
      <c r="O971" s="497"/>
      <c r="P971" s="362"/>
      <c r="Q971" s="387"/>
      <c r="R971" s="387"/>
      <c r="S971" s="439"/>
      <c r="T971" s="439"/>
      <c r="U971" s="498"/>
      <c r="V971" s="430"/>
      <c r="W971" s="382"/>
      <c r="X971" s="366"/>
      <c r="Y971" s="366"/>
      <c r="Z971" s="367"/>
      <c r="AA971" s="367"/>
      <c r="AB971" s="13"/>
      <c r="AC971" s="13"/>
      <c r="AD971" s="13"/>
      <c r="AE971" s="13"/>
      <c r="AF971" s="13"/>
      <c r="AG971" s="13"/>
      <c r="AH971" s="13"/>
      <c r="AI971" s="13"/>
      <c r="AJ971" s="13"/>
      <c r="AK971" s="13"/>
      <c r="AL971" s="13"/>
      <c r="AM971" s="14"/>
      <c r="AN971" s="14"/>
      <c r="AO971" s="14"/>
      <c r="AP971" s="14"/>
      <c r="AQ971" s="14"/>
      <c r="AR971" s="14"/>
      <c r="AS971" s="14"/>
      <c r="AT971" s="14"/>
      <c r="AU971" s="14"/>
      <c r="AV971" s="14"/>
      <c r="AW971" s="14"/>
      <c r="AX971" s="14"/>
      <c r="AY971" s="14"/>
      <c r="AZ971" s="14"/>
      <c r="BA971" s="14"/>
      <c r="BB971" s="14"/>
      <c r="BC971" s="14"/>
      <c r="BD971" s="14"/>
      <c r="BE971" s="14"/>
      <c r="BF971" s="14"/>
      <c r="BG971" s="14"/>
      <c r="BH971" s="14"/>
      <c r="BI971" s="14"/>
      <c r="BJ971" s="14"/>
      <c r="BK971" s="14"/>
      <c r="BL971" s="14"/>
      <c r="BM971" s="14"/>
      <c r="BN971" s="14"/>
    </row>
    <row r="972" ht="22.5" customHeight="1">
      <c r="A972" s="493"/>
      <c r="B972" s="350"/>
      <c r="C972" s="351"/>
      <c r="D972" s="447"/>
      <c r="E972" s="494"/>
      <c r="F972" s="495"/>
      <c r="G972" s="434"/>
      <c r="H972" s="394"/>
      <c r="I972" s="394"/>
      <c r="J972" s="477"/>
      <c r="K972" s="479"/>
      <c r="L972" s="496"/>
      <c r="M972" s="496"/>
      <c r="N972" s="360"/>
      <c r="O972" s="497"/>
      <c r="P972" s="362"/>
      <c r="Q972" s="387"/>
      <c r="R972" s="387"/>
      <c r="S972" s="439"/>
      <c r="T972" s="439"/>
      <c r="U972" s="498"/>
      <c r="V972" s="430"/>
      <c r="W972" s="382"/>
      <c r="X972" s="366"/>
      <c r="Y972" s="366"/>
      <c r="Z972" s="367"/>
      <c r="AA972" s="367"/>
      <c r="AB972" s="13"/>
      <c r="AC972" s="13"/>
      <c r="AD972" s="13"/>
      <c r="AE972" s="13"/>
      <c r="AF972" s="13"/>
      <c r="AG972" s="13"/>
      <c r="AH972" s="13"/>
      <c r="AI972" s="13"/>
      <c r="AJ972" s="13"/>
      <c r="AK972" s="13"/>
      <c r="AL972" s="13"/>
      <c r="AM972" s="14"/>
      <c r="AN972" s="14"/>
      <c r="AO972" s="14"/>
      <c r="AP972" s="14"/>
      <c r="AQ972" s="14"/>
      <c r="AR972" s="14"/>
      <c r="AS972" s="14"/>
      <c r="AT972" s="14"/>
      <c r="AU972" s="14"/>
      <c r="AV972" s="14"/>
      <c r="AW972" s="14"/>
      <c r="AX972" s="14"/>
      <c r="AY972" s="14"/>
      <c r="AZ972" s="14"/>
      <c r="BA972" s="14"/>
      <c r="BB972" s="14"/>
      <c r="BC972" s="14"/>
      <c r="BD972" s="14"/>
      <c r="BE972" s="14"/>
      <c r="BF972" s="14"/>
      <c r="BG972" s="14"/>
      <c r="BH972" s="14"/>
      <c r="BI972" s="14"/>
      <c r="BJ972" s="14"/>
      <c r="BK972" s="14"/>
      <c r="BL972" s="14"/>
      <c r="BM972" s="14"/>
      <c r="BN972" s="14"/>
    </row>
    <row r="973" ht="22.5" customHeight="1">
      <c r="A973" s="493"/>
      <c r="B973" s="350"/>
      <c r="C973" s="351"/>
      <c r="D973" s="447"/>
      <c r="E973" s="494"/>
      <c r="F973" s="495"/>
      <c r="G973" s="434"/>
      <c r="H973" s="394"/>
      <c r="I973" s="394"/>
      <c r="J973" s="477"/>
      <c r="K973" s="479"/>
      <c r="L973" s="496"/>
      <c r="M973" s="496"/>
      <c r="N973" s="360"/>
      <c r="O973" s="497"/>
      <c r="P973" s="362"/>
      <c r="Q973" s="387"/>
      <c r="R973" s="387"/>
      <c r="S973" s="439"/>
      <c r="T973" s="439"/>
      <c r="U973" s="498"/>
      <c r="V973" s="430"/>
      <c r="W973" s="382"/>
      <c r="X973" s="366"/>
      <c r="Y973" s="366"/>
      <c r="Z973" s="367"/>
      <c r="AA973" s="367"/>
      <c r="AB973" s="13"/>
      <c r="AC973" s="13"/>
      <c r="AD973" s="13"/>
      <c r="AE973" s="13"/>
      <c r="AF973" s="13"/>
      <c r="AG973" s="13"/>
      <c r="AH973" s="13"/>
      <c r="AI973" s="13"/>
      <c r="AJ973" s="13"/>
      <c r="AK973" s="13"/>
      <c r="AL973" s="13"/>
      <c r="AM973" s="14"/>
      <c r="AN973" s="14"/>
      <c r="AO973" s="14"/>
      <c r="AP973" s="14"/>
      <c r="AQ973" s="14"/>
      <c r="AR973" s="14"/>
      <c r="AS973" s="14"/>
      <c r="AT973" s="14"/>
      <c r="AU973" s="14"/>
      <c r="AV973" s="14"/>
      <c r="AW973" s="14"/>
      <c r="AX973" s="14"/>
      <c r="AY973" s="14"/>
      <c r="AZ973" s="14"/>
      <c r="BA973" s="14"/>
      <c r="BB973" s="14"/>
      <c r="BC973" s="14"/>
      <c r="BD973" s="14"/>
      <c r="BE973" s="14"/>
      <c r="BF973" s="14"/>
      <c r="BG973" s="14"/>
      <c r="BH973" s="14"/>
      <c r="BI973" s="14"/>
      <c r="BJ973" s="14"/>
      <c r="BK973" s="14"/>
      <c r="BL973" s="14"/>
      <c r="BM973" s="14"/>
      <c r="BN973" s="14"/>
    </row>
    <row r="974" ht="22.5" customHeight="1">
      <c r="A974" s="493"/>
      <c r="B974" s="350"/>
      <c r="C974" s="351"/>
      <c r="D974" s="447"/>
      <c r="E974" s="494"/>
      <c r="F974" s="495"/>
      <c r="G974" s="434"/>
      <c r="H974" s="394"/>
      <c r="I974" s="394"/>
      <c r="J974" s="477"/>
      <c r="K974" s="479"/>
      <c r="L974" s="496"/>
      <c r="M974" s="496"/>
      <c r="N974" s="360"/>
      <c r="O974" s="497"/>
      <c r="P974" s="362"/>
      <c r="Q974" s="387"/>
      <c r="R974" s="387"/>
      <c r="S974" s="439"/>
      <c r="T974" s="439"/>
      <c r="U974" s="498"/>
      <c r="V974" s="430"/>
      <c r="W974" s="382"/>
      <c r="X974" s="366"/>
      <c r="Y974" s="366"/>
      <c r="Z974" s="367"/>
      <c r="AA974" s="367"/>
      <c r="AB974" s="13"/>
      <c r="AC974" s="13"/>
      <c r="AD974" s="13"/>
      <c r="AE974" s="13"/>
      <c r="AF974" s="13"/>
      <c r="AG974" s="13"/>
      <c r="AH974" s="13"/>
      <c r="AI974" s="13"/>
      <c r="AJ974" s="13"/>
      <c r="AK974" s="13"/>
      <c r="AL974" s="13"/>
      <c r="AM974" s="14"/>
      <c r="AN974" s="14"/>
      <c r="AO974" s="14"/>
      <c r="AP974" s="14"/>
      <c r="AQ974" s="14"/>
      <c r="AR974" s="14"/>
      <c r="AS974" s="14"/>
      <c r="AT974" s="14"/>
      <c r="AU974" s="14"/>
      <c r="AV974" s="14"/>
      <c r="AW974" s="14"/>
      <c r="AX974" s="14"/>
      <c r="AY974" s="14"/>
      <c r="AZ974" s="14"/>
      <c r="BA974" s="14"/>
      <c r="BB974" s="14"/>
      <c r="BC974" s="14"/>
      <c r="BD974" s="14"/>
      <c r="BE974" s="14"/>
      <c r="BF974" s="14"/>
      <c r="BG974" s="14"/>
      <c r="BH974" s="14"/>
      <c r="BI974" s="14"/>
      <c r="BJ974" s="14"/>
      <c r="BK974" s="14"/>
      <c r="BL974" s="14"/>
      <c r="BM974" s="14"/>
      <c r="BN974" s="14"/>
    </row>
    <row r="975" ht="22.5" customHeight="1">
      <c r="A975" s="493"/>
      <c r="B975" s="350"/>
      <c r="C975" s="351"/>
      <c r="D975" s="447"/>
      <c r="E975" s="494"/>
      <c r="F975" s="495"/>
      <c r="G975" s="434"/>
      <c r="H975" s="394"/>
      <c r="I975" s="394"/>
      <c r="J975" s="477"/>
      <c r="K975" s="479"/>
      <c r="L975" s="496"/>
      <c r="M975" s="496"/>
      <c r="N975" s="360"/>
      <c r="O975" s="497"/>
      <c r="P975" s="362"/>
      <c r="Q975" s="387"/>
      <c r="R975" s="387"/>
      <c r="S975" s="439"/>
      <c r="T975" s="439"/>
      <c r="U975" s="498"/>
      <c r="V975" s="430"/>
      <c r="W975" s="382"/>
      <c r="X975" s="366"/>
      <c r="Y975" s="366"/>
      <c r="Z975" s="367"/>
      <c r="AA975" s="367"/>
      <c r="AB975" s="13"/>
      <c r="AC975" s="13"/>
      <c r="AD975" s="13"/>
      <c r="AE975" s="13"/>
      <c r="AF975" s="13"/>
      <c r="AG975" s="13"/>
      <c r="AH975" s="13"/>
      <c r="AI975" s="13"/>
      <c r="AJ975" s="13"/>
      <c r="AK975" s="13"/>
      <c r="AL975" s="13"/>
      <c r="AM975" s="14"/>
      <c r="AN975" s="14"/>
      <c r="AO975" s="14"/>
      <c r="AP975" s="14"/>
      <c r="AQ975" s="14"/>
      <c r="AR975" s="14"/>
      <c r="AS975" s="14"/>
      <c r="AT975" s="14"/>
      <c r="AU975" s="14"/>
      <c r="AV975" s="14"/>
      <c r="AW975" s="14"/>
      <c r="AX975" s="14"/>
      <c r="AY975" s="14"/>
      <c r="AZ975" s="14"/>
      <c r="BA975" s="14"/>
      <c r="BB975" s="14"/>
      <c r="BC975" s="14"/>
      <c r="BD975" s="14"/>
      <c r="BE975" s="14"/>
      <c r="BF975" s="14"/>
      <c r="BG975" s="14"/>
      <c r="BH975" s="14"/>
      <c r="BI975" s="14"/>
      <c r="BJ975" s="14"/>
      <c r="BK975" s="14"/>
      <c r="BL975" s="14"/>
      <c r="BM975" s="14"/>
      <c r="BN975" s="14"/>
    </row>
    <row r="976" ht="22.5" customHeight="1">
      <c r="A976" s="493"/>
      <c r="B976" s="350"/>
      <c r="C976" s="351"/>
      <c r="D976" s="447"/>
      <c r="E976" s="494"/>
      <c r="F976" s="495"/>
      <c r="G976" s="434"/>
      <c r="H976" s="394"/>
      <c r="I976" s="394"/>
      <c r="J976" s="477"/>
      <c r="K976" s="479"/>
      <c r="L976" s="496"/>
      <c r="M976" s="496"/>
      <c r="N976" s="360"/>
      <c r="O976" s="497"/>
      <c r="P976" s="362"/>
      <c r="Q976" s="387"/>
      <c r="R976" s="387"/>
      <c r="S976" s="439"/>
      <c r="T976" s="439"/>
      <c r="U976" s="498"/>
      <c r="V976" s="430"/>
      <c r="W976" s="382"/>
      <c r="X976" s="366"/>
      <c r="Y976" s="366"/>
      <c r="Z976" s="367"/>
      <c r="AA976" s="367"/>
      <c r="AB976" s="13"/>
      <c r="AC976" s="13"/>
      <c r="AD976" s="13"/>
      <c r="AE976" s="13"/>
      <c r="AF976" s="13"/>
      <c r="AG976" s="13"/>
      <c r="AH976" s="13"/>
      <c r="AI976" s="13"/>
      <c r="AJ976" s="13"/>
      <c r="AK976" s="13"/>
      <c r="AL976" s="13"/>
      <c r="AM976" s="14"/>
      <c r="AN976" s="14"/>
      <c r="AO976" s="14"/>
      <c r="AP976" s="14"/>
      <c r="AQ976" s="14"/>
      <c r="AR976" s="14"/>
      <c r="AS976" s="14"/>
      <c r="AT976" s="14"/>
      <c r="AU976" s="14"/>
      <c r="AV976" s="14"/>
      <c r="AW976" s="14"/>
      <c r="AX976" s="14"/>
      <c r="AY976" s="14"/>
      <c r="AZ976" s="14"/>
      <c r="BA976" s="14"/>
      <c r="BB976" s="14"/>
      <c r="BC976" s="14"/>
      <c r="BD976" s="14"/>
      <c r="BE976" s="14"/>
      <c r="BF976" s="14"/>
      <c r="BG976" s="14"/>
      <c r="BH976" s="14"/>
      <c r="BI976" s="14"/>
      <c r="BJ976" s="14"/>
      <c r="BK976" s="14"/>
      <c r="BL976" s="14"/>
      <c r="BM976" s="14"/>
      <c r="BN976" s="14"/>
    </row>
    <row r="977" ht="22.5" customHeight="1">
      <c r="A977" s="493"/>
      <c r="B977" s="350"/>
      <c r="C977" s="351"/>
      <c r="D977" s="447"/>
      <c r="E977" s="494"/>
      <c r="F977" s="495"/>
      <c r="G977" s="434"/>
      <c r="H977" s="394"/>
      <c r="I977" s="394"/>
      <c r="J977" s="477"/>
      <c r="K977" s="479"/>
      <c r="L977" s="496"/>
      <c r="M977" s="496"/>
      <c r="N977" s="360"/>
      <c r="O977" s="497"/>
      <c r="P977" s="362"/>
      <c r="Q977" s="387"/>
      <c r="R977" s="387"/>
      <c r="S977" s="439"/>
      <c r="T977" s="439"/>
      <c r="U977" s="498"/>
      <c r="V977" s="430"/>
      <c r="W977" s="382"/>
      <c r="X977" s="366"/>
      <c r="Y977" s="366"/>
      <c r="Z977" s="367"/>
      <c r="AA977" s="367"/>
      <c r="AB977" s="13"/>
      <c r="AC977" s="13"/>
      <c r="AD977" s="13"/>
      <c r="AE977" s="13"/>
      <c r="AF977" s="13"/>
      <c r="AG977" s="13"/>
      <c r="AH977" s="13"/>
      <c r="AI977" s="13"/>
      <c r="AJ977" s="13"/>
      <c r="AK977" s="13"/>
      <c r="AL977" s="13"/>
      <c r="AM977" s="14"/>
      <c r="AN977" s="14"/>
      <c r="AO977" s="14"/>
      <c r="AP977" s="14"/>
      <c r="AQ977" s="14"/>
      <c r="AR977" s="14"/>
      <c r="AS977" s="14"/>
      <c r="AT977" s="14"/>
      <c r="AU977" s="14"/>
      <c r="AV977" s="14"/>
      <c r="AW977" s="14"/>
      <c r="AX977" s="14"/>
      <c r="AY977" s="14"/>
      <c r="AZ977" s="14"/>
      <c r="BA977" s="14"/>
      <c r="BB977" s="14"/>
      <c r="BC977" s="14"/>
      <c r="BD977" s="14"/>
      <c r="BE977" s="14"/>
      <c r="BF977" s="14"/>
      <c r="BG977" s="14"/>
      <c r="BH977" s="14"/>
      <c r="BI977" s="14"/>
      <c r="BJ977" s="14"/>
      <c r="BK977" s="14"/>
      <c r="BL977" s="14"/>
      <c r="BM977" s="14"/>
      <c r="BN977" s="14"/>
    </row>
    <row r="978" ht="22.5" customHeight="1">
      <c r="A978" s="493"/>
      <c r="B978" s="350"/>
      <c r="C978" s="351"/>
      <c r="D978" s="447"/>
      <c r="E978" s="494"/>
      <c r="F978" s="495"/>
      <c r="G978" s="434"/>
      <c r="H978" s="394"/>
      <c r="I978" s="394"/>
      <c r="J978" s="477"/>
      <c r="K978" s="479"/>
      <c r="L978" s="496"/>
      <c r="M978" s="496"/>
      <c r="N978" s="360"/>
      <c r="O978" s="497"/>
      <c r="P978" s="362"/>
      <c r="Q978" s="387"/>
      <c r="R978" s="387"/>
      <c r="S978" s="439"/>
      <c r="T978" s="439"/>
      <c r="U978" s="498"/>
      <c r="V978" s="430"/>
      <c r="W978" s="382"/>
      <c r="X978" s="366"/>
      <c r="Y978" s="366"/>
      <c r="Z978" s="367"/>
      <c r="AA978" s="367"/>
      <c r="AB978" s="13"/>
      <c r="AC978" s="13"/>
      <c r="AD978" s="13"/>
      <c r="AE978" s="13"/>
      <c r="AF978" s="13"/>
      <c r="AG978" s="13"/>
      <c r="AH978" s="13"/>
      <c r="AI978" s="13"/>
      <c r="AJ978" s="13"/>
      <c r="AK978" s="13"/>
      <c r="AL978" s="13"/>
      <c r="AM978" s="14"/>
      <c r="AN978" s="14"/>
      <c r="AO978" s="14"/>
      <c r="AP978" s="14"/>
      <c r="AQ978" s="14"/>
      <c r="AR978" s="14"/>
      <c r="AS978" s="14"/>
      <c r="AT978" s="14"/>
      <c r="AU978" s="14"/>
      <c r="AV978" s="14"/>
      <c r="AW978" s="14"/>
      <c r="AX978" s="14"/>
      <c r="AY978" s="14"/>
      <c r="AZ978" s="14"/>
      <c r="BA978" s="14"/>
      <c r="BB978" s="14"/>
      <c r="BC978" s="14"/>
      <c r="BD978" s="14"/>
      <c r="BE978" s="14"/>
      <c r="BF978" s="14"/>
      <c r="BG978" s="14"/>
      <c r="BH978" s="14"/>
      <c r="BI978" s="14"/>
      <c r="BJ978" s="14"/>
      <c r="BK978" s="14"/>
      <c r="BL978" s="14"/>
      <c r="BM978" s="14"/>
      <c r="BN978" s="14"/>
    </row>
    <row r="979" ht="22.5" customHeight="1">
      <c r="A979" s="493"/>
      <c r="B979" s="350"/>
      <c r="C979" s="351"/>
      <c r="D979" s="447"/>
      <c r="E979" s="494"/>
      <c r="F979" s="495"/>
      <c r="G979" s="434"/>
      <c r="H979" s="394"/>
      <c r="I979" s="394"/>
      <c r="J979" s="477"/>
      <c r="K979" s="479"/>
      <c r="L979" s="496"/>
      <c r="M979" s="496"/>
      <c r="N979" s="360"/>
      <c r="O979" s="497"/>
      <c r="P979" s="362"/>
      <c r="Q979" s="387"/>
      <c r="R979" s="387"/>
      <c r="S979" s="439"/>
      <c r="T979" s="439"/>
      <c r="U979" s="498"/>
      <c r="V979" s="430"/>
      <c r="W979" s="382"/>
      <c r="X979" s="366"/>
      <c r="Y979" s="366"/>
      <c r="Z979" s="367"/>
      <c r="AA979" s="367"/>
      <c r="AB979" s="13"/>
      <c r="AC979" s="13"/>
      <c r="AD979" s="13"/>
      <c r="AE979" s="13"/>
      <c r="AF979" s="13"/>
      <c r="AG979" s="13"/>
      <c r="AH979" s="13"/>
      <c r="AI979" s="13"/>
      <c r="AJ979" s="13"/>
      <c r="AK979" s="13"/>
      <c r="AL979" s="13"/>
      <c r="AM979" s="14"/>
      <c r="AN979" s="14"/>
      <c r="AO979" s="14"/>
      <c r="AP979" s="14"/>
      <c r="AQ979" s="14"/>
      <c r="AR979" s="14"/>
      <c r="AS979" s="14"/>
      <c r="AT979" s="14"/>
      <c r="AU979" s="14"/>
      <c r="AV979" s="14"/>
      <c r="AW979" s="14"/>
      <c r="AX979" s="14"/>
      <c r="AY979" s="14"/>
      <c r="AZ979" s="14"/>
      <c r="BA979" s="14"/>
      <c r="BB979" s="14"/>
      <c r="BC979" s="14"/>
      <c r="BD979" s="14"/>
      <c r="BE979" s="14"/>
      <c r="BF979" s="14"/>
      <c r="BG979" s="14"/>
      <c r="BH979" s="14"/>
      <c r="BI979" s="14"/>
      <c r="BJ979" s="14"/>
      <c r="BK979" s="14"/>
      <c r="BL979" s="14"/>
      <c r="BM979" s="14"/>
      <c r="BN979" s="14"/>
    </row>
    <row r="980" ht="22.5" customHeight="1">
      <c r="A980" s="493"/>
      <c r="B980" s="350"/>
      <c r="C980" s="351"/>
      <c r="D980" s="447"/>
      <c r="E980" s="494"/>
      <c r="F980" s="495"/>
      <c r="G980" s="434"/>
      <c r="H980" s="394"/>
      <c r="I980" s="394"/>
      <c r="J980" s="477"/>
      <c r="K980" s="479"/>
      <c r="L980" s="496"/>
      <c r="M980" s="496"/>
      <c r="N980" s="360"/>
      <c r="O980" s="497"/>
      <c r="P980" s="362"/>
      <c r="Q980" s="387"/>
      <c r="R980" s="387"/>
      <c r="S980" s="439"/>
      <c r="T980" s="439"/>
      <c r="U980" s="498"/>
      <c r="V980" s="430"/>
      <c r="W980" s="382"/>
      <c r="X980" s="366"/>
      <c r="Y980" s="366"/>
      <c r="Z980" s="367"/>
      <c r="AA980" s="367"/>
      <c r="AB980" s="13"/>
      <c r="AC980" s="13"/>
      <c r="AD980" s="13"/>
      <c r="AE980" s="13"/>
      <c r="AF980" s="13"/>
      <c r="AG980" s="13"/>
      <c r="AH980" s="13"/>
      <c r="AI980" s="13"/>
      <c r="AJ980" s="13"/>
      <c r="AK980" s="13"/>
      <c r="AL980" s="13"/>
      <c r="AM980" s="14"/>
      <c r="AN980" s="14"/>
      <c r="AO980" s="14"/>
      <c r="AP980" s="14"/>
      <c r="AQ980" s="14"/>
      <c r="AR980" s="14"/>
      <c r="AS980" s="14"/>
      <c r="AT980" s="14"/>
      <c r="AU980" s="14"/>
      <c r="AV980" s="14"/>
      <c r="AW980" s="14"/>
      <c r="AX980" s="14"/>
      <c r="AY980" s="14"/>
      <c r="AZ980" s="14"/>
      <c r="BA980" s="14"/>
      <c r="BB980" s="14"/>
      <c r="BC980" s="14"/>
      <c r="BD980" s="14"/>
      <c r="BE980" s="14"/>
      <c r="BF980" s="14"/>
      <c r="BG980" s="14"/>
      <c r="BH980" s="14"/>
      <c r="BI980" s="14"/>
      <c r="BJ980" s="14"/>
      <c r="BK980" s="14"/>
      <c r="BL980" s="14"/>
      <c r="BM980" s="14"/>
      <c r="BN980" s="14"/>
    </row>
    <row r="981" ht="22.5" customHeight="1">
      <c r="A981" s="493"/>
      <c r="B981" s="350"/>
      <c r="C981" s="351"/>
      <c r="D981" s="447"/>
      <c r="E981" s="494"/>
      <c r="F981" s="495"/>
      <c r="G981" s="434"/>
      <c r="H981" s="394"/>
      <c r="I981" s="394"/>
      <c r="J981" s="477"/>
      <c r="K981" s="479"/>
      <c r="L981" s="496"/>
      <c r="M981" s="496"/>
      <c r="N981" s="360"/>
      <c r="O981" s="497"/>
      <c r="P981" s="362"/>
      <c r="Q981" s="387"/>
      <c r="R981" s="387"/>
      <c r="S981" s="439"/>
      <c r="T981" s="439"/>
      <c r="U981" s="498"/>
      <c r="V981" s="430"/>
      <c r="W981" s="382"/>
      <c r="X981" s="366"/>
      <c r="Y981" s="366"/>
      <c r="Z981" s="367"/>
      <c r="AA981" s="367"/>
      <c r="AB981" s="13"/>
      <c r="AC981" s="13"/>
      <c r="AD981" s="13"/>
      <c r="AE981" s="13"/>
      <c r="AF981" s="13"/>
      <c r="AG981" s="13"/>
      <c r="AH981" s="13"/>
      <c r="AI981" s="13"/>
      <c r="AJ981" s="13"/>
      <c r="AK981" s="13"/>
      <c r="AL981" s="13"/>
      <c r="AM981" s="14"/>
      <c r="AN981" s="14"/>
      <c r="AO981" s="14"/>
      <c r="AP981" s="14"/>
      <c r="AQ981" s="14"/>
      <c r="AR981" s="14"/>
      <c r="AS981" s="14"/>
      <c r="AT981" s="14"/>
      <c r="AU981" s="14"/>
      <c r="AV981" s="14"/>
      <c r="AW981" s="14"/>
      <c r="AX981" s="14"/>
      <c r="AY981" s="14"/>
      <c r="AZ981" s="14"/>
      <c r="BA981" s="14"/>
      <c r="BB981" s="14"/>
      <c r="BC981" s="14"/>
      <c r="BD981" s="14"/>
      <c r="BE981" s="14"/>
      <c r="BF981" s="14"/>
      <c r="BG981" s="14"/>
      <c r="BH981" s="14"/>
      <c r="BI981" s="14"/>
      <c r="BJ981" s="14"/>
      <c r="BK981" s="14"/>
      <c r="BL981" s="14"/>
      <c r="BM981" s="14"/>
      <c r="BN981" s="14"/>
    </row>
    <row r="982" ht="22.5" customHeight="1">
      <c r="A982" s="493"/>
      <c r="B982" s="350"/>
      <c r="C982" s="351"/>
      <c r="D982" s="447"/>
      <c r="E982" s="494"/>
      <c r="F982" s="495"/>
      <c r="G982" s="434"/>
      <c r="H982" s="394"/>
      <c r="I982" s="394"/>
      <c r="J982" s="477"/>
      <c r="K982" s="479"/>
      <c r="L982" s="496"/>
      <c r="M982" s="496"/>
      <c r="N982" s="360"/>
      <c r="O982" s="497"/>
      <c r="P982" s="362"/>
      <c r="Q982" s="387"/>
      <c r="R982" s="387"/>
      <c r="S982" s="439"/>
      <c r="T982" s="439"/>
      <c r="U982" s="498"/>
      <c r="V982" s="430"/>
      <c r="W982" s="382"/>
      <c r="X982" s="366"/>
      <c r="Y982" s="366"/>
      <c r="Z982" s="367"/>
      <c r="AA982" s="367"/>
      <c r="AB982" s="13"/>
      <c r="AC982" s="13"/>
      <c r="AD982" s="13"/>
      <c r="AE982" s="13"/>
      <c r="AF982" s="13"/>
      <c r="AG982" s="13"/>
      <c r="AH982" s="13"/>
      <c r="AI982" s="13"/>
      <c r="AJ982" s="13"/>
      <c r="AK982" s="13"/>
      <c r="AL982" s="13"/>
      <c r="AM982" s="14"/>
      <c r="AN982" s="14"/>
      <c r="AO982" s="14"/>
      <c r="AP982" s="14"/>
      <c r="AQ982" s="14"/>
      <c r="AR982" s="14"/>
      <c r="AS982" s="14"/>
      <c r="AT982" s="14"/>
      <c r="AU982" s="14"/>
      <c r="AV982" s="14"/>
      <c r="AW982" s="14"/>
      <c r="AX982" s="14"/>
      <c r="AY982" s="14"/>
      <c r="AZ982" s="14"/>
      <c r="BA982" s="14"/>
      <c r="BB982" s="14"/>
      <c r="BC982" s="14"/>
      <c r="BD982" s="14"/>
      <c r="BE982" s="14"/>
      <c r="BF982" s="14"/>
      <c r="BG982" s="14"/>
      <c r="BH982" s="14"/>
      <c r="BI982" s="14"/>
      <c r="BJ982" s="14"/>
      <c r="BK982" s="14"/>
      <c r="BL982" s="14"/>
      <c r="BM982" s="14"/>
      <c r="BN982" s="14"/>
    </row>
    <row r="983" ht="22.5" customHeight="1">
      <c r="A983" s="493"/>
      <c r="B983" s="350"/>
      <c r="C983" s="351"/>
      <c r="D983" s="447"/>
      <c r="E983" s="494"/>
      <c r="F983" s="495"/>
      <c r="G983" s="434"/>
      <c r="H983" s="394"/>
      <c r="I983" s="394"/>
      <c r="J983" s="477"/>
      <c r="K983" s="479"/>
      <c r="L983" s="496"/>
      <c r="M983" s="496"/>
      <c r="N983" s="360"/>
      <c r="O983" s="497"/>
      <c r="P983" s="362"/>
      <c r="Q983" s="387"/>
      <c r="R983" s="387"/>
      <c r="S983" s="439"/>
      <c r="T983" s="439"/>
      <c r="U983" s="498"/>
      <c r="V983" s="430"/>
      <c r="W983" s="382"/>
      <c r="X983" s="366"/>
      <c r="Y983" s="366"/>
      <c r="Z983" s="367"/>
      <c r="AA983" s="367"/>
      <c r="AB983" s="13"/>
      <c r="AC983" s="13"/>
      <c r="AD983" s="13"/>
      <c r="AE983" s="13"/>
      <c r="AF983" s="13"/>
      <c r="AG983" s="13"/>
      <c r="AH983" s="13"/>
      <c r="AI983" s="13"/>
      <c r="AJ983" s="13"/>
      <c r="AK983" s="13"/>
      <c r="AL983" s="13"/>
      <c r="AM983" s="14"/>
      <c r="AN983" s="14"/>
      <c r="AO983" s="14"/>
      <c r="AP983" s="14"/>
      <c r="AQ983" s="14"/>
      <c r="AR983" s="14"/>
      <c r="AS983" s="14"/>
      <c r="AT983" s="14"/>
      <c r="AU983" s="14"/>
      <c r="AV983" s="14"/>
      <c r="AW983" s="14"/>
      <c r="AX983" s="14"/>
      <c r="AY983" s="14"/>
      <c r="AZ983" s="14"/>
      <c r="BA983" s="14"/>
      <c r="BB983" s="14"/>
      <c r="BC983" s="14"/>
      <c r="BD983" s="14"/>
      <c r="BE983" s="14"/>
      <c r="BF983" s="14"/>
      <c r="BG983" s="14"/>
      <c r="BH983" s="14"/>
      <c r="BI983" s="14"/>
      <c r="BJ983" s="14"/>
      <c r="BK983" s="14"/>
      <c r="BL983" s="14"/>
      <c r="BM983" s="14"/>
      <c r="BN983" s="14"/>
    </row>
    <row r="984" ht="22.5" customHeight="1">
      <c r="A984" s="493"/>
      <c r="B984" s="350"/>
      <c r="C984" s="351"/>
      <c r="D984" s="447"/>
      <c r="E984" s="494"/>
      <c r="F984" s="495"/>
      <c r="G984" s="434"/>
      <c r="H984" s="394"/>
      <c r="I984" s="394"/>
      <c r="J984" s="477"/>
      <c r="K984" s="479"/>
      <c r="L984" s="496"/>
      <c r="M984" s="496"/>
      <c r="N984" s="360"/>
      <c r="O984" s="497"/>
      <c r="P984" s="362"/>
      <c r="Q984" s="387"/>
      <c r="R984" s="387"/>
      <c r="S984" s="439"/>
      <c r="T984" s="439"/>
      <c r="U984" s="498"/>
      <c r="V984" s="430"/>
      <c r="W984" s="382"/>
      <c r="X984" s="366"/>
      <c r="Y984" s="366"/>
      <c r="Z984" s="367"/>
      <c r="AA984" s="367"/>
      <c r="AB984" s="13"/>
      <c r="AC984" s="13"/>
      <c r="AD984" s="13"/>
      <c r="AE984" s="13"/>
      <c r="AF984" s="13"/>
      <c r="AG984" s="13"/>
      <c r="AH984" s="13"/>
      <c r="AI984" s="13"/>
      <c r="AJ984" s="13"/>
      <c r="AK984" s="13"/>
      <c r="AL984" s="13"/>
      <c r="AM984" s="14"/>
      <c r="AN984" s="14"/>
      <c r="AO984" s="14"/>
      <c r="AP984" s="14"/>
      <c r="AQ984" s="14"/>
      <c r="AR984" s="14"/>
      <c r="AS984" s="14"/>
      <c r="AT984" s="14"/>
      <c r="AU984" s="14"/>
      <c r="AV984" s="14"/>
      <c r="AW984" s="14"/>
      <c r="AX984" s="14"/>
      <c r="AY984" s="14"/>
      <c r="AZ984" s="14"/>
      <c r="BA984" s="14"/>
      <c r="BB984" s="14"/>
      <c r="BC984" s="14"/>
      <c r="BD984" s="14"/>
      <c r="BE984" s="14"/>
      <c r="BF984" s="14"/>
      <c r="BG984" s="14"/>
      <c r="BH984" s="14"/>
      <c r="BI984" s="14"/>
      <c r="BJ984" s="14"/>
      <c r="BK984" s="14"/>
      <c r="BL984" s="14"/>
      <c r="BM984" s="14"/>
      <c r="BN984" s="14"/>
    </row>
    <row r="985" ht="22.5" customHeight="1">
      <c r="A985" s="493"/>
      <c r="B985" s="350"/>
      <c r="C985" s="351"/>
      <c r="D985" s="447"/>
      <c r="E985" s="494"/>
      <c r="F985" s="495"/>
      <c r="G985" s="434"/>
      <c r="H985" s="394"/>
      <c r="I985" s="394"/>
      <c r="J985" s="477"/>
      <c r="K985" s="479"/>
      <c r="L985" s="496"/>
      <c r="M985" s="496"/>
      <c r="N985" s="360"/>
      <c r="O985" s="497"/>
      <c r="P985" s="362"/>
      <c r="Q985" s="387"/>
      <c r="R985" s="387"/>
      <c r="S985" s="439"/>
      <c r="T985" s="439"/>
      <c r="U985" s="498"/>
      <c r="V985" s="430"/>
      <c r="W985" s="382"/>
      <c r="X985" s="366"/>
      <c r="Y985" s="366"/>
      <c r="Z985" s="367"/>
      <c r="AA985" s="367"/>
      <c r="AB985" s="13"/>
      <c r="AC985" s="13"/>
      <c r="AD985" s="13"/>
      <c r="AE985" s="13"/>
      <c r="AF985" s="13"/>
      <c r="AG985" s="13"/>
      <c r="AH985" s="13"/>
      <c r="AI985" s="13"/>
      <c r="AJ985" s="13"/>
      <c r="AK985" s="13"/>
      <c r="AL985" s="13"/>
      <c r="AM985" s="14"/>
      <c r="AN985" s="14"/>
      <c r="AO985" s="14"/>
      <c r="AP985" s="14"/>
      <c r="AQ985" s="14"/>
      <c r="AR985" s="14"/>
      <c r="AS985" s="14"/>
      <c r="AT985" s="14"/>
      <c r="AU985" s="14"/>
      <c r="AV985" s="14"/>
      <c r="AW985" s="14"/>
      <c r="AX985" s="14"/>
      <c r="AY985" s="14"/>
      <c r="AZ985" s="14"/>
      <c r="BA985" s="14"/>
      <c r="BB985" s="14"/>
      <c r="BC985" s="14"/>
      <c r="BD985" s="14"/>
      <c r="BE985" s="14"/>
      <c r="BF985" s="14"/>
      <c r="BG985" s="14"/>
      <c r="BH985" s="14"/>
      <c r="BI985" s="14"/>
      <c r="BJ985" s="14"/>
      <c r="BK985" s="14"/>
      <c r="BL985" s="14"/>
      <c r="BM985" s="14"/>
      <c r="BN985" s="14"/>
    </row>
    <row r="986" ht="22.5" customHeight="1">
      <c r="A986" s="493"/>
      <c r="B986" s="350"/>
      <c r="C986" s="351"/>
      <c r="D986" s="447"/>
      <c r="E986" s="494"/>
      <c r="F986" s="495"/>
      <c r="G986" s="434"/>
      <c r="H986" s="394"/>
      <c r="I986" s="394"/>
      <c r="J986" s="477"/>
      <c r="K986" s="479"/>
      <c r="L986" s="496"/>
      <c r="M986" s="496"/>
      <c r="N986" s="360"/>
      <c r="O986" s="497"/>
      <c r="P986" s="362"/>
      <c r="Q986" s="387"/>
      <c r="R986" s="387"/>
      <c r="S986" s="439"/>
      <c r="T986" s="439"/>
      <c r="U986" s="498"/>
      <c r="V986" s="430"/>
      <c r="W986" s="382"/>
      <c r="X986" s="366"/>
      <c r="Y986" s="366"/>
      <c r="Z986" s="367"/>
      <c r="AA986" s="367"/>
      <c r="AB986" s="13"/>
      <c r="AC986" s="13"/>
      <c r="AD986" s="13"/>
      <c r="AE986" s="13"/>
      <c r="AF986" s="13"/>
      <c r="AG986" s="13"/>
      <c r="AH986" s="13"/>
      <c r="AI986" s="13"/>
      <c r="AJ986" s="13"/>
      <c r="AK986" s="13"/>
      <c r="AL986" s="13"/>
      <c r="AM986" s="14"/>
      <c r="AN986" s="14"/>
      <c r="AO986" s="14"/>
      <c r="AP986" s="14"/>
      <c r="AQ986" s="14"/>
      <c r="AR986" s="14"/>
      <c r="AS986" s="14"/>
      <c r="AT986" s="14"/>
      <c r="AU986" s="14"/>
      <c r="AV986" s="14"/>
      <c r="AW986" s="14"/>
      <c r="AX986" s="14"/>
      <c r="AY986" s="14"/>
      <c r="AZ986" s="14"/>
      <c r="BA986" s="14"/>
      <c r="BB986" s="14"/>
      <c r="BC986" s="14"/>
      <c r="BD986" s="14"/>
      <c r="BE986" s="14"/>
      <c r="BF986" s="14"/>
      <c r="BG986" s="14"/>
      <c r="BH986" s="14"/>
      <c r="BI986" s="14"/>
      <c r="BJ986" s="14"/>
      <c r="BK986" s="14"/>
      <c r="BL986" s="14"/>
      <c r="BM986" s="14"/>
      <c r="BN986" s="14"/>
    </row>
    <row r="987" ht="22.5" customHeight="1">
      <c r="A987" s="493"/>
      <c r="B987" s="350"/>
      <c r="C987" s="351"/>
      <c r="D987" s="447"/>
      <c r="E987" s="494"/>
      <c r="F987" s="495"/>
      <c r="G987" s="434"/>
      <c r="H987" s="394"/>
      <c r="I987" s="394"/>
      <c r="J987" s="477"/>
      <c r="K987" s="479"/>
      <c r="L987" s="496"/>
      <c r="M987" s="496"/>
      <c r="N987" s="360"/>
      <c r="O987" s="497"/>
      <c r="P987" s="362"/>
      <c r="Q987" s="387"/>
      <c r="R987" s="387"/>
      <c r="S987" s="439"/>
      <c r="T987" s="439"/>
      <c r="U987" s="498"/>
      <c r="V987" s="430"/>
      <c r="W987" s="382"/>
      <c r="X987" s="366"/>
      <c r="Y987" s="366"/>
      <c r="Z987" s="367"/>
      <c r="AA987" s="367"/>
      <c r="AB987" s="13"/>
      <c r="AC987" s="13"/>
      <c r="AD987" s="13"/>
      <c r="AE987" s="13"/>
      <c r="AF987" s="13"/>
      <c r="AG987" s="13"/>
      <c r="AH987" s="13"/>
      <c r="AI987" s="13"/>
      <c r="AJ987" s="13"/>
      <c r="AK987" s="13"/>
      <c r="AL987" s="13"/>
      <c r="AM987" s="14"/>
      <c r="AN987" s="14"/>
      <c r="AO987" s="14"/>
      <c r="AP987" s="14"/>
      <c r="AQ987" s="14"/>
      <c r="AR987" s="14"/>
      <c r="AS987" s="14"/>
      <c r="AT987" s="14"/>
      <c r="AU987" s="14"/>
      <c r="AV987" s="14"/>
      <c r="AW987" s="14"/>
      <c r="AX987" s="14"/>
      <c r="AY987" s="14"/>
      <c r="AZ987" s="14"/>
      <c r="BA987" s="14"/>
      <c r="BB987" s="14"/>
      <c r="BC987" s="14"/>
      <c r="BD987" s="14"/>
      <c r="BE987" s="14"/>
      <c r="BF987" s="14"/>
      <c r="BG987" s="14"/>
      <c r="BH987" s="14"/>
      <c r="BI987" s="14"/>
      <c r="BJ987" s="14"/>
      <c r="BK987" s="14"/>
      <c r="BL987" s="14"/>
      <c r="BM987" s="14"/>
      <c r="BN987" s="14"/>
    </row>
    <row r="988" ht="22.5" customHeight="1">
      <c r="A988" s="493"/>
      <c r="B988" s="350"/>
      <c r="C988" s="351"/>
      <c r="D988" s="447"/>
      <c r="E988" s="494"/>
      <c r="F988" s="495"/>
      <c r="G988" s="434"/>
      <c r="H988" s="394"/>
      <c r="I988" s="394"/>
      <c r="J988" s="477"/>
      <c r="K988" s="479"/>
      <c r="L988" s="496"/>
      <c r="M988" s="496"/>
      <c r="N988" s="360"/>
      <c r="O988" s="497"/>
      <c r="P988" s="362"/>
      <c r="Q988" s="387"/>
      <c r="R988" s="387"/>
      <c r="S988" s="439"/>
      <c r="T988" s="439"/>
      <c r="U988" s="498"/>
      <c r="V988" s="430"/>
      <c r="W988" s="382"/>
      <c r="X988" s="366"/>
      <c r="Y988" s="366"/>
      <c r="Z988" s="367"/>
      <c r="AA988" s="367"/>
      <c r="AB988" s="13"/>
      <c r="AC988" s="13"/>
      <c r="AD988" s="13"/>
      <c r="AE988" s="13"/>
      <c r="AF988" s="13"/>
      <c r="AG988" s="13"/>
      <c r="AH988" s="13"/>
      <c r="AI988" s="13"/>
      <c r="AJ988" s="13"/>
      <c r="AK988" s="13"/>
      <c r="AL988" s="13"/>
      <c r="AM988" s="14"/>
      <c r="AN988" s="14"/>
      <c r="AO988" s="14"/>
      <c r="AP988" s="14"/>
      <c r="AQ988" s="14"/>
      <c r="AR988" s="14"/>
      <c r="AS988" s="14"/>
      <c r="AT988" s="14"/>
      <c r="AU988" s="14"/>
      <c r="AV988" s="14"/>
      <c r="AW988" s="14"/>
      <c r="AX988" s="14"/>
      <c r="AY988" s="14"/>
      <c r="AZ988" s="14"/>
      <c r="BA988" s="14"/>
      <c r="BB988" s="14"/>
      <c r="BC988" s="14"/>
      <c r="BD988" s="14"/>
      <c r="BE988" s="14"/>
      <c r="BF988" s="14"/>
      <c r="BG988" s="14"/>
      <c r="BH988" s="14"/>
      <c r="BI988" s="14"/>
      <c r="BJ988" s="14"/>
      <c r="BK988" s="14"/>
      <c r="BL988" s="14"/>
      <c r="BM988" s="14"/>
      <c r="BN988" s="14"/>
    </row>
    <row r="989" ht="22.5" customHeight="1">
      <c r="A989" s="493"/>
      <c r="B989" s="350"/>
      <c r="C989" s="351"/>
      <c r="D989" s="447"/>
      <c r="E989" s="494"/>
      <c r="F989" s="495"/>
      <c r="G989" s="434"/>
      <c r="H989" s="394"/>
      <c r="I989" s="394"/>
      <c r="J989" s="477"/>
      <c r="K989" s="479"/>
      <c r="L989" s="496"/>
      <c r="M989" s="496"/>
      <c r="N989" s="360"/>
      <c r="O989" s="497"/>
      <c r="P989" s="362"/>
      <c r="Q989" s="387"/>
      <c r="R989" s="387"/>
      <c r="S989" s="439"/>
      <c r="T989" s="439"/>
      <c r="U989" s="498"/>
      <c r="V989" s="430"/>
      <c r="W989" s="382"/>
      <c r="X989" s="366"/>
      <c r="Y989" s="366"/>
      <c r="Z989" s="367"/>
      <c r="AA989" s="367"/>
      <c r="AB989" s="13"/>
      <c r="AC989" s="13"/>
      <c r="AD989" s="13"/>
      <c r="AE989" s="13"/>
      <c r="AF989" s="13"/>
      <c r="AG989" s="13"/>
      <c r="AH989" s="13"/>
      <c r="AI989" s="13"/>
      <c r="AJ989" s="13"/>
      <c r="AK989" s="13"/>
      <c r="AL989" s="13"/>
      <c r="AM989" s="14"/>
      <c r="AN989" s="14"/>
      <c r="AO989" s="14"/>
      <c r="AP989" s="14"/>
      <c r="AQ989" s="14"/>
      <c r="AR989" s="14"/>
      <c r="AS989" s="14"/>
      <c r="AT989" s="14"/>
      <c r="AU989" s="14"/>
      <c r="AV989" s="14"/>
      <c r="AW989" s="14"/>
      <c r="AX989" s="14"/>
      <c r="AY989" s="14"/>
      <c r="AZ989" s="14"/>
      <c r="BA989" s="14"/>
      <c r="BB989" s="14"/>
      <c r="BC989" s="14"/>
      <c r="BD989" s="14"/>
      <c r="BE989" s="14"/>
      <c r="BF989" s="14"/>
      <c r="BG989" s="14"/>
      <c r="BH989" s="14"/>
      <c r="BI989" s="14"/>
      <c r="BJ989" s="14"/>
      <c r="BK989" s="14"/>
      <c r="BL989" s="14"/>
      <c r="BM989" s="14"/>
      <c r="BN989" s="14"/>
    </row>
    <row r="990" ht="22.5" customHeight="1">
      <c r="A990" s="493"/>
      <c r="B990" s="350"/>
      <c r="C990" s="351"/>
      <c r="D990" s="447"/>
      <c r="E990" s="494"/>
      <c r="F990" s="495"/>
      <c r="G990" s="434"/>
      <c r="H990" s="394"/>
      <c r="I990" s="394"/>
      <c r="J990" s="477"/>
      <c r="K990" s="479"/>
      <c r="L990" s="496"/>
      <c r="M990" s="496"/>
      <c r="N990" s="360"/>
      <c r="O990" s="497"/>
      <c r="P990" s="362"/>
      <c r="Q990" s="387"/>
      <c r="R990" s="387"/>
      <c r="S990" s="439"/>
      <c r="T990" s="439"/>
      <c r="U990" s="498"/>
      <c r="V990" s="430"/>
      <c r="W990" s="382"/>
      <c r="X990" s="366"/>
      <c r="Y990" s="366"/>
      <c r="Z990" s="367"/>
      <c r="AA990" s="367"/>
      <c r="AB990" s="13"/>
      <c r="AC990" s="13"/>
      <c r="AD990" s="13"/>
      <c r="AE990" s="13"/>
      <c r="AF990" s="13"/>
      <c r="AG990" s="13"/>
      <c r="AH990" s="13"/>
      <c r="AI990" s="13"/>
      <c r="AJ990" s="13"/>
      <c r="AK990" s="13"/>
      <c r="AL990" s="13"/>
      <c r="AM990" s="14"/>
      <c r="AN990" s="14"/>
      <c r="AO990" s="14"/>
      <c r="AP990" s="14"/>
      <c r="AQ990" s="14"/>
      <c r="AR990" s="14"/>
      <c r="AS990" s="14"/>
      <c r="AT990" s="14"/>
      <c r="AU990" s="14"/>
      <c r="AV990" s="14"/>
      <c r="AW990" s="14"/>
      <c r="AX990" s="14"/>
      <c r="AY990" s="14"/>
      <c r="AZ990" s="14"/>
      <c r="BA990" s="14"/>
      <c r="BB990" s="14"/>
      <c r="BC990" s="14"/>
      <c r="BD990" s="14"/>
      <c r="BE990" s="14"/>
      <c r="BF990" s="14"/>
      <c r="BG990" s="14"/>
      <c r="BH990" s="14"/>
      <c r="BI990" s="14"/>
      <c r="BJ990" s="14"/>
      <c r="BK990" s="14"/>
      <c r="BL990" s="14"/>
      <c r="BM990" s="14"/>
      <c r="BN990" s="14"/>
    </row>
    <row r="991" ht="22.5" customHeight="1">
      <c r="A991" s="493"/>
      <c r="B991" s="350"/>
      <c r="C991" s="351"/>
      <c r="D991" s="447"/>
      <c r="E991" s="494"/>
      <c r="F991" s="495"/>
      <c r="G991" s="434"/>
      <c r="H991" s="394"/>
      <c r="I991" s="394"/>
      <c r="J991" s="477"/>
      <c r="K991" s="479"/>
      <c r="L991" s="496"/>
      <c r="M991" s="496"/>
      <c r="N991" s="360"/>
      <c r="O991" s="497"/>
      <c r="P991" s="362"/>
      <c r="Q991" s="387"/>
      <c r="R991" s="387"/>
      <c r="S991" s="439"/>
      <c r="T991" s="439"/>
      <c r="U991" s="498"/>
      <c r="V991" s="430"/>
      <c r="W991" s="382"/>
      <c r="X991" s="366"/>
      <c r="Y991" s="366"/>
      <c r="Z991" s="367"/>
      <c r="AA991" s="367"/>
      <c r="AB991" s="13"/>
      <c r="AC991" s="13"/>
      <c r="AD991" s="13"/>
      <c r="AE991" s="13"/>
      <c r="AF991" s="13"/>
      <c r="AG991" s="13"/>
      <c r="AH991" s="13"/>
      <c r="AI991" s="13"/>
      <c r="AJ991" s="13"/>
      <c r="AK991" s="13"/>
      <c r="AL991" s="13"/>
      <c r="AM991" s="14"/>
      <c r="AN991" s="14"/>
      <c r="AO991" s="14"/>
      <c r="AP991" s="14"/>
      <c r="AQ991" s="14"/>
      <c r="AR991" s="14"/>
      <c r="AS991" s="14"/>
      <c r="AT991" s="14"/>
      <c r="AU991" s="14"/>
      <c r="AV991" s="14"/>
      <c r="AW991" s="14"/>
      <c r="AX991" s="14"/>
      <c r="AY991" s="14"/>
      <c r="AZ991" s="14"/>
      <c r="BA991" s="14"/>
      <c r="BB991" s="14"/>
      <c r="BC991" s="14"/>
      <c r="BD991" s="14"/>
      <c r="BE991" s="14"/>
      <c r="BF991" s="14"/>
      <c r="BG991" s="14"/>
      <c r="BH991" s="14"/>
      <c r="BI991" s="14"/>
      <c r="BJ991" s="14"/>
      <c r="BK991" s="14"/>
      <c r="BL991" s="14"/>
      <c r="BM991" s="14"/>
      <c r="BN991" s="14"/>
    </row>
    <row r="992" ht="22.5" customHeight="1">
      <c r="A992" s="493"/>
      <c r="B992" s="350"/>
      <c r="C992" s="351"/>
      <c r="D992" s="447"/>
      <c r="E992" s="494"/>
      <c r="F992" s="495"/>
      <c r="G992" s="434"/>
      <c r="H992" s="394"/>
      <c r="I992" s="394"/>
      <c r="J992" s="477"/>
      <c r="K992" s="479"/>
      <c r="L992" s="496"/>
      <c r="M992" s="496"/>
      <c r="N992" s="360"/>
      <c r="O992" s="497"/>
      <c r="P992" s="362"/>
      <c r="Q992" s="387"/>
      <c r="R992" s="387"/>
      <c r="S992" s="439"/>
      <c r="T992" s="439"/>
      <c r="U992" s="498"/>
      <c r="V992" s="430"/>
      <c r="W992" s="382"/>
      <c r="X992" s="366"/>
      <c r="Y992" s="366"/>
      <c r="Z992" s="367"/>
      <c r="AA992" s="367"/>
      <c r="AB992" s="13"/>
      <c r="AC992" s="13"/>
      <c r="AD992" s="13"/>
      <c r="AE992" s="13"/>
      <c r="AF992" s="13"/>
      <c r="AG992" s="13"/>
      <c r="AH992" s="13"/>
      <c r="AI992" s="13"/>
      <c r="AJ992" s="13"/>
      <c r="AK992" s="13"/>
      <c r="AL992" s="13"/>
      <c r="AM992" s="14"/>
      <c r="AN992" s="14"/>
      <c r="AO992" s="14"/>
      <c r="AP992" s="14"/>
      <c r="AQ992" s="14"/>
      <c r="AR992" s="14"/>
      <c r="AS992" s="14"/>
      <c r="AT992" s="14"/>
      <c r="AU992" s="14"/>
      <c r="AV992" s="14"/>
      <c r="AW992" s="14"/>
      <c r="AX992" s="14"/>
      <c r="AY992" s="14"/>
      <c r="AZ992" s="14"/>
      <c r="BA992" s="14"/>
      <c r="BB992" s="14"/>
      <c r="BC992" s="14"/>
      <c r="BD992" s="14"/>
      <c r="BE992" s="14"/>
      <c r="BF992" s="14"/>
      <c r="BG992" s="14"/>
      <c r="BH992" s="14"/>
      <c r="BI992" s="14"/>
      <c r="BJ992" s="14"/>
      <c r="BK992" s="14"/>
      <c r="BL992" s="14"/>
      <c r="BM992" s="14"/>
      <c r="BN992" s="14"/>
    </row>
    <row r="993" ht="22.5" customHeight="1">
      <c r="A993" s="493"/>
      <c r="B993" s="350"/>
      <c r="C993" s="351"/>
      <c r="D993" s="447"/>
      <c r="E993" s="494"/>
      <c r="F993" s="495"/>
      <c r="G993" s="434"/>
      <c r="H993" s="394"/>
      <c r="I993" s="394"/>
      <c r="J993" s="477"/>
      <c r="K993" s="479"/>
      <c r="L993" s="496"/>
      <c r="M993" s="496"/>
      <c r="N993" s="360"/>
      <c r="O993" s="497"/>
      <c r="P993" s="362"/>
      <c r="Q993" s="387"/>
      <c r="R993" s="387"/>
      <c r="S993" s="439"/>
      <c r="T993" s="439"/>
      <c r="U993" s="498"/>
      <c r="V993" s="430"/>
      <c r="W993" s="382"/>
      <c r="X993" s="366"/>
      <c r="Y993" s="366"/>
      <c r="Z993" s="367"/>
      <c r="AA993" s="367"/>
      <c r="AB993" s="13"/>
      <c r="AC993" s="13"/>
      <c r="AD993" s="13"/>
      <c r="AE993" s="13"/>
      <c r="AF993" s="13"/>
      <c r="AG993" s="13"/>
      <c r="AH993" s="13"/>
      <c r="AI993" s="13"/>
      <c r="AJ993" s="13"/>
      <c r="AK993" s="13"/>
      <c r="AL993" s="13"/>
      <c r="AM993" s="14"/>
      <c r="AN993" s="14"/>
      <c r="AO993" s="14"/>
      <c r="AP993" s="14"/>
      <c r="AQ993" s="14"/>
      <c r="AR993" s="14"/>
      <c r="AS993" s="14"/>
      <c r="AT993" s="14"/>
      <c r="AU993" s="14"/>
      <c r="AV993" s="14"/>
      <c r="AW993" s="14"/>
      <c r="AX993" s="14"/>
      <c r="AY993" s="14"/>
      <c r="AZ993" s="14"/>
      <c r="BA993" s="14"/>
      <c r="BB993" s="14"/>
      <c r="BC993" s="14"/>
      <c r="BD993" s="14"/>
      <c r="BE993" s="14"/>
      <c r="BF993" s="14"/>
      <c r="BG993" s="14"/>
      <c r="BH993" s="14"/>
      <c r="BI993" s="14"/>
      <c r="BJ993" s="14"/>
      <c r="BK993" s="14"/>
      <c r="BL993" s="14"/>
      <c r="BM993" s="14"/>
      <c r="BN993" s="14"/>
    </row>
    <row r="994" ht="22.5" customHeight="1">
      <c r="A994" s="493"/>
      <c r="B994" s="350"/>
      <c r="C994" s="351"/>
      <c r="D994" s="447"/>
      <c r="E994" s="494"/>
      <c r="F994" s="495"/>
      <c r="G994" s="434"/>
      <c r="H994" s="394"/>
      <c r="I994" s="394"/>
      <c r="J994" s="477"/>
      <c r="K994" s="479"/>
      <c r="L994" s="496"/>
      <c r="M994" s="496"/>
      <c r="N994" s="360"/>
      <c r="O994" s="497"/>
      <c r="P994" s="362"/>
      <c r="Q994" s="387"/>
      <c r="R994" s="387"/>
      <c r="S994" s="439"/>
      <c r="T994" s="439"/>
      <c r="U994" s="498"/>
      <c r="V994" s="430"/>
      <c r="W994" s="382"/>
      <c r="X994" s="366"/>
      <c r="Y994" s="366"/>
      <c r="Z994" s="367"/>
      <c r="AA994" s="367"/>
      <c r="AB994" s="13"/>
      <c r="AC994" s="13"/>
      <c r="AD994" s="13"/>
      <c r="AE994" s="13"/>
      <c r="AF994" s="13"/>
      <c r="AG994" s="13"/>
      <c r="AH994" s="13"/>
      <c r="AI994" s="13"/>
      <c r="AJ994" s="13"/>
      <c r="AK994" s="13"/>
      <c r="AL994" s="13"/>
      <c r="AM994" s="14"/>
      <c r="AN994" s="14"/>
      <c r="AO994" s="14"/>
      <c r="AP994" s="14"/>
      <c r="AQ994" s="14"/>
      <c r="AR994" s="14"/>
      <c r="AS994" s="14"/>
      <c r="AT994" s="14"/>
      <c r="AU994" s="14"/>
      <c r="AV994" s="14"/>
      <c r="AW994" s="14"/>
      <c r="AX994" s="14"/>
      <c r="AY994" s="14"/>
      <c r="AZ994" s="14"/>
      <c r="BA994" s="14"/>
      <c r="BB994" s="14"/>
      <c r="BC994" s="14"/>
      <c r="BD994" s="14"/>
      <c r="BE994" s="14"/>
      <c r="BF994" s="14"/>
      <c r="BG994" s="14"/>
      <c r="BH994" s="14"/>
      <c r="BI994" s="14"/>
      <c r="BJ994" s="14"/>
      <c r="BK994" s="14"/>
      <c r="BL994" s="14"/>
      <c r="BM994" s="14"/>
      <c r="BN994" s="14"/>
    </row>
    <row r="995" ht="22.5" customHeight="1">
      <c r="A995" s="493"/>
      <c r="B995" s="350"/>
      <c r="C995" s="351"/>
      <c r="D995" s="447"/>
      <c r="E995" s="494"/>
      <c r="F995" s="495"/>
      <c r="G995" s="434"/>
      <c r="H995" s="394"/>
      <c r="I995" s="394"/>
      <c r="J995" s="477"/>
      <c r="K995" s="479"/>
      <c r="L995" s="496"/>
      <c r="M995" s="496"/>
      <c r="N995" s="360"/>
      <c r="O995" s="497"/>
      <c r="P995" s="362"/>
      <c r="Q995" s="387"/>
      <c r="R995" s="387"/>
      <c r="S995" s="439"/>
      <c r="T995" s="439"/>
      <c r="U995" s="498"/>
      <c r="V995" s="430"/>
      <c r="W995" s="382"/>
      <c r="X995" s="366"/>
      <c r="Y995" s="366"/>
      <c r="Z995" s="367"/>
      <c r="AA995" s="367"/>
      <c r="AB995" s="13"/>
      <c r="AC995" s="13"/>
      <c r="AD995" s="13"/>
      <c r="AE995" s="13"/>
      <c r="AF995" s="13"/>
      <c r="AG995" s="13"/>
      <c r="AH995" s="13"/>
      <c r="AI995" s="13"/>
      <c r="AJ995" s="13"/>
      <c r="AK995" s="13"/>
      <c r="AL995" s="13"/>
      <c r="AM995" s="14"/>
      <c r="AN995" s="14"/>
      <c r="AO995" s="14"/>
      <c r="AP995" s="14"/>
      <c r="AQ995" s="14"/>
      <c r="AR995" s="14"/>
      <c r="AS995" s="14"/>
      <c r="AT995" s="14"/>
      <c r="AU995" s="14"/>
      <c r="AV995" s="14"/>
      <c r="AW995" s="14"/>
      <c r="AX995" s="14"/>
      <c r="AY995" s="14"/>
      <c r="AZ995" s="14"/>
      <c r="BA995" s="14"/>
      <c r="BB995" s="14"/>
      <c r="BC995" s="14"/>
      <c r="BD995" s="14"/>
      <c r="BE995" s="14"/>
      <c r="BF995" s="14"/>
      <c r="BG995" s="14"/>
      <c r="BH995" s="14"/>
      <c r="BI995" s="14"/>
      <c r="BJ995" s="14"/>
      <c r="BK995" s="14"/>
      <c r="BL995" s="14"/>
      <c r="BM995" s="14"/>
      <c r="BN995" s="14"/>
    </row>
    <row r="996" ht="22.5" customHeight="1">
      <c r="A996" s="493"/>
      <c r="B996" s="350"/>
      <c r="C996" s="351"/>
      <c r="D996" s="447"/>
      <c r="E996" s="494"/>
      <c r="F996" s="495"/>
      <c r="G996" s="434"/>
      <c r="H996" s="394"/>
      <c r="I996" s="394"/>
      <c r="J996" s="477"/>
      <c r="K996" s="479"/>
      <c r="L996" s="496"/>
      <c r="M996" s="496"/>
      <c r="N996" s="360"/>
      <c r="O996" s="497"/>
      <c r="P996" s="362"/>
      <c r="Q996" s="387"/>
      <c r="R996" s="387"/>
      <c r="S996" s="439"/>
      <c r="T996" s="439"/>
      <c r="U996" s="498"/>
      <c r="V996" s="430"/>
      <c r="W996" s="382"/>
      <c r="X996" s="366"/>
      <c r="Y996" s="366"/>
      <c r="Z996" s="367"/>
      <c r="AA996" s="367"/>
      <c r="AB996" s="13"/>
      <c r="AC996" s="13"/>
      <c r="AD996" s="13"/>
      <c r="AE996" s="13"/>
      <c r="AF996" s="13"/>
      <c r="AG996" s="13"/>
      <c r="AH996" s="13"/>
      <c r="AI996" s="13"/>
      <c r="AJ996" s="13"/>
      <c r="AK996" s="13"/>
      <c r="AL996" s="13"/>
      <c r="AM996" s="14"/>
      <c r="AN996" s="14"/>
      <c r="AO996" s="14"/>
      <c r="AP996" s="14"/>
      <c r="AQ996" s="14"/>
      <c r="AR996" s="14"/>
      <c r="AS996" s="14"/>
      <c r="AT996" s="14"/>
      <c r="AU996" s="14"/>
      <c r="AV996" s="14"/>
      <c r="AW996" s="14"/>
      <c r="AX996" s="14"/>
      <c r="AY996" s="14"/>
      <c r="AZ996" s="14"/>
      <c r="BA996" s="14"/>
      <c r="BB996" s="14"/>
      <c r="BC996" s="14"/>
      <c r="BD996" s="14"/>
      <c r="BE996" s="14"/>
      <c r="BF996" s="14"/>
      <c r="BG996" s="14"/>
      <c r="BH996" s="14"/>
      <c r="BI996" s="14"/>
      <c r="BJ996" s="14"/>
      <c r="BK996" s="14"/>
      <c r="BL996" s="14"/>
      <c r="BM996" s="14"/>
      <c r="BN996" s="14"/>
    </row>
    <row r="997" ht="22.5" customHeight="1">
      <c r="A997" s="493"/>
      <c r="B997" s="350"/>
      <c r="C997" s="351"/>
      <c r="D997" s="447"/>
      <c r="E997" s="494"/>
      <c r="F997" s="495"/>
      <c r="G997" s="434"/>
      <c r="H997" s="394"/>
      <c r="I997" s="394"/>
      <c r="J997" s="477"/>
      <c r="K997" s="479"/>
      <c r="L997" s="496"/>
      <c r="M997" s="496"/>
      <c r="N997" s="360"/>
      <c r="O997" s="497"/>
      <c r="P997" s="362"/>
      <c r="Q997" s="387"/>
      <c r="R997" s="387"/>
      <c r="S997" s="439"/>
      <c r="T997" s="439"/>
      <c r="U997" s="498"/>
      <c r="V997" s="430"/>
      <c r="W997" s="382"/>
      <c r="X997" s="366"/>
      <c r="Y997" s="366"/>
      <c r="Z997" s="367"/>
      <c r="AA997" s="367"/>
      <c r="AB997" s="13"/>
      <c r="AC997" s="13"/>
      <c r="AD997" s="13"/>
      <c r="AE997" s="13"/>
      <c r="AF997" s="13"/>
      <c r="AG997" s="13"/>
      <c r="AH997" s="13"/>
      <c r="AI997" s="13"/>
      <c r="AJ997" s="13"/>
      <c r="AK997" s="13"/>
      <c r="AL997" s="13"/>
      <c r="AM997" s="14"/>
      <c r="AN997" s="14"/>
      <c r="AO997" s="14"/>
      <c r="AP997" s="14"/>
      <c r="AQ997" s="14"/>
      <c r="AR997" s="14"/>
      <c r="AS997" s="14"/>
      <c r="AT997" s="14"/>
      <c r="AU997" s="14"/>
      <c r="AV997" s="14"/>
      <c r="AW997" s="14"/>
      <c r="AX997" s="14"/>
      <c r="AY997" s="14"/>
      <c r="AZ997" s="14"/>
      <c r="BA997" s="14"/>
      <c r="BB997" s="14"/>
      <c r="BC997" s="14"/>
      <c r="BD997" s="14"/>
      <c r="BE997" s="14"/>
      <c r="BF997" s="14"/>
      <c r="BG997" s="14"/>
      <c r="BH997" s="14"/>
      <c r="BI997" s="14"/>
      <c r="BJ997" s="14"/>
      <c r="BK997" s="14"/>
      <c r="BL997" s="14"/>
      <c r="BM997" s="14"/>
      <c r="BN997" s="14"/>
    </row>
    <row r="998" ht="22.5" customHeight="1">
      <c r="A998" s="493"/>
      <c r="B998" s="350"/>
      <c r="C998" s="351"/>
      <c r="D998" s="447"/>
      <c r="E998" s="494"/>
      <c r="F998" s="495"/>
      <c r="G998" s="434"/>
      <c r="H998" s="394"/>
      <c r="I998" s="394"/>
      <c r="J998" s="477"/>
      <c r="K998" s="479"/>
      <c r="L998" s="496"/>
      <c r="M998" s="496"/>
      <c r="N998" s="360"/>
      <c r="O998" s="497"/>
      <c r="P998" s="362"/>
      <c r="Q998" s="387"/>
      <c r="R998" s="387"/>
      <c r="S998" s="439"/>
      <c r="T998" s="439"/>
      <c r="U998" s="498"/>
      <c r="V998" s="430"/>
      <c r="W998" s="382"/>
      <c r="X998" s="366"/>
      <c r="Y998" s="366"/>
      <c r="Z998" s="367"/>
      <c r="AA998" s="367"/>
      <c r="AB998" s="13"/>
      <c r="AC998" s="13"/>
      <c r="AD998" s="13"/>
      <c r="AE998" s="13"/>
      <c r="AF998" s="13"/>
      <c r="AG998" s="13"/>
      <c r="AH998" s="13"/>
      <c r="AI998" s="13"/>
      <c r="AJ998" s="13"/>
      <c r="AK998" s="13"/>
      <c r="AL998" s="13"/>
      <c r="AM998" s="14"/>
      <c r="AN998" s="14"/>
      <c r="AO998" s="14"/>
      <c r="AP998" s="14"/>
      <c r="AQ998" s="14"/>
      <c r="AR998" s="14"/>
      <c r="AS998" s="14"/>
      <c r="AT998" s="14"/>
      <c r="AU998" s="14"/>
      <c r="AV998" s="14"/>
      <c r="AW998" s="14"/>
      <c r="AX998" s="14"/>
      <c r="AY998" s="14"/>
      <c r="AZ998" s="14"/>
      <c r="BA998" s="14"/>
      <c r="BB998" s="14"/>
      <c r="BC998" s="14"/>
      <c r="BD998" s="14"/>
      <c r="BE998" s="14"/>
      <c r="BF998" s="14"/>
      <c r="BG998" s="14"/>
      <c r="BH998" s="14"/>
      <c r="BI998" s="14"/>
      <c r="BJ998" s="14"/>
      <c r="BK998" s="14"/>
      <c r="BL998" s="14"/>
      <c r="BM998" s="14"/>
      <c r="BN998" s="14"/>
    </row>
    <row r="999" ht="22.5" customHeight="1">
      <c r="A999" s="493"/>
      <c r="B999" s="350"/>
      <c r="C999" s="351"/>
      <c r="D999" s="447"/>
      <c r="E999" s="494"/>
      <c r="F999" s="495"/>
      <c r="G999" s="434"/>
      <c r="H999" s="394"/>
      <c r="I999" s="394"/>
      <c r="J999" s="477"/>
      <c r="K999" s="479"/>
      <c r="L999" s="496"/>
      <c r="M999" s="496"/>
      <c r="N999" s="360"/>
      <c r="O999" s="497"/>
      <c r="P999" s="362"/>
      <c r="Q999" s="387"/>
      <c r="R999" s="387"/>
      <c r="S999" s="439"/>
      <c r="T999" s="439"/>
      <c r="U999" s="498"/>
      <c r="V999" s="430"/>
      <c r="W999" s="382"/>
      <c r="X999" s="366"/>
      <c r="Y999" s="366"/>
      <c r="Z999" s="367"/>
      <c r="AA999" s="367"/>
      <c r="AB999" s="13"/>
      <c r="AC999" s="13"/>
      <c r="AD999" s="13"/>
      <c r="AE999" s="13"/>
      <c r="AF999" s="13"/>
      <c r="AG999" s="13"/>
      <c r="AH999" s="13"/>
      <c r="AI999" s="13"/>
      <c r="AJ999" s="13"/>
      <c r="AK999" s="13"/>
      <c r="AL999" s="13"/>
      <c r="AM999" s="14"/>
      <c r="AN999" s="14"/>
      <c r="AO999" s="14"/>
      <c r="AP999" s="14"/>
      <c r="AQ999" s="14"/>
      <c r="AR999" s="14"/>
      <c r="AS999" s="14"/>
      <c r="AT999" s="14"/>
      <c r="AU999" s="14"/>
      <c r="AV999" s="14"/>
      <c r="AW999" s="14"/>
      <c r="AX999" s="14"/>
      <c r="AY999" s="14"/>
      <c r="AZ999" s="14"/>
      <c r="BA999" s="14"/>
      <c r="BB999" s="14"/>
      <c r="BC999" s="14"/>
      <c r="BD999" s="14"/>
      <c r="BE999" s="14"/>
      <c r="BF999" s="14"/>
      <c r="BG999" s="14"/>
      <c r="BH999" s="14"/>
      <c r="BI999" s="14"/>
      <c r="BJ999" s="14"/>
      <c r="BK999" s="14"/>
      <c r="BL999" s="14"/>
      <c r="BM999" s="14"/>
      <c r="BN999" s="14"/>
    </row>
    <row r="1000" ht="22.5" customHeight="1">
      <c r="A1000" s="493"/>
      <c r="B1000" s="350"/>
      <c r="C1000" s="351"/>
      <c r="D1000" s="447"/>
      <c r="E1000" s="494"/>
      <c r="F1000" s="495"/>
      <c r="G1000" s="434"/>
      <c r="H1000" s="394"/>
      <c r="I1000" s="394"/>
      <c r="J1000" s="477"/>
      <c r="K1000" s="479"/>
      <c r="L1000" s="496"/>
      <c r="M1000" s="496"/>
      <c r="N1000" s="360"/>
      <c r="O1000" s="497"/>
      <c r="P1000" s="362"/>
      <c r="Q1000" s="387"/>
      <c r="R1000" s="387"/>
      <c r="S1000" s="439"/>
      <c r="T1000" s="439"/>
      <c r="U1000" s="498"/>
      <c r="V1000" s="430"/>
      <c r="W1000" s="382"/>
      <c r="X1000" s="366"/>
      <c r="Y1000" s="366"/>
      <c r="Z1000" s="367"/>
      <c r="AA1000" s="367"/>
      <c r="AB1000" s="13"/>
      <c r="AC1000" s="13"/>
      <c r="AD1000" s="13"/>
      <c r="AE1000" s="13"/>
      <c r="AF1000" s="13"/>
      <c r="AG1000" s="13"/>
      <c r="AH1000" s="13"/>
      <c r="AI1000" s="13"/>
      <c r="AJ1000" s="13"/>
      <c r="AK1000" s="13"/>
      <c r="AL1000" s="13"/>
      <c r="AM1000" s="14"/>
      <c r="AN1000" s="14"/>
      <c r="AO1000" s="14"/>
      <c r="AP1000" s="14"/>
      <c r="AQ1000" s="14"/>
      <c r="AR1000" s="14"/>
      <c r="AS1000" s="14"/>
      <c r="AT1000" s="14"/>
      <c r="AU1000" s="14"/>
      <c r="AV1000" s="14"/>
      <c r="AW1000" s="14"/>
      <c r="AX1000" s="14"/>
      <c r="AY1000" s="14"/>
      <c r="AZ1000" s="14"/>
      <c r="BA1000" s="14"/>
      <c r="BB1000" s="14"/>
      <c r="BC1000" s="14"/>
      <c r="BD1000" s="14"/>
      <c r="BE1000" s="14"/>
      <c r="BF1000" s="14"/>
      <c r="BG1000" s="14"/>
      <c r="BH1000" s="14"/>
      <c r="BI1000" s="14"/>
      <c r="BJ1000" s="14"/>
      <c r="BK1000" s="14"/>
      <c r="BL1000" s="14"/>
      <c r="BM1000" s="14"/>
      <c r="BN1000" s="14"/>
    </row>
    <row r="1001" ht="22.5" customHeight="1">
      <c r="A1001" s="493"/>
      <c r="B1001" s="350"/>
      <c r="C1001" s="351"/>
      <c r="D1001" s="447"/>
      <c r="E1001" s="494"/>
      <c r="F1001" s="495"/>
      <c r="G1001" s="434"/>
      <c r="H1001" s="394"/>
      <c r="I1001" s="394"/>
      <c r="J1001" s="477"/>
      <c r="K1001" s="479"/>
      <c r="L1001" s="496"/>
      <c r="M1001" s="496"/>
      <c r="N1001" s="360"/>
      <c r="O1001" s="497"/>
      <c r="P1001" s="362"/>
      <c r="Q1001" s="387"/>
      <c r="R1001" s="387"/>
      <c r="S1001" s="439"/>
      <c r="T1001" s="439"/>
      <c r="U1001" s="498"/>
      <c r="V1001" s="430"/>
      <c r="W1001" s="382"/>
      <c r="X1001" s="366"/>
      <c r="Y1001" s="366"/>
      <c r="Z1001" s="367"/>
      <c r="AA1001" s="367"/>
      <c r="AB1001" s="13"/>
      <c r="AC1001" s="13"/>
      <c r="AD1001" s="13"/>
      <c r="AE1001" s="13"/>
      <c r="AF1001" s="13"/>
      <c r="AG1001" s="13"/>
      <c r="AH1001" s="13"/>
      <c r="AI1001" s="13"/>
      <c r="AJ1001" s="13"/>
      <c r="AK1001" s="13"/>
      <c r="AL1001" s="13"/>
      <c r="AM1001" s="14"/>
      <c r="AN1001" s="14"/>
      <c r="AO1001" s="14"/>
      <c r="AP1001" s="14"/>
      <c r="AQ1001" s="14"/>
      <c r="AR1001" s="14"/>
      <c r="AS1001" s="14"/>
      <c r="AT1001" s="14"/>
      <c r="AU1001" s="14"/>
      <c r="AV1001" s="14"/>
      <c r="AW1001" s="14"/>
      <c r="AX1001" s="14"/>
      <c r="AY1001" s="14"/>
      <c r="AZ1001" s="14"/>
      <c r="BA1001" s="14"/>
      <c r="BB1001" s="14"/>
      <c r="BC1001" s="14"/>
      <c r="BD1001" s="14"/>
      <c r="BE1001" s="14"/>
      <c r="BF1001" s="14"/>
      <c r="BG1001" s="14"/>
      <c r="BH1001" s="14"/>
      <c r="BI1001" s="14"/>
      <c r="BJ1001" s="14"/>
      <c r="BK1001" s="14"/>
      <c r="BL1001" s="14"/>
      <c r="BM1001" s="14"/>
      <c r="BN1001" s="14"/>
    </row>
    <row r="1002" ht="22.5" customHeight="1">
      <c r="A1002" s="493"/>
      <c r="B1002" s="350"/>
      <c r="C1002" s="351"/>
      <c r="D1002" s="447"/>
      <c r="E1002" s="494"/>
      <c r="F1002" s="495"/>
      <c r="G1002" s="434"/>
      <c r="H1002" s="394"/>
      <c r="I1002" s="394"/>
      <c r="J1002" s="477"/>
      <c r="K1002" s="479"/>
      <c r="L1002" s="496"/>
      <c r="M1002" s="496"/>
      <c r="N1002" s="360"/>
      <c r="O1002" s="497"/>
      <c r="P1002" s="362"/>
      <c r="Q1002" s="387"/>
      <c r="R1002" s="387"/>
      <c r="S1002" s="439"/>
      <c r="T1002" s="439"/>
      <c r="U1002" s="498"/>
      <c r="V1002" s="430"/>
      <c r="W1002" s="382"/>
      <c r="X1002" s="366"/>
      <c r="Y1002" s="366"/>
      <c r="Z1002" s="367"/>
      <c r="AA1002" s="367"/>
      <c r="AB1002" s="13"/>
      <c r="AC1002" s="13"/>
      <c r="AD1002" s="13"/>
      <c r="AE1002" s="13"/>
      <c r="AF1002" s="13"/>
      <c r="AG1002" s="13"/>
      <c r="AH1002" s="13"/>
      <c r="AI1002" s="13"/>
      <c r="AJ1002" s="13"/>
      <c r="AK1002" s="13"/>
      <c r="AL1002" s="13"/>
      <c r="AM1002" s="14"/>
      <c r="AN1002" s="14"/>
      <c r="AO1002" s="14"/>
      <c r="AP1002" s="14"/>
      <c r="AQ1002" s="14"/>
      <c r="AR1002" s="14"/>
      <c r="AS1002" s="14"/>
      <c r="AT1002" s="14"/>
      <c r="AU1002" s="14"/>
      <c r="AV1002" s="14"/>
      <c r="AW1002" s="14"/>
      <c r="AX1002" s="14"/>
      <c r="AY1002" s="14"/>
      <c r="AZ1002" s="14"/>
      <c r="BA1002" s="14"/>
      <c r="BB1002" s="14"/>
      <c r="BC1002" s="14"/>
      <c r="BD1002" s="14"/>
      <c r="BE1002" s="14"/>
      <c r="BF1002" s="14"/>
      <c r="BG1002" s="14"/>
      <c r="BH1002" s="14"/>
      <c r="BI1002" s="14"/>
      <c r="BJ1002" s="14"/>
      <c r="BK1002" s="14"/>
      <c r="BL1002" s="14"/>
      <c r="BM1002" s="14"/>
      <c r="BN1002" s="14"/>
    </row>
    <row r="1003" ht="22.5" customHeight="1">
      <c r="A1003" s="493"/>
      <c r="B1003" s="350"/>
      <c r="C1003" s="351"/>
      <c r="D1003" s="447"/>
      <c r="E1003" s="494"/>
      <c r="F1003" s="495"/>
      <c r="G1003" s="434"/>
      <c r="H1003" s="394"/>
      <c r="I1003" s="394"/>
      <c r="J1003" s="477"/>
      <c r="K1003" s="479"/>
      <c r="L1003" s="496"/>
      <c r="M1003" s="496"/>
      <c r="N1003" s="360"/>
      <c r="O1003" s="497"/>
      <c r="P1003" s="362"/>
      <c r="Q1003" s="387"/>
      <c r="R1003" s="387"/>
      <c r="S1003" s="439"/>
      <c r="T1003" s="439"/>
      <c r="U1003" s="498"/>
      <c r="V1003" s="430"/>
      <c r="W1003" s="382"/>
      <c r="X1003" s="366"/>
      <c r="Y1003" s="366"/>
      <c r="Z1003" s="367"/>
      <c r="AA1003" s="367"/>
      <c r="AB1003" s="13"/>
      <c r="AC1003" s="13"/>
      <c r="AD1003" s="13"/>
      <c r="AE1003" s="13"/>
      <c r="AF1003" s="13"/>
      <c r="AG1003" s="13"/>
      <c r="AH1003" s="13"/>
      <c r="AI1003" s="13"/>
      <c r="AJ1003" s="13"/>
      <c r="AK1003" s="13"/>
      <c r="AL1003" s="13"/>
      <c r="AM1003" s="14"/>
      <c r="AN1003" s="14"/>
      <c r="AO1003" s="14"/>
      <c r="AP1003" s="14"/>
      <c r="AQ1003" s="14"/>
      <c r="AR1003" s="14"/>
      <c r="AS1003" s="14"/>
      <c r="AT1003" s="14"/>
      <c r="AU1003" s="14"/>
      <c r="AV1003" s="14"/>
      <c r="AW1003" s="14"/>
      <c r="AX1003" s="14"/>
      <c r="AY1003" s="14"/>
      <c r="AZ1003" s="14"/>
      <c r="BA1003" s="14"/>
      <c r="BB1003" s="14"/>
      <c r="BC1003" s="14"/>
      <c r="BD1003" s="14"/>
      <c r="BE1003" s="14"/>
      <c r="BF1003" s="14"/>
      <c r="BG1003" s="14"/>
      <c r="BH1003" s="14"/>
      <c r="BI1003" s="14"/>
      <c r="BJ1003" s="14"/>
      <c r="BK1003" s="14"/>
      <c r="BL1003" s="14"/>
      <c r="BM1003" s="14"/>
      <c r="BN1003" s="14"/>
    </row>
    <row r="1004" ht="22.5" customHeight="1">
      <c r="A1004" s="493"/>
      <c r="B1004" s="350"/>
      <c r="C1004" s="351"/>
      <c r="D1004" s="447"/>
      <c r="E1004" s="494"/>
      <c r="F1004" s="495"/>
      <c r="G1004" s="434"/>
      <c r="H1004" s="394"/>
      <c r="I1004" s="394"/>
      <c r="J1004" s="477"/>
      <c r="K1004" s="479"/>
      <c r="L1004" s="496"/>
      <c r="M1004" s="496"/>
      <c r="N1004" s="360"/>
      <c r="O1004" s="497"/>
      <c r="P1004" s="362"/>
      <c r="Q1004" s="387"/>
      <c r="R1004" s="387"/>
      <c r="S1004" s="439"/>
      <c r="T1004" s="439"/>
      <c r="U1004" s="498"/>
      <c r="V1004" s="430"/>
      <c r="W1004" s="382"/>
      <c r="X1004" s="366"/>
      <c r="Y1004" s="366"/>
      <c r="Z1004" s="367"/>
      <c r="AA1004" s="367"/>
      <c r="AB1004" s="13"/>
      <c r="AC1004" s="13"/>
      <c r="AD1004" s="13"/>
      <c r="AE1004" s="13"/>
      <c r="AF1004" s="13"/>
      <c r="AG1004" s="13"/>
      <c r="AH1004" s="13"/>
      <c r="AI1004" s="13"/>
      <c r="AJ1004" s="13"/>
      <c r="AK1004" s="13"/>
      <c r="AL1004" s="13"/>
      <c r="AM1004" s="14"/>
      <c r="AN1004" s="14"/>
      <c r="AO1004" s="14"/>
      <c r="AP1004" s="14"/>
      <c r="AQ1004" s="14"/>
      <c r="AR1004" s="14"/>
      <c r="AS1004" s="14"/>
      <c r="AT1004" s="14"/>
      <c r="AU1004" s="14"/>
      <c r="AV1004" s="14"/>
      <c r="AW1004" s="14"/>
      <c r="AX1004" s="14"/>
      <c r="AY1004" s="14"/>
      <c r="AZ1004" s="14"/>
      <c r="BA1004" s="14"/>
      <c r="BB1004" s="14"/>
      <c r="BC1004" s="14"/>
      <c r="BD1004" s="14"/>
      <c r="BE1004" s="14"/>
      <c r="BF1004" s="14"/>
      <c r="BG1004" s="14"/>
      <c r="BH1004" s="14"/>
      <c r="BI1004" s="14"/>
      <c r="BJ1004" s="14"/>
      <c r="BK1004" s="14"/>
      <c r="BL1004" s="14"/>
      <c r="BM1004" s="14"/>
      <c r="BN1004" s="14"/>
    </row>
    <row r="1005" ht="22.5" customHeight="1">
      <c r="A1005" s="493"/>
      <c r="B1005" s="350"/>
      <c r="C1005" s="351"/>
      <c r="D1005" s="447"/>
      <c r="E1005" s="494"/>
      <c r="F1005" s="495"/>
      <c r="G1005" s="434"/>
      <c r="H1005" s="394"/>
      <c r="I1005" s="394"/>
      <c r="J1005" s="477"/>
      <c r="K1005" s="479"/>
      <c r="L1005" s="496"/>
      <c r="M1005" s="496"/>
      <c r="N1005" s="360"/>
      <c r="O1005" s="497"/>
      <c r="P1005" s="362"/>
      <c r="Q1005" s="387"/>
      <c r="R1005" s="387"/>
      <c r="S1005" s="439"/>
      <c r="T1005" s="439"/>
      <c r="U1005" s="498"/>
      <c r="V1005" s="430"/>
      <c r="W1005" s="382"/>
      <c r="X1005" s="366"/>
      <c r="Y1005" s="366"/>
      <c r="Z1005" s="367"/>
      <c r="AA1005" s="367"/>
      <c r="AB1005" s="13"/>
      <c r="AC1005" s="13"/>
      <c r="AD1005" s="13"/>
      <c r="AE1005" s="13"/>
      <c r="AF1005" s="13"/>
      <c r="AG1005" s="13"/>
      <c r="AH1005" s="13"/>
      <c r="AI1005" s="13"/>
      <c r="AJ1005" s="13"/>
      <c r="AK1005" s="13"/>
      <c r="AL1005" s="13"/>
      <c r="AM1005" s="14"/>
      <c r="AN1005" s="14"/>
      <c r="AO1005" s="14"/>
      <c r="AP1005" s="14"/>
      <c r="AQ1005" s="14"/>
      <c r="AR1005" s="14"/>
      <c r="AS1005" s="14"/>
      <c r="AT1005" s="14"/>
      <c r="AU1005" s="14"/>
      <c r="AV1005" s="14"/>
      <c r="AW1005" s="14"/>
      <c r="AX1005" s="14"/>
      <c r="AY1005" s="14"/>
      <c r="AZ1005" s="14"/>
      <c r="BA1005" s="14"/>
      <c r="BB1005" s="14"/>
      <c r="BC1005" s="14"/>
      <c r="BD1005" s="14"/>
      <c r="BE1005" s="14"/>
      <c r="BF1005" s="14"/>
      <c r="BG1005" s="14"/>
      <c r="BH1005" s="14"/>
      <c r="BI1005" s="14"/>
      <c r="BJ1005" s="14"/>
      <c r="BK1005" s="14"/>
      <c r="BL1005" s="14"/>
      <c r="BM1005" s="14"/>
      <c r="BN1005" s="14"/>
    </row>
    <row r="1006" ht="22.5" customHeight="1">
      <c r="A1006" s="493"/>
      <c r="B1006" s="350"/>
      <c r="C1006" s="351"/>
      <c r="D1006" s="447"/>
      <c r="E1006" s="494"/>
      <c r="F1006" s="495"/>
      <c r="G1006" s="434"/>
      <c r="H1006" s="394"/>
      <c r="I1006" s="394"/>
      <c r="J1006" s="477"/>
      <c r="K1006" s="479"/>
      <c r="L1006" s="496"/>
      <c r="M1006" s="496"/>
      <c r="N1006" s="360"/>
      <c r="O1006" s="497"/>
      <c r="P1006" s="362"/>
      <c r="Q1006" s="387"/>
      <c r="R1006" s="387"/>
      <c r="S1006" s="439"/>
      <c r="T1006" s="439"/>
      <c r="U1006" s="498"/>
      <c r="V1006" s="430"/>
      <c r="W1006" s="382"/>
      <c r="X1006" s="366"/>
      <c r="Y1006" s="366"/>
      <c r="Z1006" s="367"/>
      <c r="AA1006" s="367"/>
      <c r="AB1006" s="13"/>
      <c r="AC1006" s="13"/>
      <c r="AD1006" s="13"/>
      <c r="AE1006" s="13"/>
      <c r="AF1006" s="13"/>
      <c r="AG1006" s="13"/>
      <c r="AH1006" s="13"/>
      <c r="AI1006" s="13"/>
      <c r="AJ1006" s="13"/>
      <c r="AK1006" s="13"/>
      <c r="AL1006" s="13"/>
      <c r="AM1006" s="14"/>
      <c r="AN1006" s="14"/>
      <c r="AO1006" s="14"/>
      <c r="AP1006" s="14"/>
      <c r="AQ1006" s="14"/>
      <c r="AR1006" s="14"/>
      <c r="AS1006" s="14"/>
      <c r="AT1006" s="14"/>
      <c r="AU1006" s="14"/>
      <c r="AV1006" s="14"/>
      <c r="AW1006" s="14"/>
      <c r="AX1006" s="14"/>
      <c r="AY1006" s="14"/>
      <c r="AZ1006" s="14"/>
      <c r="BA1006" s="14"/>
      <c r="BB1006" s="14"/>
      <c r="BC1006" s="14"/>
      <c r="BD1006" s="14"/>
      <c r="BE1006" s="14"/>
      <c r="BF1006" s="14"/>
      <c r="BG1006" s="14"/>
      <c r="BH1006" s="14"/>
      <c r="BI1006" s="14"/>
      <c r="BJ1006" s="14"/>
      <c r="BK1006" s="14"/>
      <c r="BL1006" s="14"/>
      <c r="BM1006" s="14"/>
      <c r="BN1006" s="14"/>
    </row>
    <row r="1007" ht="22.5" customHeight="1">
      <c r="A1007" s="499"/>
      <c r="B1007" s="500"/>
      <c r="C1007" s="351"/>
      <c r="D1007" s="501"/>
      <c r="E1007" s="502"/>
      <c r="F1007" s="503"/>
      <c r="G1007" s="504"/>
      <c r="H1007" s="505"/>
      <c r="I1007" s="505"/>
      <c r="J1007" s="506"/>
      <c r="K1007" s="507"/>
      <c r="L1007" s="508"/>
      <c r="M1007" s="508"/>
      <c r="N1007" s="509"/>
      <c r="O1007" s="510"/>
      <c r="P1007" s="511"/>
      <c r="Q1007" s="512"/>
      <c r="R1007" s="512"/>
      <c r="S1007" s="513"/>
      <c r="T1007" s="513"/>
      <c r="U1007" s="514"/>
      <c r="V1007" s="515"/>
      <c r="W1007" s="516"/>
      <c r="X1007" s="517"/>
      <c r="Y1007" s="517"/>
      <c r="Z1007" s="518"/>
      <c r="AA1007" s="518"/>
      <c r="AB1007" s="14"/>
      <c r="AC1007" s="14"/>
      <c r="AD1007" s="14"/>
      <c r="AE1007" s="14"/>
      <c r="AF1007" s="14"/>
      <c r="AG1007" s="14"/>
      <c r="AH1007" s="14"/>
      <c r="AI1007" s="14"/>
      <c r="AJ1007" s="14"/>
      <c r="AK1007" s="14"/>
      <c r="AL1007" s="14"/>
      <c r="AM1007" s="14"/>
      <c r="AN1007" s="14"/>
      <c r="AO1007" s="14"/>
      <c r="AP1007" s="14"/>
      <c r="AQ1007" s="14"/>
      <c r="AR1007" s="14"/>
      <c r="AS1007" s="14"/>
      <c r="AT1007" s="14"/>
      <c r="AU1007" s="14"/>
      <c r="AV1007" s="14"/>
      <c r="AW1007" s="14"/>
      <c r="AX1007" s="14"/>
      <c r="AY1007" s="14"/>
      <c r="AZ1007" s="14"/>
      <c r="BA1007" s="14"/>
      <c r="BB1007" s="14"/>
      <c r="BC1007" s="14"/>
      <c r="BD1007" s="14"/>
      <c r="BE1007" s="14"/>
      <c r="BF1007" s="14"/>
      <c r="BG1007" s="14"/>
      <c r="BH1007" s="14"/>
      <c r="BI1007" s="14"/>
      <c r="BJ1007" s="14"/>
      <c r="BK1007" s="14"/>
      <c r="BL1007" s="14"/>
      <c r="BM1007" s="14"/>
      <c r="BN1007" s="14"/>
    </row>
  </sheetData>
  <customSheetViews>
    <customSheetView guid="{71FDEA5B-12B3-4B8A-B576-396BE3A7C43F}" filter="1" showAutoFilter="1">
      <autoFilter ref="$A$1:$AA$1007">
        <filterColumn colId="4">
          <filters>
            <filter val="Татьяна Денисова"/>
          </filters>
        </filterColumn>
      </autoFilter>
    </customSheetView>
    <customSheetView guid="{1089EE32-0B59-4D63-848D-2D6296D3292D}" filter="1" showAutoFilter="1">
      <autoFilter ref="$A$1:$AA$1007">
        <filterColumn colId="20">
          <filters>
            <filter val="Размещен, Утвержден"/>
            <filter val="Утвержден"/>
            <filter val="В печати"/>
            <filter val="Заказ сырья"/>
          </filters>
        </filterColumn>
      </autoFilter>
    </customSheetView>
    <customSheetView guid="{A9CF2267-8E63-4AAE-B14A-25091A894185}" filter="1" showAutoFilter="1">
      <autoFilter ref="$A$1:$AA$1007">
        <filterColumn colId="4">
          <filters>
            <filter val="Баранов Александр"/>
          </filters>
        </filterColumn>
        <filterColumn colId="20">
          <filters blank="1">
            <filter val="Произведен"/>
            <filter val="Размещен, Утвержден"/>
            <filter val="Размещен"/>
            <filter val="Утвержден"/>
            <filter val="В печати"/>
            <filter val="Заказ сырья"/>
          </filters>
        </filterColumn>
        <filterColumn colId="2">
          <filters blank="1">
            <filter val="Этикетка &quot;Юдзу вкус этого лета&quot;"/>
            <filter val="Клаб-сэндвич с ветчиной и сыром ВВ"/>
            <filter val="Подводка 25*98 / 90*120 / 13 видов"/>
            <filter val="Этикетка «Рубленная горбуша и скумбрия» 150 г"/>
            <filter val="470828 Имбирь маринованный 200 г &quot;Green Vitamin&quot; этик."/>
            <filter val="НБ T5 Magic Наклейка/пакет S1 Jumbo 50х2"/>
            <filter val="Этикетка &quot;Пирожное Шу с вишней 160гр&quot;"/>
            <filter val="НБ XPAD Наклейка/пакет S1 Giga 100х2"/>
            <filter val="Шпроты в масле из кильки стекло 270"/>
            <filter val="Океан 21"/>
            <filter val="УК ЧЗ Накл/пакет S5 Mega 56x2 Дев"/>
            <filter val="Шампунь + Бальзам CURLY, 400 мл"/>
            <filter val="Стикер 80*125 без печати п/г"/>
            <filter val="Горох шлифованный"/>
            <filter val="470014 Ассорти овощное 1000 г Пятерка этик."/>
            <filter val="50x110 Яндекс лавка сезонные фрукты"/>
            <filter val="Этикетка Алсофт Плюс 500мл.(комлект)"/>
            <filter val="Этикетка отруб свиной КРАСНАЯ 100*100 мм (76/2000)"/>
            <filter val="Стикер D 30мм без печати"/>
            <filter val="тестовые стикеры"/>
            <filter val="Салат из фасоли &quot;Киркаш&quot; Цифра"/>
            <filter val="470844 Капуста квашеная с морковью и клюквой 500 г (Green vitamin) этик."/>
            <filter val="Фисташковый эклер"/>
            <filter val="Этикетка Новапродукт заменитель сахара Новасвит 650 боковая (узбекский+казахский)"/>
            <filter val="Этикетка Твой Дом для шашлыка &quot;Курица&quot;"/>
            <filter val="Полезное лакомство для собак 30 шт/120 гр"/>
            <filter val="Хелатирующий шампунь TNL, 1000 мл"/>
            <filter val="56*75 Ресурс мультияз. (заморозка)"/>
            <filter val="Color Boom 400 мл Розовый блонд 2 вида Шампунь и Бальзам-маска"/>
            <filter val="Аптечка у водителя"/>
            <filter val="Этикетка Дымная мина красная 2с"/>
            <filter val="Этикетка М83"/>
            <filter val="Этикетка «Эклер наполеон 3шт 165гр»"/>
            <filter val="Изделие_хб_из_зелёной_гречки 60х120"/>
            <filter val="Этикетка Твой Дом &quot;Бакинские огурцы&quot;"/>
            <filter val="Этикетка Зеленый Крест размер 82*108 мм"/>
            <filter val="471015 Капуста квашеная с морковью и хреном 350 г (Семейные секреты) этик."/>
            <filter val="470801 Капуста квашеная с хреном 450 гр круг Ваш выбор Этик."/>
            <filter val="0"/>
            <filter val="Этикетка Твой дом (Орехи и сухофрукты)"/>
            <filter val="470813 Морковь по-корейски 300 г (Green vitamin) этик."/>
            <filter val="Лакрин витамин С"/>
            <filter val="61284823 Белая наклейка 55х55 мм АЛ"/>
            <filter val="470009 Аджика по домашнему 240 г этик."/>
            <filter val="Тестовая этикетка голубой пантон"/>
            <filter val="Dry Oil Wild Curls 100 мл"/>
            <filter val="Этикетка заменитель сахара 350 лицевая Сукралоза Новасвит"/>
            <filter val="471049 Капуста маринованная &quot;Диет&quot; 350 г этик."/>
            <filter val="Pashe 30 мл Сыворотка «Активные молекулы 4Х»"/>
            <filter val="Гаспачо огуречный с базиликом ВВ"/>
            <filter val="Этикетка Для Колбас Баранья"/>
            <filter val="Этикетка стикер Птитим хорека"/>
            <filter val="Этикетка &quot;ЯЛ Сэндвич Гриль -чиз болоньезе с песто &quot;"/>
            <filter val="Новасвит 1200 лицевая"/>
            <filter val="470226 Капуста с клюквой 500 г (ДИКСИ) этик."/>
            <filter val="Стикер розовый 45x160"/>
            <filter val="470829 Огурцы корнишоны соленые 500 г (Green vitamin) этик."/>
            <filter val="SOS-спрей WEEL 200 мл"/>
            <filter val="НБ T5 Magic Наклейка/пакет S0 Conv 25х8"/>
            <filter val="Этикетка &quot; колбаски из лосося вяленые&quot; 150гр"/>
            <filter val="61284576 УК ЧЗ Накл/пакет S5 Mega 56x2 Мал"/>
            <filter val="471032 Капуста ЛЕНТА квашеная с сахаром (Россия) 500г. этик."/>
            <filter val="Шланг соединительный VAXT 1-2_2 м_1-2"/>
            <filter val="470249 Капуста квашеная с морковью 700 г этик."/>
            <filter val="470761 Капуста квашеная с хреном 450 Вкуслинка 105х105 этик."/>
            <filter val="470631 Хренодер классический 240 г этик."/>
            <filter val="Этикетка Дымная мина белая 2с"/>
            <filter val="Этикетка отруб свиной ЧЕРНАЯ 100*100 мм (76/2000)"/>
            <filter val="470811 Аджика по-домашнему 220 г (Green vitamin) этик."/>
            <filter val="61285175 НБ T5 Magic Наклейка/пакет S1 Jumbo 50х2"/>
            <filter val="Кофе 3 вида Комус"/>
            <filter val="61285170 НБ T5 Magic Наклейка/пакет S1 Mega 84х2"/>
            <filter val="И/Э 100*70 Мясновъ Т/П Рис Жасмин 500 гр."/>
            <filter val="470555 Соус Ткемали из сливы 240 г этик."/>
            <filter val="Этикетка ЯЛ Сэндвич Гриль-чиз болонезе с песто"/>
            <filter val="Термочек 58*120 мм (40/250)"/>
            <filter val="Стикер пантон  Р183С"/>
            <filter val="50х110 Азбука вкусов Манго клубника"/>
            <filter val="61284794 НБ XPAD Наклейка/пакет S1 Giga 100х2"/>
            <filter val="470171 Капуста маринованная с морковью 500 г этик."/>
            <filter val="Этикетка для моющих пылесосов лицо+оборот"/>
            <filter val="Этикетка стикер d 59"/>
            <filter val="450349 Ассорти овощное 800 Маркет Fresh этик."/>
            <filter val="450357 Капуста квашеная с морковью 900 Круглое лето Этик д95 ."/>
            <filter val="Тестовая этикетка голубой пантон фигурная"/>
            <filter val="Многоразовая застежка для пакета"/>
            <filter val="61284580 УК ЧЗ Накл/пакет S4 Giga 80x4 Дев"/>
            <filter val="Лого синий"/>
            <filter val="Бальзам + Шампунь WEEL Кератиновый комплекс TNL Professional, 1000 мл"/>
            <filter val="Этикетка Дендробена СПОРТ-МИКС"/>
            <filter val="Этикетка Твой Дом Вареники Творог"/>
            <filter val="Новасвит 1200 оборот"/>
            <filter val="Этикетка Лапша быстрого приготовления Чизи Рамен со вкусом сыра Чеддер"/>
            <filter val="61284567&#10;УК ЧЗ Накл/пакет S5 Giga 64x4 Дев"/>
            <filter val="470846 Капуста маринованная с морковью и шафраном 300 г этик."/>
            <filter val="61284581УК ЧЗ Накл/пакет S5 Giga 64x4 Мал"/>
            <filter val="ТермоТоп 100х100"/>
            <filter val="Крем-флюид CURLY, 150 мл"/>
            <filter val="И/Э 100*70 ИЗ ЛАВКИ Т/П Пшено 900г"/>
            <filter val="Сельдь атл. филе-кусочки в масле под лосось Атлантика 240 г."/>
            <filter val="Стикер 46*70 без печати термо эко"/>
            <filter val="470342-1 Морковь по-корейски 0,500кг. Круг.этик."/>
            <filter val="471045 Капуста маринованная Три цитруса 350г. этик."/>
            <filter val="470529 Салат Фунчоза по-корейски 300 г этик."/>
            <filter val="Гаспачо «Ремолача» с запеченной свеклой ВВ"/>
            <filter val="Этикетка &quot;Эклер наполеон 3шт&quot;  165гр"/>
            <filter val="И/Э 100*70 Мясновъ Т/П Рис для плова 12х1000 г"/>
            <filter val="Пенка-кератолик"/>
            <filter val="Голубые образцы 3 вида"/>
            <filter val="УК ЧЗ Накл/пакет S5 Giga 64x2 Мал"/>
            <filter val="Лого"/>
            <filter val="Этикетка Новапродукт заменитель сахара 650 лицевая Ол'Лайт"/>
            <filter val="этикетка ПРОФИЛЬ ПОТОЛОЧНЫЙ НАПРАВЛЯЮЩИЙ ,  этикетка ПРОФИЛЬ ПОТОЛОЧНЫЙ"/>
            <filter val="Отомоши смазки"/>
            <filter val="470796 Огурцы соленые 1100 гр. бок Ваш выбор Этик."/>
            <filter val="Этикетка Сахарная пудра 1000г"/>
            <filter val="61285212 ЭС T5 Magic Наклейка/пакет S4 Jumbo 33х4"/>
            <filter val="Стикер розовый 45x240"/>
            <filter val="Этикетка Эфиопия Йяйе"/>
            <filter val="Торт морковный из лавки"/>
            <filter val="470785 Капуста квашеная с хреном 500 г (Global village) этик."/>
            <filter val="470255 Капуста с морковью и хреном 500 г (Глобус) этик."/>
            <filter val="Оборот чурчхела (4вида)"/>
            <filter val="AdriLav 200 мл 3 макета"/>
            <filter val="61284497&#10;T3 OD XPAD Накл/пакет S5 Jumbo 42x4"/>
            <filter val="61284579 УК ЧЗ Накл/пакет S4 Giga 80x4 Мал тираж 10000шт"/>
            <filter val="470639 Хренодер ядреный 240 г этик."/>
            <filter val="470277 Капуста квашеная с морковью сладкая 500 г (Глобус) Бок этик."/>
            <filter val="Стикеры 40*50"/>
            <filter val="Обечайка на бумаге 50х188"/>
            <filter val="470746 Чизолини Чечил копченый этик."/>
            <filter val="471035 Томаты ЛЕНТА соленые красные 1000 г. этик."/>
            <filter val="Этикетка Твой Дом для шашлыка &quot;Говядина&quot;"/>
            <filter val="471012 Морковь по-корейски 350 г Этик."/>
            <filter val="61284563 УК ЧЗ Накл/пакет S4 Jumbo 50x4 UNI"/>
            <filter val="Этикетка 110*80 «МЕРЕНГОВЫЙ РУЛЕТ»"/>
            <filter val="470394 Огурцы соленые 1000 г (Глобус) этик."/>
            <filter val="Дегидратирующие тоники"/>
            <filter val="Nuar Спреи 200 мл"/>
            <filter val="Этикетка Ан-Нур Баранина"/>
            <filter val="450357 Капуста квашеная с морковью 900 Круглое лето Этик д95"/>
            <filter val="063211 – Этикетка, Попкорн карамельный с солёными крендельками 100х100"/>
            <filter val="СТМ Nerio Липидная маска"/>
            <filter val="Этикетка пломба"/>
            <filter val="470851 Грибы соленые Опята 250 г этик."/>
            <filter val="61285197 ЭС T5 Magic Наклейка/пакет S3 Conv 21х8"/>
            <filter val="470765 Салат Морковь по-корейски 150 г. этик ."/>
            <filter val="d60 Яндекс лавка фрукты и ягоды"/>
            <filter val="И/Э GRANTE греча 1500гр"/>
            <filter val="Магуро тунец филе шк.6483"/>
            <filter val="Фарш говяжий 95х95"/>
            <filter val="470816 Капуста квашеная сладкая 500 г (Green vitamin) этик."/>
            <filter val="61284576 УК ЧЗ Накл/пакет S5 Mega 56x4 Мал"/>
            <filter val="Термоэтикетка 58*100 Топ"/>
            <filter val="оборот ч/б в асортименте"/>
            <filter val="470026 Ассорти Черри и корнишоны 500 г этик."/>
            <filter val="450358 Капуста квашеная с морковью 250 Global Village Этик д95.этик."/>
            <filter val="Линейка Prof Adri 1000 мл коричневые"/>
            <filter val="470460 Перец соленый острый 500 г (Глобус) этик."/>
            <filter val="Этикетка Твой Дом Вареники Вишня"/>
            <filter val="Этикетка «Белая рыба с грибами 150гр» Атлантика &quot;"/>
            <filter val="УК ЧЗ Накл/пакет S5 Giga 64x2 Дев"/>
            <filter val="Этикетка «Крема-паста из кальмара» 150 г"/>
            <filter val="Этикетка &quot;Камбала вяленая 100гр"/>
            <filter val="61285191 ЭС T5 Magic Наклейка/пакет S3 Jumbo 40х4"/>
            <filter val="470512 Салат из спаржи по-корейски 200 г этик."/>
            <filter val="470435 Огурцы соленые корнишоны 500 г этик."/>
            <filter val="61284565 УК ЧЗ Накл/пакет S4 Mega 66х4 Дев"/>
            <filter val="471012 Морковь по-корейски 350 г Этик д110б этик."/>
            <filter val="470810 Капуста квашеная с морковью 500 г (Global village). Этик"/>
            <filter val="470217 Капуста по-московски 800 г этик."/>
            <filter val="Океан 81"/>
            <filter val="470997 Спаржа по-корейски 300 г (Green vitamin) этик."/>
            <filter val="Этикетка «Кета вяленая 70гр»"/>
            <filter val="470161 Капуста маринованная кисло-сладкая 500 г этик."/>
            <filter val="Салат по-грузински ВВ"/>
            <filter val="Обечайка на плёнке 50х188"/>
            <filter val="470797 Капуста квашеная сладкая 450 гр круг Ваш выбор Этик."/>
            <filter val="Сердечки Сбер + самокат"/>
            <filter val="Двухфазный спрей Sistema с голографией"/>
            <filter val="Этикетка &quot;ЯЛ Сэндвич с курицей и печёным перцем, кремчизом, шпинатом и мёдом с чесноком&quot;"/>
            <filter val="Этикетка ВВ &quot;Торт замороженный блинный манго-маракуйя 470гр&quot;"/>
            <filter val="Эклер наполеон"/>
            <filter val="Мульти-пенка 5в1 Velvet"/>
            <filter val="Липидный шампунь/Кондиционер стабилизатор Expert Line, 1000 мл"/>
            <filter val="Логотип"/>
            <filter val="Термо чек"/>
            <filter val="Салат Цезарь 180гр ВкусВилл"/>
            <filter val="Этикетка Моя Кофемания"/>
            <filter val="Комплект этикеток «Вяленая соломка из минтая» 60 г"/>
            <filter val="значок Халяль"/>
            <filter val="470736 Чизолини Косичка сыр ассорти 40 г 20*20 этик."/>
            <filter val="470855 Огурцы соленые 600 г (Green vitamin) этик."/>
            <filter val="Белая наклейка 55х55 мм АЛ"/>
            <filter val="Рыбарь"/>
            <filter val="470783 Капуста квашеная Фитнес 500г Дикси Этик."/>
            <filter val="Сэндвич с тунцом и маринованным луком"/>
            <filter val="61285174 НБ T5 Magic Наклейка/пакет S0 Conv 25х8"/>
            <filter val="И/Э 100*70 ИЗ ЛАВКИ Т/П Пшено 12х900г"/>
            <filter val="Этикетка Дендробена ЗЕЛЕНАЯ"/>
            <filter val="61284792 Белая наклейка 55х95 мм АЛ"/>
            <filter val="Линейка Re:Born Спреи К + Р"/>
            <filter val="Стикер &quot;Важно что ешь&quot;"/>
            <filter val="470831 Чеснок соленый белый 200 г (Green vitamin) этик."/>
            <filter val="Этикетка &quot;Рыбная соломка с паприкой холодного копчения 90гр&quot;"/>
            <filter val="61284580 УК ЧЗ Накл/пакет S4 Giga 80x2 Дев"/>
            <filter val="Стикер &quot;Важно, что ешь&quot; D 70мм"/>
            <filter val="470821 Капуста квашеная с клюквой 500 г (Global village)"/>
            <filter val="Этикетка 110*300 мм"/>
            <filter val="470224 Капуста с клюквой 500 г (Глобус) Бок этик."/>
            <filter val="470853 Огурцы соленые 300 г в/у этик."/>
            <filter val="Этикетка заменитель сахара 350 оборотная Сукралоза Новасвит"/>
            <filter val="450351 Огурцы соленые 1000 г global village этик."/>
            <filter val="Этикетка &quot;Важно, что ешь&quot;"/>
            <filter val="470518 Салат Огурцы соленые по-корейски 300 г этик."/>
            <filter val="Шампунь TNL Color Boom Cold Blond, 1000 мл"/>
            <filter val="470822 Капуста маринованная DIET 500 г (Магнит) этик."/>
            <filter val="61284779 НБ XPAD Наклейка/пакет S2 Giga 100х2"/>
            <filter val="61285176 НБ T5 Magic Наклейка/пакет S1 Giga 100х2"/>
            <filter val="61284567 УК ЧЗ Накл/пакет S5 Giga 64x2 Дев"/>
            <filter val="470845 Капуста квашеная с морковью 300 г (Green vitamin) этик."/>
            <filter val="Ол'Лайт 650 лицевая"/>
            <filter val="Этикетка Домашние Колбасы"/>
            <filter val="61284789 Наклейка на палету самоклеющаяся А5 АЛ"/>
            <filter val="Этикетка Лапша быстрого приготовления &quot;Чизи Рамен&quot; со вкусом чеддер"/>
            <filter val="470645 Черемша 500 г (Глобус) этик."/>
            <filter val="Моторное масло 5л 5w-30"/>
            <filter val="Этикетка Тунец рубленный в сладком соусе чили  150гр"/>
            <filter val="Дегидратирующий тоник"/>
            <filter val="НБ T5 Magic Наклейка/пакет S2 Giga 100х2"/>
            <filter val="Крем-воск для пяток Foot Cream Wax 3 в 1 TNL Professional, 100 мл БОК"/>
            <filter val="Барилла"/>
            <filter val="Этикетка Лапша быстрого приготовления Чизи Рамен со вкусом острого перца Чили и сыра Чеддер"/>
            <filter val="И/Э Озон Т/П Крупа гречневая 6х1500г"/>
            <filter val="Этикетка Твой Дом Вареники Картофель"/>
            <filter val="Гаспачо огуречный"/>
            <filter val="Мультифункциональный спрей Prof Adri K-Mist ADRICOCO, 200 мл"/>
            <filter val="Бальзам + шампунь Nuar жидкое золото, 1000 мл"/>
            <filter val="470790 Капуста квашеная кислая для щей 700 гр. этик."/>
            <filter val="61285214 ЭС T5 Magic Наклейка/пакет S5 Mega 42х4"/>
            <filter val="470634 Хренодер классический 400 г на Бутылку (Магнит) этик."/>
            <filter val="Этикетка Новапродукт заменитель сахара 650 оборотная Ол'Лайт"/>
            <filter val="470489 Помидоры_соленые_крас_Черри 500 г этик."/>
            <filter val="Стикер вкусвилл рис для плова басмати"/>
            <filter val="Этикетка Маэстрия 58*90 мм (40/2000)"/>
            <filter val="470259 Капуста с морковью по-корейски 300 г (Магнит) этик."/>
            <filter val="470860 Сыр чечил ассорти 150 г Магнолия 100*70 этик"/>
            <filter val="470706 Чеснок красный 250 г Дольки этик."/>
            <filter val="Этикетка &quot;Не вскрывать Термогруз&quot;"/>
            <filter val="ВкусВилл Т/П Рис Ризотто 500 гр."/>
            <filter val="Нейтрализатор запаха HelmetexPets от запаха домашних животных, 100 мл"/>
            <filter val="Антижир Shogen Professional, 500 мл"/>
            <filter val="Этикетка Клапан 70*30"/>
            <filter val="Логотип МПП Южное"/>
            <filter val="470403 Огурцы соленые 1000 г этик."/>
            <filter val="Салат Грин Энерджи 150гр ВкусВилл"/>
            <filter val="Океан 7"/>
            <filter val="61284577 УК ЧЗ Накл/пакет S3 Giga 94x2 Мал"/>
            <filter val="470856 Черемша соленая 100 г В/У этик."/>
            <filter val="470608 Томаты соленые красные 1000 г этик."/>
            <filter val="Sistema Mist"/>
            <filter val="Двухфазный спрей Prof Adri 250 мл"/>
            <filter val="Термоэтикетка 58*100 топ"/>
            <filter val="УК ЧЗ Накл/пакет S4 Giga 80x2 Дев"/>
            <filter val="AdriLav 400 мл 5 макетов"/>
            <filter val="&quot;ЯЛ Сэндвич с курицей и печёным перцем, кремчизом, шпинатом и мёдом с чесноком&quot;"/>
            <filter val="470795 Огурцы соленые 1100 гр. круг Ваш выбор Этик."/>
            <filter val="Тест СофтТач лака Линейка ТачЛав/АдриЛав"/>
            <filter val="Температурный режим 99*99 мм"/>
            <filter val="470560 Спаржа по-корейски 200 г  (Магнит) этик."/>
            <filter val="470747 Чизолини Чечил этик"/>
            <filter val="Нейтрализатор для обуви Чай&amp;Мята, 50 мл"/>
            <filter val="Этикетка Боливия Ява"/>
            <filter val="61285208 ЭС T5 Magic Наклейка/пакет S5 Conv 17х8"/>
            <filter val="Комплект стикеров (1743шт)"/>
            <filter val="Сельдь атл. филе-кусочки в масле малосольная Атлантика 240 г"/>
            <filter val="Оборот чурчхела вишнёвая / гранатовая"/>
            <filter val="Этикетка Автомобильная ФЭСТ приказ 260н шк 9063 (кр фут)"/>
            <filter val="470821 Капуста квашеная с клюквой 500 г (Global village) этик."/>
            <filter val="И/Э GRANTE Т/П Крупа гречневая ядрица со стикером 4х3000г"/>
            <filter val="Контейнеры"/>
            <filter val="стикеры"/>
            <filter val="470775 Морс из черной смородины 400 гр. 65х180 этик."/>
            <filter val="450352 Огурцы соленые 1000 г (МЕТРО CHEF) этик."/>
            <filter val="Тоник Pharm Helper против перхоти, TNL, 100 мл"/>
            <filter val="61284578 УК ЧЗ Накл/пакет S3 Giga 94x4 Дев"/>
            <filter val="470788 Капуста квашеная Кимчи по-корейски 400 г 110х110 этик."/>
            <filter val="Буквы &quot;Щ&quot;, &quot;М&quot;, &quot;СК&quot;"/>
            <filter val="Этикетка «ЯЛ Сэндвич гриль -чиз болоньезе с песто»"/>
            <filter val="61284574 УК ЧЗ Накл/пакет S3 Mega 78x4 Мал"/>
            <filter val="Термоэтикетка 58*60 Эко"/>
            <filter val="470804 Капуста квашеная с морковью 450 гр бок Ваш выбор Этик."/>
            <filter val="61284497 T3 OD XPAD Накл/пакет S5 Jumbo 42x4"/>
            <filter val="АН-НУР Баранина"/>
            <filter val="Вода питьевая АХСУ АКВА 5 л. 105х148"/>
            <filter val="470827 Грибы соленые Застольные 250 г этик."/>
            <filter val="Этикетка пирожное Шу с вишней"/>
            <filter val="61285190 ЭС T5 Magic Наклейка/пакет S4 Conv 19х8"/>
            <filter val="Термоэтикетка 58*100"/>
            <filter val="Торт &quot;Бенто&quot; медовик с брусникой (Люблю)"/>
            <filter val="стикер без печати"/>
            <filter val="470654 Черемша соленая 200 г В/У этик."/>
            <filter val="470003 Аджика 200 г (Глобус) этик."/>
            <filter val="61284496 &#10;T3 OD XPAD Накл/пакет S3 Jumbo 58x2"/>
            <filter val="Этикетки &quot;Креветки сушено-вяленые острые 40г&quot;"/>
            <filter val="Этикетка термо топ"/>
            <filter val="Этикетка Новапродукт заменитель сахара 650 лицевая Новасвит"/>
            <filter val="Этикетка Бенто торт арахисовый &quot;из лавки&quot;"/>
            <filter val="Этикетка &quot;ЯЛ язык говяжий отварной&quot;"/>
            <filter val="470836 Салат Морковь по-корейски 400 г Магнит этик."/>
            <filter val="470242 Капуста квашеная с морковью 500 г ГОСТ этик."/>
            <filter val="Стикер 76*118 пантон 304"/>
            <filter val="Комплект этикеток «Вяленая соломка из лосося» 60 г"/>
            <filter val="61284579 УК ЧЗ Накл/пакет S4 Giga 80x2 Мал"/>
            <filter val="Термочек 58*120 мм (76/2000)"/>
            <filter val="Лобио по-картлийски"/>
            <filter val="Этикетка Лапша быстрого приготовления Чизи Рамен со вкусом сыра Чеддер и Маскарпоне"/>
            <filter val="Нейтрализатор запаха универсальный Fresh, 500 мл Голубой"/>
            <filter val="Сэндвич с курицей, печеным перцем, кремчизом, шпинатом и медом с чесноком"/>
            <filter val="470557 Соус Шашлычный 240 г этик."/>
            <filter val="Этикетка ЯЛ Сэндвич с курицей и печёным перцем, кремчизом, шпинатом и мёдом с чесноком"/>
            <filter val="Лого Repart синий"/>
            <filter val="470357 Напиток Рассол огуречный 240 г этик."/>
            <filter val="Этикетка «Форшмак из рубленной сельди» 150 г"/>
            <filter val="Этикетка «Закуска к пиву» Sweet life"/>
            <filter val="ВВ Этикетка цветная ВВ &quot;Торт бенто клубника с днем рождения&quot;"/>
            <filter val="61284496 T3 OD XPAD Накл/пакет S3 Jumbo 58x2"/>
            <filter val="Стикер пантон Р2645С"/>
            <filter val="Этикетка Для Колбас Свиная"/>
            <filter val="Линейка Re:Born Спрей V"/>
            <filter val="Сельдь атл. филе-кусочки в масле с луком Атлантика 240 г."/>
            <filter val="470199 Капуста по-деревенски 500 г этик."/>
            <filter val="Салат из фасоли &quot;Киркаш&quot; Флекса"/>
            <filter val="Этикетка Новапродукт заменитель сахара 1200 лицевая Новасвит"/>
            <filter val="Этикетка «Минтай филе кусочки вяленые»"/>
            <filter val="470757 Капуста квашеная с морковью 700 г Чижик этик."/>
            <filter val="Нейтрализатор запаха универсальный, 500 мл Розовый"/>
            <filter val="Клапан"/>
            <filter val="470231 Капуста с клюквой 500 г (Хороший день) этик."/>
            <filter val="лицевая чурчхела"/>
            <filter val="Новасвит 650 (комбо)"/>
            <filter val="Термоэтикетка 58*100 термотоп"/>
            <filter val="470564 Спаржа по-корейски 300 г этик."/>
            <filter val="Этикетка Твой дом Формат обрезной"/>
            <filter val="Этикетка 7,5*11 см"/>
            <filter val="Этикетка &quot;Атлантика кальмар горячего копчения 80гр&quot;"/>
            <filter val="Крем-воск для пяток Foot Cream Wax 3 в 1 TNL Professional, 100 мл КРУГ"/>
            <filter val="УК ЧЗ Накл/пакет S4 Mega 66х2 Мал"/>
            <filter val="Этикетка &quot;Сэндвич с тунцом и маринованным луком&quot;"/>
            <filter val="470812 Капуста квашеная по-гурийски 300 г (Green vitamin) этик."/>
            <filter val="Оттеночный шампунь TNL Color Boom Flash Copper, 250 мл"/>
            <filter val="450356 Хренодер классический 400 г (Дикси) этик."/>
            <filter val="Этикетка Альфа Ингредиенты"/>
            <filter val="Этикетка ЛАПША БЫСТРОГО ПРИГОТОВЛЕНИЯ «РАМЕН НЕЖНЫЙ СО ВКУСОМ СЫРА»"/>
            <filter val="Стикеры Сбер 44*74"/>
            <filter val="Нейтрализатор запаха HelmetexShoes для обуви, 100 мл"/>
            <filter val="470560 Спаржа по-корейски 200 г (Магнит) этик."/>
            <filter val="Стикер 240*45 пантон 304"/>
            <filter val="Этикетка стикер d25"/>
            <filter val="470464 Перец соленый острый 500 г этик."/>
            <filter val="471045 Капуста маринованная Три цитруса 350г"/>
            <filter val="470967 Огурчики малосольные по домашнему 500 гр этик."/>
            <filter val="61284489 T3 OD XPAD Накл/пакет S4 Jumbo 50x4"/>
            <filter val="Мусс Curly, 150 мл"/>
            <filter val="НБ T5 Magic Наклейка/пакет S2 Mega 82х2"/>
            <filter val="Этикетка Новапродукт заменитель сахара 1200 оборотная Ол'Лайт"/>
            <filter val="Этикетка Дендробена ЗЕЛЕНАЯ-XL"/>
            <filter val="НБ XPAD Наклейка/пакет S2 Giga 100х2"/>
            <filter val="Стикерпак Сбер кидс"/>
            <filter val="470113 Имбирь маринованный 250 г этик."/>
            <filter val="оборот чурчхела"/>
            <filter val="470158 Капуста маринованная ДИЕТ 500 г этик."/>
            <filter val="470681 Чеснок белый 250 г Дольки этик."/>
            <filter val="Этикетка Альбумин 250мг 100х270"/>
            <filter val="Сикер &quot;Важно, что ешь&quot;"/>
            <filter val="Этикетка Твой Дом &quot;Шашлык&quot;"/>
            <filter val="Этикетка Лапша быстрого приготовления Чизи Рамен острый вкус"/>
            <filter val="470678 Чеснок белый 200 г В/У этик."/>
            <filter val="Этикетка пустышка d40"/>
            <filter val="470810 Капуста квашеная с морковью 500 г (Global village). Этик ."/>
            <filter val="И/Э 100*70 ИЗ ЛАВКИ Т/П Рис круглозерный 12х900г"/>
            <filter val="470278 Капуста квашеная с морковью сладкая 500 г (Глобус) этик."/>
            <filter val="лицевая цвет в асортименте"/>
            <filter val="470859 Сыр чечил 150 г Магнолия 100*70 этик."/>
            <filter val="Этикетка 90х283 сок гранатовый1л_НАР"/>
            <filter val="Laimon Fresh/Самокат/июль"/>
            <filter val="470235 Капуста квашеная с морковью 150 г ГОСТ этик."/>
            <filter val="Этикетка Вёрдазернопродукт Только мясо 100х100"/>
            <filter val="470825 Капуста квашеная с морковью 1000 г (Global village) этик."/>
            <filter val="470621 Хренодер &quot;Аппетитка&quot; 350 г этик."/>
            <filter val="Этикетка Твой Дом стикер 30%"/>
            <filter val="Термочек 58*120 мм (40/500)"/>
            <filter val="Этикетка &quot;Атлантика крем-паста Минтай с грибами рубленый 150гр&quot;"/>
            <filter val="470596 Томаты соленые зеленые 1000 г этик."/>
            <filter val="Этикетка Сендвич с тунцом и маринованным луком"/>
            <filter val="61284565 УК ЧЗ Накл/пакет S4 Mega 66х2 Дев"/>
            <filter val="Этикетка стикер d45"/>
            <filter val="AdriLav 1000 мл 5 макетов"/>
            <filter val="61284577 УК ЧЗ Накл/пакет S3 Giga 94x4 Мал"/>
            <filter val="471047 Капуста квашеная &quot;кимчи по-корейски&quot; 200 г этик."/>
            <filter val="61284578 УК ЧЗ Накл/пакет S3 Giga 94x2 Дев"/>
            <filter val="068779_06 Этикетка, Попкорн «Дубайский шоколад» карамельно-шоколадный 80гр/100х100 мм(ВВ)"/>
            <filter val="470846 Капуста маринованная с морковью и шафраном 300 г"/>
            <filter val="Сельдь малосольная филе в масле 250"/>
            <filter val="470747 Чизолини Чечил этик."/>
            <filter val="Pashe 30 мл Сыворотка против несовершенств кожи"/>
            <filter val="Бахрушинъ Колбаса Московская Варено-копченая"/>
            <filter val="471002 Сыр Чечил Чизолини с укропом этик."/>
            <filter val="И/Э Озон Т/П Рис Ризотто 6х500г"/>
            <filter val="НБ T5 Magic Наклейка/пакет S2 Jumbo 50х2"/>
            <filter val="470759 Спаржа по-корейски 400 г этик."/>
            <filter val="470809 Капуста квашеная с морковью 500 г Дикси этик."/>
            <filter val="Этикетка пломба 30*200 мм"/>
            <filter val="Этикетка Дым Штурм"/>
            <filter val="Автохимия 89*170"/>
            <filter val="470789 Салат Морковь по-корейски 200 г Магнит этик."/>
            <filter val="Бахрушинъ Сардельки с говядиной мини"/>
            <filter val="Этикетка 76*118 пантон 304"/>
            <filter val="Липидная маска Adricoco 500 мл"/>
            <filter val="Этикетка температурный режим"/>
            <filter val="Barilla"/>
            <filter val="470798 Капуста квашеная сладкая 450 гр бок Ваш выбор Этик."/>
            <filter val="Этикетка &quot;Аптечка у водителя&quot;"/>
            <filter val="Этикетка &quot;ЯЛ Сэндвич Гриль-чиз болоньезе с песто &quot;"/>
            <filter val="Нейтрализатор запаха HelmetexHome для дома и одежды, 100 мл"/>
            <filter val="470261 Капуста с морковью по-корейски 300 г этик."/>
            <filter val="Этикетка &quot;Салака холодного копчения&quot; 150гр"/>
            <filter val="Стикер 58*40 без печати  термо эко"/>
            <filter val="Комплект этикеток «Вяленые колбаски из лосося» 60 г"/>
            <filter val="Этикетка Новапродукт заменитель сахара 1200 оборотная Новасвит"/>
            <filter val="470744 Чизолини Чечил копченый &quot;Соломка&quot; этик."/>
            <filter val="Sistema Milk, Hot, Vol"/>
            <filter val="470241 Капуста с морковью 500 г (Хороший день) этик."/>
            <filter val="Заказ по СТМ AVS (46 видов)"/>
            <filter val="Стикер  160*45 пантон 304"/>
            <filter val="Этикетка &quot;Эклер наполеон 165гр&quot;"/>
            <filter val="Кислотная смывка Swap Color, ADRICOCO, 200 мл КОМПЛЕКТ"/>
            <filter val="Этикетка Алсофт Р дезинфицирующие салфетки"/>
            <filter val="Клапан 70*30"/>
            <filter val="Этикетка &quot;мука кормовая животного происхождения (Птица)&#10;сорт 1 70*99&quot; бумага полуглянец каучуковый"/>
            <filter val="470418 Огурцы соленые 500 г этик."/>
            <filter val="61284581 УК ЧЗ Накл/пакет S5 Giga 64x2 Мал"/>
            <filter val="58*75 Ресурс (охлажденка)"/>
            <filter val="АПТЕЧКА ЗЕЛЕНЫЙ КРЕСТ"/>
            <filter val="Этикетка Вёрдазернопродукт Обечайка цветная P 485C"/>
            <filter val="Этикетка Твой Дом &quot;Шашлык&quot; &quot;Свинина&quot;"/>
            <filter val="Этикетка Твой Дом стикер 50%"/>
            <filter val="Этикетка &quot;Камбала вяленая 100гр&quot;"/>
            <filter val="61285169 НБ T5 Magic Наклейка/пакет S0 Jumbo 80х4"/>
            <filter val="470753 Яблоки моченые 1000 г этик."/>
            <filter val="61284575 УК ЧЗ Накл/пакет S4 Mega 66х4 Мал"/>
            <filter val="470790 Капуста квашеная кислая для щей 700 гр. Этик."/>
            <filter val="Сладости 5 видов"/>
            <filter val="Нейтрализатор запаха HelmeyexMed для средств реабилитации, 400 мл"/>
            <filter val="Парфюмы 6 мл и 30 мл"/>
            <filter val="470137 Капуста квашеная с морковью 500 г (Магнит) этик."/>
            <filter val="61284565УК ЧЗ Накл/пакет S4 Mega 66х2 Дев"/>
            <filter val="470117 Имбирь маринованный 400 г этик."/>
            <filter val="Этикетка Вёрдазернопродукт Обечайка цветная Y"/>
            <filter val="450358 Капуста квашеная с морковью 250 Global Village Этик д95"/>
            <filter val="Парфюм 30 мл"/>
            <filter val="НБ T5 Magic Наклейка/пакет S1 Giga 100х2"/>
            <filter val="Парфюмы 10 мл"/>
            <filter val="Этикетка Твой дом (Собственное производство)"/>
            <filter val="61285198 ЭС T5 Magic Наклейка/пакет S4 Mega 54х2"/>
            <filter val="61284566 УК ЧЗ Накл/пакет S5 Mega 56x4 Дев"/>
            <filter val="470042 Виноградные листья соленые 1000 г этик."/>
            <filter val="ВВ &quot;Торт бенто клубника с днем рождения"/>
            <filter val="УК ЧЗ Накл/пакет S4 Giga 80x2 Мал"/>
            <filter val="Профиль потолочный направляющий  28*27 мм/ Профиль потолочный 60*27 мм"/>
            <filter val="470352 Морская капуста с кунжутом 250 г этик."/>
            <filter val="470225 Капуста с клюквой 500 г (Глобус) этик."/>
            <filter val="470356 Напиток Рассол капустный 240 г этик."/>
            <filter val="Бальзам + Шампунь WEEL формула с церамидами TNL Professional, 1000 мл"/>
            <filter val="Пироженное Шу с вишней"/>
            <filter val="470240 Капуста с морковью 500 г (Глобус) этик."/>
            <filter val="470437 Огурцы соленые по-старорусски 800 г этик."/>
            <filter val="Пустышка"/>
            <filter val="Этикетка &quot;Камбала вяленая 100гр&quot; V2"/>
            <filter val="Парфюмы 30 мл"/>
            <filter val="УК ЧЗ Накл/пакет S5 Mega 56x2 Мал"/>
            <filter val="Этикетка Новапродукт заменитель сахара Новасвит 1200 боковая (узбекский+казахский)"/>
            <filter val="470421 Огурцы соленые 600 г (Дикси) этик."/>
            <filter val="470636 Хренодер чесночный 240 г этик."/>
            <filter val="61284566 УК ЧЗ Накл/пакет S5 Mega 56x2 Дев"/>
            <filter val="470773 Капуста квашеная 0,9 кг &quot;Ашан&quot; Каждый День этик."/>
            <filter val="И/Э 100*70 ИЗ ЛАВКИ Т/П Рис для плова 900г"/>
            <filter val="470339 Морковь по-корейски 300 г этик."/>
            <filter val="61284564 УК ЧЗ Накл/пакет S3 Mega 78x4 Дев"/>
            <filter val="470457 Перец соленый острый 200 г В/У этик."/>
            <filter val="И/Э GRANTE греча 800гр"/>
            <filter val="Этикетка Bez Tarelok"/>
            <filter val="Этикетка Твой Дом для шашлыка &quot;Говядина и Свинина&quot;"/>
            <filter val="Липидная маска-реноватор EXPERT LINE ADRICOCO, 500 мл"/>
            <filter val="И/Э 100*70 ИЗ ЛАВКИ Т/П Крупа гречневая 900г"/>
            <filter val="Этикетка &quot;Мидии холодного копчения 80гр&quot;"/>
            <filter val="61285213 ЭС T5 Magic Наклейка/пакет S3 Mega 72х2"/>
            <filter val="Этикетка Новапродукт заменитель сахара 1200 лицевая Ол'Лайт"/>
            <filter val="Пустышка 45х74 мм"/>
            <filter val="Сендвич с тунцом и маринованным луком"/>
            <filter val="Стикер розовый 60x250"/>
            <filter val="Гаспачо &quot;по-Андалусски&quot; ВВ"/>
            <filter val="Пломба Моя Кофемания"/>
            <filter val="И/Э 100*70 ИЗ ЛАВКИ Т/П Рис круглозерный 900г"/>
            <filter val="60*140 Термотоп пустышка (заморозка)"/>
            <filter val="471036 Томаты ЛЕНТА соленые красные Черри 500г ."/>
            <filter val="Этикетка &quot;Юдзу-вкус этого лета&quot;"/>
            <filter val="470405 Огурцы соленые 300 г в/у (Магнит) этик."/>
            <filter val="61284168 УК ПТГ1.5 Накл/пакет S5 Jumbo 42x4 УНИ Н"/>
            <filter val="470543 Соус Азиатский 240 г этик."/>
            <filter val="Этикетка Твой дом (Фрукты и Овощи100% натурально)"/>
            <filter val="Термоэтикетка 58*60мм  ЭКО"/>
            <filter val="Лицо чурчхела (7видов)"/>
            <filter val="подводка НЕО"/>
            <filter val="Этикетка Твой Дом для шашлыка &quot;Баранина&quot;"/>
            <filter val="SOS-спрей WEEL 100 мл"/>
            <filter val="Этикетка Декаф Колумбия"/>
            <filter val="2 Шампуня Pharm Helper против выпадения / против перхоти 400 мл"/>
            <filter val="Стикер 70*34 без печати термо эко"/>
            <filter val="Заказ по СТМ РОСТТЕРМ (7 видов)"/>
            <filter val="471034 Перец ЛЕНТА соленый острый 500г . этик."/>
            <filter val="Этикетка Вёрдазернопродукт Обечайка цветная Р 340С"/>
            <filter val="Expert Edition 400 мл"/>
            <filter val="Этикетка Новапродукт заменитель сахара 650 оборотная Новасвит"/>
            <filter val="Термоэтикетка 75*120 Эко"/>
            <filter val="Мульти-пенка 5в1 Garden Bloom 150 мл"/>
            <filter val="ТермоТоп Голубой"/>
            <filter val="Пилинг для кожи головы PHARM HELPER TNL Professional 150 мл"/>
            <filter val="470567 Спаржа с морковью по-корейски 300 г этик."/>
            <filter val="Атлантика сельдь кусочки  малосольная 240гр"/>
            <filter val="Наклейка на палету самоклеющаяся А5 АЛ"/>
            <filter val="Ол'Лайт 650 оборот"/>
            <filter val="470234 Капуста квашеная с морковью и клюквой 800 г этик."/>
            <filter val="470782 Морс вишневый 400 гр. 65х180 этик."/>
            <filter val="ТермоТоп Цветные"/>
            <filter val="Парфюм 10 мл ч/б"/>
            <filter val="УК ЧЗ Накл/пакет S4 Mega 66х2 Дев"/>
          </filters>
        </filterColumn>
      </autoFilter>
    </customSheetView>
    <customSheetView guid="{553A6FE5-1C2E-46D5-8F25-A3F03E78A40D}" filter="1" showAutoFilter="1">
      <autoFilter ref="$A$1:$AA$1007">
        <filterColumn colId="4">
          <filters>
            <filter val="Шаповалов Дмитрий"/>
          </filters>
        </filterColumn>
        <filterColumn colId="20">
          <filters blank="1">
            <filter val="Произведен"/>
            <filter val="Размещен, Утвержден"/>
            <filter val="Размещен"/>
            <filter val="Утвержден"/>
            <filter val="В печати"/>
            <filter val="Заказ сырья"/>
          </filters>
        </filterColumn>
      </autoFilter>
    </customSheetView>
    <customSheetView guid="{B4BD3317-3FFD-4115-88D6-22D806D22AB0}" filter="1" showAutoFilter="1">
      <autoFilter ref="$A$1:$AA$1007">
        <filterColumn colId="20">
          <filters blank="1">
            <filter val="Произведен"/>
            <filter val="Размещен, Утвержден"/>
            <filter val="Размещен"/>
            <filter val="Утвержден"/>
            <filter val="В печати"/>
            <filter val="Заказ сырья"/>
          </filters>
        </filterColumn>
      </autoFilter>
    </customSheetView>
    <customSheetView guid="{7F094CCB-5FD5-4C33-AA2B-612CD7DD4F8F}" filter="1" showAutoFilter="1">
      <autoFilter ref="$A$1:$AA$1007">
        <filterColumn colId="20">
          <filters blank="1">
            <filter val="Произведен"/>
            <filter val="Размещен, Утвержден"/>
            <filter val="Размещен"/>
            <filter val="Утвержден"/>
            <filter val="В печати"/>
            <filter val="Заказ сырья"/>
          </filters>
        </filterColumn>
        <filterColumn colId="4">
          <filters blank="1">
            <filter val="Одинцов Алексей"/>
            <filter val="Шаповалов Дмитрий"/>
            <filter val="Шаповалова Юлия"/>
            <filter val="АртЛайн"/>
            <filter val="Власян Владимир"/>
          </filters>
        </filterColumn>
      </autoFilter>
    </customSheetView>
    <customSheetView guid="{0C22B07E-F181-4154-BF6D-0A6485B6C9D7}" filter="1" showAutoFilter="1">
      <autoFilter ref="$A$1:$AA$1007">
        <filterColumn colId="4">
          <filters>
            <filter val="Овечкин Константин"/>
          </filters>
        </filterColumn>
      </autoFilter>
    </customSheetView>
    <customSheetView guid="{654E483F-0136-4180-A76D-D60F917F9599}" filter="1" showAutoFilter="1">
      <autoFilter ref="$A$1:$AA$1007">
        <filterColumn colId="4">
          <filters>
            <filter val="Римма Лукина"/>
          </filters>
        </filterColumn>
        <filterColumn colId="20">
          <filters blank="1">
            <filter val="Произведен"/>
            <filter val="Размещен, Утвержден"/>
            <filter val="Размещен"/>
            <filter val="Утвержден"/>
            <filter val="В печати"/>
            <filter val="Заказ сырья"/>
          </filters>
        </filterColumn>
      </autoFilter>
    </customSheetView>
  </customSheetViews>
  <dataValidations>
    <dataValidation type="list" allowBlank="1" sqref="F2:F1007">
      <formula1>"Новая,Повтор,Повтор с изменениями,ТЕСТ"</formula1>
    </dataValidation>
    <dataValidation type="list" allowBlank="1" sqref="S2:S1007">
      <formula1>"Нет,Заказаны,В наличие,Цифра,Не требуется"</formula1>
    </dataValidation>
    <dataValidation type="list" allowBlank="1" sqref="U2:U1007">
      <formula1>"Переговоры,Размещен,Утвержден,Заказ сырья,В печати,Произведен,Отгружен,Упаковка,Ждём оплату,Правки Макета,В Доставку,На Риповке,В Работе(на машине)"</formula1>
    </dataValidation>
    <dataValidation type="list" allowBlank="1" sqref="H2:H1007">
      <formula1>"Флексопечать,Цифра+Лазер,Цифра+Полуротация,Полуротация"</formula1>
    </dataValidation>
    <dataValidation type="list" allowBlank="1" sqref="O2:O1007">
      <formula1>"Бумага полуглянец акрил,Бумага полуглянец каучук,Бумага легкосъемная,Бумага на PET полложке,Бумага матовая,Термоэко,Термоэко легкосъемная,Термо Топ,Термо Топ для глубокой заморозки,Термопленка,Пленка PP белая каучук,Пленка PP белая акрил,Пленка PP белая н"&amp;"а PET  подложке,Пленка PP белая для глубокой заморозки,Пленка PP прозрачная,Пленка PP суперпрозрачная,Пленка PP синтетическая,Пленка PE 85 мкр белая,Пленка PE 100 мкр белая,Пленка PE 100 мкр белая усиленный клей,Пленка PE 85 мкр прозрачная,Пленка PE 100 м"&amp;"кр прозрачная,Пленка PE 100 мкр прозрачная усиленный клей,Бумага метализированная акрил,Бумага метализированная каучук,Пленка метализированная акрил,Пленка метализированная каучук,Давальческий"</formula1>
    </dataValidation>
    <dataValidation type="list" allowBlank="1" sqref="R2:R1007">
      <formula1>"ДА,нет"</formula1>
    </dataValidation>
    <dataValidation type="list" allowBlank="1" sqref="T2:T1007">
      <formula1>"Нет,заказан,В наличие,Лазер"</formula1>
    </dataValidation>
    <dataValidation type="list" allowBlank="1" sqref="Q2:Q1007">
      <formula1>"Да,Нет"</formula1>
    </dataValidation>
    <dataValidation type="list" allowBlank="1" sqref="I2:I1007">
      <formula1>"Wg-450,Bg-330,G-160,G-200,LS(ЦПМ),Montax"</formula1>
    </dataValidation>
    <dataValidation type="custom" allowBlank="1" showDropDown="1" sqref="L2:N1007 P2:P1007 V2:V1007">
      <formula1>OR(NOT(ISERROR(DATEVALUE(L2))), AND(ISNUMBER(L2), LEFT(CELL("format", L2))="D"))</formula1>
    </dataValidation>
    <dataValidation type="list" allowBlank="1" sqref="E2:E1007">
      <formula1>"Баранов Александр,Шаповалов Дмитрий,АртЛайн,Римма Лукина,Татьяна Денисова,Шаповалова Юлия,Надежда Кухарь,Одинцов Алексей,Овечкин Константин"</formula1>
    </dataValidation>
  </dataValidations>
  <printOptions gridLines="1" horizontalCentered="1"/>
  <pageMargins bottom="0.75" footer="0.0" header="0.0" left="0.7" right="0.7" top="0.75"/>
  <pageSetup fitToHeight="0" paperSize="9" cellComments="atEnd" orientation="landscape" pageOrder="overThenDown"/>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63.75" customHeight="1">
      <c r="A1" s="519" t="s">
        <v>0</v>
      </c>
      <c r="B1" s="519" t="s">
        <v>1410</v>
      </c>
      <c r="C1" s="519" t="s">
        <v>2</v>
      </c>
      <c r="D1" s="519" t="s">
        <v>4</v>
      </c>
      <c r="E1" s="519" t="s">
        <v>5</v>
      </c>
      <c r="F1" s="519" t="s">
        <v>3</v>
      </c>
      <c r="G1" s="520" t="s">
        <v>6</v>
      </c>
      <c r="H1" s="520" t="s">
        <v>7</v>
      </c>
      <c r="I1" s="520" t="s">
        <v>8</v>
      </c>
      <c r="J1" s="520" t="s">
        <v>9</v>
      </c>
      <c r="K1" s="520" t="s">
        <v>1411</v>
      </c>
      <c r="L1" s="520" t="s">
        <v>11</v>
      </c>
      <c r="M1" s="520" t="s">
        <v>12</v>
      </c>
      <c r="N1" s="520" t="s">
        <v>13</v>
      </c>
      <c r="O1" s="520" t="s">
        <v>14</v>
      </c>
      <c r="P1" s="520" t="s">
        <v>15</v>
      </c>
      <c r="Q1" s="521" t="s">
        <v>16</v>
      </c>
      <c r="R1" s="521" t="s">
        <v>18</v>
      </c>
      <c r="S1" s="521" t="s">
        <v>19</v>
      </c>
      <c r="T1" s="520" t="s">
        <v>1412</v>
      </c>
      <c r="U1" s="520" t="s">
        <v>22</v>
      </c>
      <c r="V1" s="520" t="s">
        <v>1413</v>
      </c>
      <c r="W1" s="521" t="s">
        <v>1414</v>
      </c>
      <c r="X1" s="520" t="s">
        <v>24</v>
      </c>
      <c r="Y1" s="520" t="s">
        <v>25</v>
      </c>
      <c r="Z1" s="521" t="s">
        <v>1415</v>
      </c>
    </row>
    <row r="2">
      <c r="A2" s="522" t="str">
        <f>IFERROR(__xludf.DUMMYFUNCTION("FILTER('Заказы'!A2:AA1000,'Заказы'!U2:U1000=""Перепечатка"")"),"#N/A")</f>
        <v>#N/A</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44.75"/>
    <col customWidth="1" min="3" max="3" width="15.88"/>
    <col customWidth="1" min="4" max="4" width="16.0"/>
  </cols>
  <sheetData>
    <row r="1" ht="22.5" customHeight="1">
      <c r="A1" s="523" t="s">
        <v>0</v>
      </c>
      <c r="B1" s="523" t="s">
        <v>2</v>
      </c>
      <c r="C1" s="523" t="s">
        <v>1410</v>
      </c>
      <c r="D1" s="523" t="s">
        <v>1416</v>
      </c>
    </row>
    <row r="2" ht="22.5" customHeight="1">
      <c r="A2" s="524" t="s">
        <v>27</v>
      </c>
      <c r="B2" s="524" t="s">
        <v>42</v>
      </c>
      <c r="C2" s="338"/>
      <c r="D2" s="524">
        <v>25000.0</v>
      </c>
    </row>
    <row r="3" ht="22.5" customHeight="1">
      <c r="A3" s="524" t="s">
        <v>27</v>
      </c>
      <c r="B3" s="525" t="s">
        <v>304</v>
      </c>
      <c r="C3" s="526"/>
      <c r="D3" s="527">
        <v>5000.0</v>
      </c>
    </row>
    <row r="4" ht="22.5" customHeight="1">
      <c r="A4" s="524" t="s">
        <v>27</v>
      </c>
      <c r="B4" s="528" t="s">
        <v>315</v>
      </c>
      <c r="C4" s="526"/>
      <c r="D4" s="529" t="s">
        <v>1417</v>
      </c>
    </row>
    <row r="5" ht="22.5" customHeight="1">
      <c r="A5" s="527" t="s">
        <v>1418</v>
      </c>
      <c r="B5" s="527" t="s">
        <v>1419</v>
      </c>
      <c r="C5" s="526"/>
      <c r="D5" s="530" t="s">
        <v>1420</v>
      </c>
    </row>
    <row r="6" ht="22.5" customHeight="1">
      <c r="A6" s="524" t="s">
        <v>27</v>
      </c>
      <c r="B6" s="531" t="s">
        <v>1421</v>
      </c>
      <c r="C6" s="526"/>
      <c r="D6" s="530">
        <v>2500.0</v>
      </c>
    </row>
    <row r="7">
      <c r="A7" s="532"/>
      <c r="B7" s="532"/>
      <c r="C7" s="532"/>
      <c r="D7" s="532"/>
    </row>
    <row r="8">
      <c r="A8" s="532"/>
      <c r="B8" s="532"/>
      <c r="C8" s="532"/>
      <c r="D8" s="532"/>
    </row>
    <row r="9">
      <c r="A9" s="532"/>
      <c r="B9" s="532"/>
      <c r="C9" s="532"/>
      <c r="D9" s="532"/>
    </row>
    <row r="10">
      <c r="A10" s="532"/>
      <c r="B10" s="532"/>
      <c r="C10" s="532"/>
      <c r="D10" s="532"/>
    </row>
    <row r="11">
      <c r="A11" s="532"/>
      <c r="B11" s="532"/>
      <c r="C11" s="532"/>
      <c r="D11" s="532"/>
    </row>
    <row r="12">
      <c r="A12" s="532"/>
      <c r="B12" s="532"/>
      <c r="C12" s="532"/>
      <c r="D12" s="532"/>
    </row>
    <row r="13">
      <c r="A13" s="532"/>
      <c r="B13" s="532"/>
      <c r="C13" s="532"/>
      <c r="D13" s="532"/>
    </row>
    <row r="14">
      <c r="A14" s="532"/>
      <c r="B14" s="532"/>
      <c r="C14" s="532"/>
      <c r="D14" s="532"/>
    </row>
    <row r="15">
      <c r="A15" s="532"/>
      <c r="B15" s="532"/>
      <c r="C15" s="532"/>
      <c r="D15" s="532"/>
    </row>
    <row r="16">
      <c r="A16" s="532"/>
      <c r="B16" s="532"/>
      <c r="C16" s="532"/>
      <c r="D16" s="532"/>
    </row>
    <row r="17">
      <c r="A17" s="532"/>
      <c r="B17" s="532"/>
      <c r="C17" s="532"/>
      <c r="D17" s="532"/>
    </row>
    <row r="18">
      <c r="A18" s="532"/>
      <c r="B18" s="532"/>
      <c r="C18" s="532"/>
      <c r="D18" s="532"/>
    </row>
    <row r="19">
      <c r="A19" s="532"/>
      <c r="B19" s="532"/>
      <c r="C19" s="532"/>
      <c r="D19" s="532"/>
    </row>
    <row r="20">
      <c r="A20" s="532"/>
      <c r="B20" s="532"/>
      <c r="C20" s="532"/>
      <c r="D20" s="532"/>
    </row>
    <row r="21">
      <c r="A21" s="532"/>
      <c r="B21" s="532"/>
      <c r="C21" s="532"/>
      <c r="D21" s="532"/>
    </row>
    <row r="22">
      <c r="A22" s="532"/>
      <c r="B22" s="532"/>
      <c r="C22" s="532"/>
      <c r="D22" s="532"/>
    </row>
    <row r="23">
      <c r="A23" s="532"/>
      <c r="B23" s="532"/>
      <c r="C23" s="532"/>
      <c r="D23" s="532"/>
    </row>
    <row r="24">
      <c r="A24" s="532"/>
      <c r="B24" s="532"/>
      <c r="C24" s="532"/>
      <c r="D24" s="532"/>
    </row>
    <row r="25">
      <c r="A25" s="532"/>
      <c r="B25" s="532"/>
      <c r="C25" s="532"/>
      <c r="D25" s="532"/>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38"/>
    <col customWidth="1" min="2" max="2" width="13.5"/>
    <col customWidth="1" min="3" max="3" width="47.13"/>
    <col customWidth="1" min="4" max="4" width="22.63"/>
    <col customWidth="1" min="5" max="5" width="17.25"/>
    <col customWidth="1" min="6" max="6" width="17.13"/>
    <col customWidth="1" min="13" max="13" width="18.63"/>
    <col customWidth="1" min="15" max="15" width="21.13"/>
    <col customWidth="1" min="16" max="16" width="24.63"/>
  </cols>
  <sheetData>
    <row r="1" ht="63.75" customHeight="1">
      <c r="A1" s="519" t="s">
        <v>0</v>
      </c>
      <c r="B1" s="519" t="s">
        <v>1410</v>
      </c>
      <c r="C1" s="519" t="s">
        <v>2</v>
      </c>
      <c r="D1" s="519" t="s">
        <v>1422</v>
      </c>
      <c r="E1" s="519" t="s">
        <v>4</v>
      </c>
      <c r="F1" s="533" t="s">
        <v>1423</v>
      </c>
      <c r="G1" s="534" t="s">
        <v>6</v>
      </c>
      <c r="H1" s="520" t="s">
        <v>7</v>
      </c>
      <c r="I1" s="520" t="s">
        <v>8</v>
      </c>
      <c r="J1" s="534" t="s">
        <v>9</v>
      </c>
      <c r="K1" s="520" t="s">
        <v>11</v>
      </c>
      <c r="L1" s="520" t="s">
        <v>13</v>
      </c>
      <c r="M1" s="520" t="s">
        <v>14</v>
      </c>
      <c r="N1" s="520" t="s">
        <v>1412</v>
      </c>
      <c r="O1" s="520" t="s">
        <v>22</v>
      </c>
      <c r="P1" s="520" t="s">
        <v>1413</v>
      </c>
      <c r="Q1" s="521" t="s">
        <v>1424</v>
      </c>
      <c r="R1" s="521" t="s">
        <v>1425</v>
      </c>
      <c r="S1" s="521" t="s">
        <v>1426</v>
      </c>
      <c r="T1" s="520" t="s">
        <v>1427</v>
      </c>
      <c r="U1" s="520" t="s">
        <v>1428</v>
      </c>
      <c r="V1" s="520" t="s">
        <v>1429</v>
      </c>
      <c r="W1" s="521" t="s">
        <v>1430</v>
      </c>
      <c r="X1" s="520" t="s">
        <v>1431</v>
      </c>
      <c r="Y1" s="520" t="s">
        <v>1432</v>
      </c>
      <c r="Z1" s="521" t="s">
        <v>1415</v>
      </c>
    </row>
    <row r="2" ht="22.5" customHeight="1">
      <c r="A2" s="524" t="str">
        <f>IFERROR(__xludf.DUMMYFUNCTION("FILTER({'Заказы'!A2:J1005,'Заказы'!L2:L1005,'Заказы'!N2:O1005,'Заказы'!U2:X1005},'Заказы'!U2:U1005=""Отгружен"")"),"ООО""ФэрельГам""")</f>
        <v>ООО"ФэрельГам"</v>
      </c>
      <c r="B2" s="528"/>
      <c r="C2" s="528" t="str">
        <f>IFERROR(__xludf.DUMMYFUNCTION("""COMPUTED_VALUE"""),"470567 Спаржа с морковью по-корейски 300 г этик.")</f>
        <v>470567 Спаржа с морковью по-корейски 300 г этик.</v>
      </c>
      <c r="D2" s="528"/>
      <c r="E2" s="528" t="str">
        <f>IFERROR(__xludf.DUMMYFUNCTION("""COMPUTED_VALUE"""),"Баранов Александр")</f>
        <v>Баранов Александр</v>
      </c>
      <c r="F2" s="535" t="str">
        <f>IFERROR(__xludf.DUMMYFUNCTION("""COMPUTED_VALUE"""),"Новая")</f>
        <v>Новая</v>
      </c>
      <c r="G2" s="536"/>
      <c r="H2" s="338" t="str">
        <f>IFERROR(__xludf.DUMMYFUNCTION("""COMPUTED_VALUE"""),"Флексопечать")</f>
        <v>Флексопечать</v>
      </c>
      <c r="I2" s="338" t="str">
        <f>IFERROR(__xludf.DUMMYFUNCTION("""COMPUTED_VALUE"""),"Weigang-450")</f>
        <v>Weigang-450</v>
      </c>
      <c r="J2" s="536">
        <f>IFERROR(__xludf.DUMMYFUNCTION("""COMPUTED_VALUE"""),10000.0)</f>
        <v>10000</v>
      </c>
      <c r="K2" s="537">
        <f>IFERROR(__xludf.DUMMYFUNCTION("""COMPUTED_VALUE"""),46093.0)</f>
        <v>46093</v>
      </c>
      <c r="L2" s="537"/>
      <c r="M2" s="338" t="str">
        <f>IFERROR(__xludf.DUMMYFUNCTION("""COMPUTED_VALUE"""),"Пленка PP белая каучук")</f>
        <v>Пленка PP белая каучук</v>
      </c>
      <c r="N2" s="338" t="str">
        <f>IFERROR(__xludf.DUMMYFUNCTION("""COMPUTED_VALUE"""),"Отгружен")</f>
        <v>Отгружен</v>
      </c>
      <c r="O2" s="537"/>
      <c r="P2" s="338"/>
      <c r="Q2" s="338"/>
      <c r="R2" s="338"/>
      <c r="S2" s="338"/>
      <c r="T2" s="338"/>
      <c r="U2" s="338"/>
      <c r="V2" s="338"/>
      <c r="W2" s="338"/>
      <c r="X2" s="338"/>
      <c r="Y2" s="338"/>
      <c r="Z2" s="338"/>
    </row>
    <row r="3" ht="22.5" customHeight="1">
      <c r="A3" s="528" t="str">
        <f>IFERROR(__xludf.DUMMYFUNCTION("""COMPUTED_VALUE"""),"ООО""ФэрельГам""")</f>
        <v>ООО"ФэрельГам"</v>
      </c>
      <c r="B3" s="528"/>
      <c r="C3" s="528" t="str">
        <f>IFERROR(__xludf.DUMMYFUNCTION("""COMPUTED_VALUE"""),"470790 Капуста квашеная кислая для щей 700 гр. Этик.")</f>
        <v>470790 Капуста квашеная кислая для щей 700 гр. Этик.</v>
      </c>
      <c r="D3" s="528"/>
      <c r="E3" s="528" t="str">
        <f>IFERROR(__xludf.DUMMYFUNCTION("""COMPUTED_VALUE"""),"Баранов Александр")</f>
        <v>Баранов Александр</v>
      </c>
      <c r="F3" s="535" t="str">
        <f>IFERROR(__xludf.DUMMYFUNCTION("""COMPUTED_VALUE"""),"Новая")</f>
        <v>Новая</v>
      </c>
      <c r="G3" s="536"/>
      <c r="H3" s="338" t="str">
        <f>IFERROR(__xludf.DUMMYFUNCTION("""COMPUTED_VALUE"""),"Флексопечать")</f>
        <v>Флексопечать</v>
      </c>
      <c r="I3" s="338" t="str">
        <f>IFERROR(__xludf.DUMMYFUNCTION("""COMPUTED_VALUE"""),"Weigang-450")</f>
        <v>Weigang-450</v>
      </c>
      <c r="J3" s="536">
        <f>IFERROR(__xludf.DUMMYFUNCTION("""COMPUTED_VALUE"""),20000.0)</f>
        <v>20000</v>
      </c>
      <c r="K3" s="537">
        <f>IFERROR(__xludf.DUMMYFUNCTION("""COMPUTED_VALUE"""),46093.0)</f>
        <v>46093</v>
      </c>
      <c r="L3" s="537"/>
      <c r="M3" s="338" t="str">
        <f>IFERROR(__xludf.DUMMYFUNCTION("""COMPUTED_VALUE"""),"Пленка PP белая каучук")</f>
        <v>Пленка PP белая каучук</v>
      </c>
      <c r="N3" s="338" t="str">
        <f>IFERROR(__xludf.DUMMYFUNCTION("""COMPUTED_VALUE"""),"Отгружен")</f>
        <v>Отгружен</v>
      </c>
      <c r="O3" s="537"/>
      <c r="P3" s="338"/>
      <c r="Q3" s="338"/>
      <c r="R3" s="338"/>
      <c r="S3" s="338"/>
      <c r="T3" s="338"/>
      <c r="U3" s="338"/>
      <c r="V3" s="338"/>
      <c r="W3" s="338"/>
      <c r="X3" s="338"/>
      <c r="Y3" s="338"/>
      <c r="Z3" s="338"/>
    </row>
    <row r="4" ht="22.5" customHeight="1">
      <c r="A4" s="528" t="str">
        <f>IFERROR(__xludf.DUMMYFUNCTION("""COMPUTED_VALUE"""),"ООО""ФэрельГам""")</f>
        <v>ООО"ФэрельГам"</v>
      </c>
      <c r="B4" s="528"/>
      <c r="C4" s="528" t="str">
        <f>IFERROR(__xludf.DUMMYFUNCTION("""COMPUTED_VALUE"""),"470435 Огурцы соленые корнишоны 500 г этик.")</f>
        <v>470435 Огурцы соленые корнишоны 500 г этик.</v>
      </c>
      <c r="D4" s="528"/>
      <c r="E4" s="528" t="str">
        <f>IFERROR(__xludf.DUMMYFUNCTION("""COMPUTED_VALUE"""),"Баранов Александр")</f>
        <v>Баранов Александр</v>
      </c>
      <c r="F4" s="535" t="str">
        <f>IFERROR(__xludf.DUMMYFUNCTION("""COMPUTED_VALUE"""),"Новая")</f>
        <v>Новая</v>
      </c>
      <c r="G4" s="536"/>
      <c r="H4" s="338" t="str">
        <f>IFERROR(__xludf.DUMMYFUNCTION("""COMPUTED_VALUE"""),"Флексопечать")</f>
        <v>Флексопечать</v>
      </c>
      <c r="I4" s="338" t="str">
        <f>IFERROR(__xludf.DUMMYFUNCTION("""COMPUTED_VALUE"""),"Weigang-450")</f>
        <v>Weigang-450</v>
      </c>
      <c r="J4" s="536">
        <f>IFERROR(__xludf.DUMMYFUNCTION("""COMPUTED_VALUE"""),50000.0)</f>
        <v>50000</v>
      </c>
      <c r="K4" s="537">
        <f>IFERROR(__xludf.DUMMYFUNCTION("""COMPUTED_VALUE"""),46093.0)</f>
        <v>46093</v>
      </c>
      <c r="L4" s="537"/>
      <c r="M4" s="338" t="str">
        <f>IFERROR(__xludf.DUMMYFUNCTION("""COMPUTED_VALUE"""),"Пленка PP белая каучук")</f>
        <v>Пленка PP белая каучук</v>
      </c>
      <c r="N4" s="338" t="str">
        <f>IFERROR(__xludf.DUMMYFUNCTION("""COMPUTED_VALUE"""),"Отгружен")</f>
        <v>Отгружен</v>
      </c>
      <c r="O4" s="537"/>
      <c r="P4" s="338"/>
      <c r="Q4" s="338"/>
      <c r="R4" s="338"/>
      <c r="S4" s="338"/>
      <c r="T4" s="338"/>
      <c r="U4" s="338"/>
      <c r="V4" s="338"/>
      <c r="W4" s="338"/>
      <c r="X4" s="338"/>
      <c r="Y4" s="338"/>
      <c r="Z4" s="338"/>
    </row>
    <row r="5" ht="22.5" customHeight="1">
      <c r="A5" s="528" t="str">
        <f>IFERROR(__xludf.DUMMYFUNCTION("""COMPUTED_VALUE"""),"ООО""ФэрельГам""")</f>
        <v>ООО"ФэрельГам"</v>
      </c>
      <c r="B5" s="528"/>
      <c r="C5" s="528" t="str">
        <f>IFERROR(__xludf.DUMMYFUNCTION("""COMPUTED_VALUE"""),"470421 Огурцы соленые 600 г (Дикси) этик.")</f>
        <v>470421 Огурцы соленые 600 г (Дикси) этик.</v>
      </c>
      <c r="D5" s="528">
        <f>IFERROR(__xludf.DUMMYFUNCTION("""COMPUTED_VALUE"""),936.0)</f>
        <v>936</v>
      </c>
      <c r="E5" s="528" t="str">
        <f>IFERROR(__xludf.DUMMYFUNCTION("""COMPUTED_VALUE"""),"Баранов Александр")</f>
        <v>Баранов Александр</v>
      </c>
      <c r="F5" s="535" t="str">
        <f>IFERROR(__xludf.DUMMYFUNCTION("""COMPUTED_VALUE"""),"Новая")</f>
        <v>Новая</v>
      </c>
      <c r="G5" s="536"/>
      <c r="H5" s="338" t="str">
        <f>IFERROR(__xludf.DUMMYFUNCTION("""COMPUTED_VALUE"""),"Флексопечать")</f>
        <v>Флексопечать</v>
      </c>
      <c r="I5" s="338" t="str">
        <f>IFERROR(__xludf.DUMMYFUNCTION("""COMPUTED_VALUE"""),"Weigang-450")</f>
        <v>Weigang-450</v>
      </c>
      <c r="J5" s="536">
        <f>IFERROR(__xludf.DUMMYFUNCTION("""COMPUTED_VALUE"""),20000.0)</f>
        <v>20000</v>
      </c>
      <c r="K5" s="537">
        <f>IFERROR(__xludf.DUMMYFUNCTION("""COMPUTED_VALUE"""),46093.0)</f>
        <v>46093</v>
      </c>
      <c r="L5" s="537"/>
      <c r="M5" s="338" t="str">
        <f>IFERROR(__xludf.DUMMYFUNCTION("""COMPUTED_VALUE"""),"Пленка PP белая каучук")</f>
        <v>Пленка PP белая каучук</v>
      </c>
      <c r="N5" s="338" t="str">
        <f>IFERROR(__xludf.DUMMYFUNCTION("""COMPUTED_VALUE"""),"Отгружен")</f>
        <v>Отгружен</v>
      </c>
      <c r="O5" s="537"/>
      <c r="P5" s="338"/>
      <c r="Q5" s="338"/>
      <c r="R5" s="338"/>
      <c r="S5" s="338"/>
      <c r="T5" s="338"/>
      <c r="U5" s="338"/>
      <c r="V5" s="338"/>
      <c r="W5" s="338"/>
      <c r="X5" s="338"/>
      <c r="Y5" s="338"/>
      <c r="Z5" s="338"/>
    </row>
    <row r="6" ht="22.5" customHeight="1">
      <c r="A6" s="528" t="str">
        <f>IFERROR(__xludf.DUMMYFUNCTION("""COMPUTED_VALUE"""),"ООО""ФэрельГам""")</f>
        <v>ООО"ФэрельГам"</v>
      </c>
      <c r="B6" s="528"/>
      <c r="C6" s="528" t="str">
        <f>IFERROR(__xludf.DUMMYFUNCTION("""COMPUTED_VALUE"""),"470158 Капуста маринованная ДИЕТ 500 г этик.
")</f>
        <v>470158 Капуста маринованная ДИЕТ 500 г этик.
</v>
      </c>
      <c r="D6" s="528">
        <f>IFERROR(__xludf.DUMMYFUNCTION("""COMPUTED_VALUE"""),978.0)</f>
        <v>978</v>
      </c>
      <c r="E6" s="528" t="str">
        <f>IFERROR(__xludf.DUMMYFUNCTION("""COMPUTED_VALUE"""),"Баранов Александр")</f>
        <v>Баранов Александр</v>
      </c>
      <c r="F6" s="535" t="str">
        <f>IFERROR(__xludf.DUMMYFUNCTION("""COMPUTED_VALUE"""),"Новая")</f>
        <v>Новая</v>
      </c>
      <c r="G6" s="536"/>
      <c r="H6" s="338" t="str">
        <f>IFERROR(__xludf.DUMMYFUNCTION("""COMPUTED_VALUE"""),"Флексопечать")</f>
        <v>Флексопечать</v>
      </c>
      <c r="I6" s="338" t="str">
        <f>IFERROR(__xludf.DUMMYFUNCTION("""COMPUTED_VALUE"""),"Weigang-450")</f>
        <v>Weigang-450</v>
      </c>
      <c r="J6" s="536">
        <f>IFERROR(__xludf.DUMMYFUNCTION("""COMPUTED_VALUE"""),20000.0)</f>
        <v>20000</v>
      </c>
      <c r="K6" s="537">
        <f>IFERROR(__xludf.DUMMYFUNCTION("""COMPUTED_VALUE"""),46094.0)</f>
        <v>46094</v>
      </c>
      <c r="L6" s="537"/>
      <c r="M6" s="338" t="str">
        <f>IFERROR(__xludf.DUMMYFUNCTION("""COMPUTED_VALUE"""),"Пленка PP белая каучук")</f>
        <v>Пленка PP белая каучук</v>
      </c>
      <c r="N6" s="338" t="str">
        <f>IFERROR(__xludf.DUMMYFUNCTION("""COMPUTED_VALUE"""),"Отгружен")</f>
        <v>Отгружен</v>
      </c>
      <c r="O6" s="537"/>
      <c r="P6" s="338"/>
      <c r="Q6" s="338"/>
      <c r="R6" s="338"/>
      <c r="S6" s="338"/>
      <c r="T6" s="338"/>
      <c r="U6" s="338"/>
      <c r="V6" s="338"/>
      <c r="W6" s="338"/>
      <c r="X6" s="338"/>
      <c r="Y6" s="338"/>
      <c r="Z6" s="338"/>
    </row>
    <row r="7" ht="22.5" customHeight="1">
      <c r="A7" s="528" t="str">
        <f>IFERROR(__xludf.DUMMYFUNCTION("""COMPUTED_VALUE"""),"ООО""ФэрельГам""")</f>
        <v>ООО"ФэрельГам"</v>
      </c>
      <c r="B7" s="528"/>
      <c r="C7" s="528" t="str">
        <f>IFERROR(__xludf.DUMMYFUNCTION("""COMPUTED_VALUE"""),"470217 Капуста по-московски 800 г этик.")</f>
        <v>470217 Капуста по-московски 800 г этик.</v>
      </c>
      <c r="D7" s="528">
        <f>IFERROR(__xludf.DUMMYFUNCTION("""COMPUTED_VALUE"""),979.0)</f>
        <v>979</v>
      </c>
      <c r="E7" s="528" t="str">
        <f>IFERROR(__xludf.DUMMYFUNCTION("""COMPUTED_VALUE"""),"Баранов Александр")</f>
        <v>Баранов Александр</v>
      </c>
      <c r="F7" s="535" t="str">
        <f>IFERROR(__xludf.DUMMYFUNCTION("""COMPUTED_VALUE"""),"Новая")</f>
        <v>Новая</v>
      </c>
      <c r="G7" s="536"/>
      <c r="H7" s="338" t="str">
        <f>IFERROR(__xludf.DUMMYFUNCTION("""COMPUTED_VALUE"""),"Флексопечать")</f>
        <v>Флексопечать</v>
      </c>
      <c r="I7" s="338" t="str">
        <f>IFERROR(__xludf.DUMMYFUNCTION("""COMPUTED_VALUE"""),"Weigang-450")</f>
        <v>Weigang-450</v>
      </c>
      <c r="J7" s="536">
        <f>IFERROR(__xludf.DUMMYFUNCTION("""COMPUTED_VALUE"""),10000.0)</f>
        <v>10000</v>
      </c>
      <c r="K7" s="537">
        <f>IFERROR(__xludf.DUMMYFUNCTION("""COMPUTED_VALUE"""),46094.0)</f>
        <v>46094</v>
      </c>
      <c r="L7" s="537"/>
      <c r="M7" s="338" t="str">
        <f>IFERROR(__xludf.DUMMYFUNCTION("""COMPUTED_VALUE"""),"Пленка PP белая каучук")</f>
        <v>Пленка PP белая каучук</v>
      </c>
      <c r="N7" s="338" t="str">
        <f>IFERROR(__xludf.DUMMYFUNCTION("""COMPUTED_VALUE"""),"Отгружен")</f>
        <v>Отгружен</v>
      </c>
      <c r="O7" s="537"/>
      <c r="P7" s="338"/>
      <c r="Q7" s="338"/>
      <c r="R7" s="338"/>
      <c r="S7" s="338"/>
      <c r="T7" s="338"/>
      <c r="U7" s="338"/>
      <c r="V7" s="338"/>
      <c r="W7" s="338"/>
      <c r="X7" s="338"/>
      <c r="Y7" s="338"/>
      <c r="Z7" s="338"/>
    </row>
    <row r="8" ht="22.5" customHeight="1">
      <c r="A8" s="528" t="str">
        <f>IFERROR(__xludf.DUMMYFUNCTION("""COMPUTED_VALUE"""),"ООО""ФэрельГам""")</f>
        <v>ООО"ФэрельГам"</v>
      </c>
      <c r="B8" s="528"/>
      <c r="C8" s="528" t="str">
        <f>IFERROR(__xludf.DUMMYFUNCTION("""COMPUTED_VALUE"""),"470242 Капуста квашеная с морковью 500 г ГОСТ этик.")</f>
        <v>470242 Капуста квашеная с морковью 500 г ГОСТ этик.</v>
      </c>
      <c r="D8" s="528">
        <f>IFERROR(__xludf.DUMMYFUNCTION("""COMPUTED_VALUE"""),980.0)</f>
        <v>980</v>
      </c>
      <c r="E8" s="528" t="str">
        <f>IFERROR(__xludf.DUMMYFUNCTION("""COMPUTED_VALUE"""),"Баранов Александр")</f>
        <v>Баранов Александр</v>
      </c>
      <c r="F8" s="535" t="str">
        <f>IFERROR(__xludf.DUMMYFUNCTION("""COMPUTED_VALUE"""),"Новая")</f>
        <v>Новая</v>
      </c>
      <c r="G8" s="536"/>
      <c r="H8" s="338" t="str">
        <f>IFERROR(__xludf.DUMMYFUNCTION("""COMPUTED_VALUE"""),"Флексопечать")</f>
        <v>Флексопечать</v>
      </c>
      <c r="I8" s="338" t="str">
        <f>IFERROR(__xludf.DUMMYFUNCTION("""COMPUTED_VALUE"""),"Weigang-450")</f>
        <v>Weigang-450</v>
      </c>
      <c r="J8" s="536">
        <f>IFERROR(__xludf.DUMMYFUNCTION("""COMPUTED_VALUE"""),10000.0)</f>
        <v>10000</v>
      </c>
      <c r="K8" s="537">
        <f>IFERROR(__xludf.DUMMYFUNCTION("""COMPUTED_VALUE"""),46094.0)</f>
        <v>46094</v>
      </c>
      <c r="L8" s="537"/>
      <c r="M8" s="338" t="str">
        <f>IFERROR(__xludf.DUMMYFUNCTION("""COMPUTED_VALUE"""),"Пленка PP белая каучук")</f>
        <v>Пленка PP белая каучук</v>
      </c>
      <c r="N8" s="338" t="str">
        <f>IFERROR(__xludf.DUMMYFUNCTION("""COMPUTED_VALUE"""),"Отгружен")</f>
        <v>Отгружен</v>
      </c>
      <c r="O8" s="537"/>
      <c r="P8" s="338" t="str">
        <f>IFERROR(__xludf.DUMMYFUNCTION("""COMPUTED_VALUE"""),"жду формы")</f>
        <v>жду формы</v>
      </c>
      <c r="Q8" s="338"/>
      <c r="R8" s="338"/>
      <c r="S8" s="338"/>
      <c r="T8" s="338"/>
      <c r="U8" s="338"/>
      <c r="V8" s="338"/>
      <c r="W8" s="338"/>
      <c r="X8" s="338"/>
      <c r="Y8" s="338"/>
      <c r="Z8" s="338"/>
    </row>
    <row r="9" ht="22.5" customHeight="1">
      <c r="A9" s="528" t="str">
        <f>IFERROR(__xludf.DUMMYFUNCTION("""COMPUTED_VALUE"""),"ООО ""ЭНЭРДЖИ ИНТЕРНЭШНЛ""")</f>
        <v>ООО "ЭНЭРДЖИ ИНТЕРНЭШНЛ"</v>
      </c>
      <c r="B9" s="528"/>
      <c r="C9" s="528" t="str">
        <f>IFERROR(__xludf.DUMMYFUNCTION("""COMPUTED_VALUE"""),"Этикетка 110*300 мм ")</f>
        <v>Этикетка 110*300 мм </v>
      </c>
      <c r="D9" s="528"/>
      <c r="E9" s="528" t="str">
        <f>IFERROR(__xludf.DUMMYFUNCTION("""COMPUTED_VALUE"""),"Шаповалов Дмитрий")</f>
        <v>Шаповалов Дмитрий</v>
      </c>
      <c r="F9" s="535" t="str">
        <f>IFERROR(__xludf.DUMMYFUNCTION("""COMPUTED_VALUE"""),"Новая")</f>
        <v>Новая</v>
      </c>
      <c r="G9" s="536"/>
      <c r="H9" s="338" t="str">
        <f>IFERROR(__xludf.DUMMYFUNCTION("""COMPUTED_VALUE"""),"Цифра+Полуротация")</f>
        <v>Цифра+Полуротация</v>
      </c>
      <c r="I9" s="338" t="str">
        <f>IFERROR(__xludf.DUMMYFUNCTION("""COMPUTED_VALUE"""),"Labelsmart(ЦПМ)")</f>
        <v>Labelsmart(ЦПМ)</v>
      </c>
      <c r="J9" s="536">
        <f>IFERROR(__xludf.DUMMYFUNCTION("""COMPUTED_VALUE"""),230.0)</f>
        <v>230</v>
      </c>
      <c r="K9" s="537">
        <f>IFERROR(__xludf.DUMMYFUNCTION("""COMPUTED_VALUE"""),46094.0)</f>
        <v>46094</v>
      </c>
      <c r="L9" s="537"/>
      <c r="M9" s="338" t="str">
        <f>IFERROR(__xludf.DUMMYFUNCTION("""COMPUTED_VALUE"""),"Бумага полуглянец каучук")</f>
        <v>Бумага полуглянец каучук</v>
      </c>
      <c r="N9" s="338" t="str">
        <f>IFERROR(__xludf.DUMMYFUNCTION("""COMPUTED_VALUE"""),"Отгружен")</f>
        <v>Отгружен</v>
      </c>
      <c r="O9" s="537"/>
      <c r="P9" s="338"/>
      <c r="Q9" s="338" t="str">
        <f>IFERROR(__xludf.DUMMYFUNCTION("""COMPUTED_VALUE"""),"г. Москва, Электродный проезд, 6, доставку просит на завтра. контактный номер (+7 926 324 09 83 - Юлия) ")</f>
        <v>г. Москва, Электродный проезд, 6, доставку просит на завтра. контактный номер (+7 926 324 09 83 - Юлия) </v>
      </c>
      <c r="R9" s="338"/>
      <c r="S9" s="338"/>
      <c r="T9" s="338"/>
      <c r="U9" s="338"/>
      <c r="V9" s="338"/>
      <c r="W9" s="338"/>
      <c r="X9" s="338"/>
      <c r="Y9" s="338"/>
      <c r="Z9" s="338"/>
    </row>
    <row r="10" ht="22.5" customHeight="1">
      <c r="A10" s="528" t="str">
        <f>IFERROR(__xludf.DUMMYFUNCTION("""COMPUTED_VALUE"""),"ООО ""Мегапак""")</f>
        <v>ООО "Мегапак"</v>
      </c>
      <c r="B10" s="528"/>
      <c r="C10" s="528" t="str">
        <f>IFERROR(__xludf.DUMMYFUNCTION("""COMPUTED_VALUE"""),"Контейнеры")</f>
        <v>Контейнеры</v>
      </c>
      <c r="D10" s="528" t="str">
        <f>IFERROR(__xludf.DUMMYFUNCTION("""COMPUTED_VALUE"""),"1018/1019/1020/1021")</f>
        <v>1018/1019/1020/1021</v>
      </c>
      <c r="E10" s="528" t="str">
        <f>IFERROR(__xludf.DUMMYFUNCTION("""COMPUTED_VALUE"""),"АртЛайн")</f>
        <v>АртЛайн</v>
      </c>
      <c r="F10" s="535" t="str">
        <f>IFERROR(__xludf.DUMMYFUNCTION("""COMPUTED_VALUE"""),"Новая")</f>
        <v>Новая</v>
      </c>
      <c r="G10" s="536"/>
      <c r="H10" s="338" t="str">
        <f>IFERROR(__xludf.DUMMYFUNCTION("""COMPUTED_VALUE"""),"Флексопечать")</f>
        <v>Флексопечать</v>
      </c>
      <c r="I10" s="338" t="str">
        <f>IFERROR(__xludf.DUMMYFUNCTION("""COMPUTED_VALUE"""),"Weigang-450")</f>
        <v>Weigang-450</v>
      </c>
      <c r="J10" s="536" t="str">
        <f>IFERROR(__xludf.DUMMYFUNCTION("""COMPUTED_VALUE"""),"Все 4 Роля")</f>
        <v>Все 4 Роля</v>
      </c>
      <c r="K10" s="537">
        <f>IFERROR(__xludf.DUMMYFUNCTION("""COMPUTED_VALUE"""),46097.0)</f>
        <v>46097</v>
      </c>
      <c r="L10" s="537">
        <f>IFERROR(__xludf.DUMMYFUNCTION("""COMPUTED_VALUE"""),46104.0)</f>
        <v>46104</v>
      </c>
      <c r="M10" s="338" t="str">
        <f>IFERROR(__xludf.DUMMYFUNCTION("""COMPUTED_VALUE"""),"Давальческий")</f>
        <v>Давальческий</v>
      </c>
      <c r="N10" s="338" t="str">
        <f>IFERROR(__xludf.DUMMYFUNCTION("""COMPUTED_VALUE"""),"Отгружен")</f>
        <v>Отгружен</v>
      </c>
      <c r="O10" s="537"/>
      <c r="P10" s="338"/>
      <c r="Q10" s="338" t="str">
        <f>IFERROR(__xludf.DUMMYFUNCTION("""COMPUTED_VALUE"""),"г. Одинцово, Ул. Маковского, д7, лмк 9, Евгений 8 925 020 95 82")</f>
        <v>г. Одинцово, Ул. Маковского, д7, лмк 9, Евгений 8 925 020 95 82</v>
      </c>
      <c r="R10" s="338"/>
      <c r="S10" s="338"/>
      <c r="T10" s="338"/>
      <c r="U10" s="338"/>
      <c r="V10" s="338"/>
      <c r="W10" s="338"/>
      <c r="X10" s="338"/>
      <c r="Y10" s="338"/>
      <c r="Z10" s="338"/>
    </row>
    <row r="11" ht="22.5" customHeight="1">
      <c r="A11" s="528" t="str">
        <f>IFERROR(__xludf.DUMMYFUNCTION("""COMPUTED_VALUE"""),"ООО ""Дальпромрыба""")</f>
        <v>ООО "Дальпромрыба"</v>
      </c>
      <c r="B11" s="528"/>
      <c r="C11" s="528" t="str">
        <f>IFERROR(__xludf.DUMMYFUNCTION("""COMPUTED_VALUE"""),"Рыбарь ")</f>
        <v>Рыбарь </v>
      </c>
      <c r="D11" s="528"/>
      <c r="E11" s="528" t="str">
        <f>IFERROR(__xludf.DUMMYFUNCTION("""COMPUTED_VALUE"""),"Одинцов Алексей")</f>
        <v>Одинцов Алексей</v>
      </c>
      <c r="F11" s="535" t="str">
        <f>IFERROR(__xludf.DUMMYFUNCTION("""COMPUTED_VALUE"""),"Повтор с изменениями")</f>
        <v>Повтор с изменениями</v>
      </c>
      <c r="G11" s="536"/>
      <c r="H11" s="338" t="str">
        <f>IFERROR(__xludf.DUMMYFUNCTION("""COMPUTED_VALUE"""),"Флексопечать")</f>
        <v>Флексопечать</v>
      </c>
      <c r="I11" s="338" t="str">
        <f>IFERROR(__xludf.DUMMYFUNCTION("""COMPUTED_VALUE"""),"Weigang-450")</f>
        <v>Weigang-450</v>
      </c>
      <c r="J11" s="536">
        <f>IFERROR(__xludf.DUMMYFUNCTION("""COMPUTED_VALUE"""),1500.0)</f>
        <v>1500</v>
      </c>
      <c r="K11" s="537">
        <f>IFERROR(__xludf.DUMMYFUNCTION("""COMPUTED_VALUE"""),46104.0)</f>
        <v>46104</v>
      </c>
      <c r="L11" s="537"/>
      <c r="M11" s="338" t="str">
        <f>IFERROR(__xludf.DUMMYFUNCTION("""COMPUTED_VALUE"""),"Пленка PP белая акрил")</f>
        <v>Пленка PP белая акрил</v>
      </c>
      <c r="N11" s="338" t="str">
        <f>IFERROR(__xludf.DUMMYFUNCTION("""COMPUTED_VALUE"""),"Отгружен")</f>
        <v>Отгружен</v>
      </c>
      <c r="O11" s="537"/>
      <c r="P11" s="338"/>
      <c r="Q11" s="338"/>
      <c r="R11" s="338"/>
      <c r="S11" s="338"/>
      <c r="T11" s="338"/>
      <c r="U11" s="338"/>
      <c r="V11" s="338"/>
      <c r="W11" s="338"/>
      <c r="X11" s="338"/>
      <c r="Y11" s="338"/>
      <c r="Z11" s="338"/>
    </row>
    <row r="12" ht="22.5" customHeight="1">
      <c r="A12" s="528" t="str">
        <f>IFERROR(__xludf.DUMMYFUNCTION("""COMPUTED_VALUE"""),"ООО""ФэрельГам""")</f>
        <v>ООО"ФэрельГам"</v>
      </c>
      <c r="B12" s="528"/>
      <c r="C12" s="528" t="str">
        <f>IFERROR(__xludf.DUMMYFUNCTION("""COMPUTED_VALUE"""),"470757 Капуста квашеная с морковью 700 г Чижик этик.")</f>
        <v>470757 Капуста квашеная с морковью 700 г Чижик этик.</v>
      </c>
      <c r="D12" s="528">
        <f>IFERROR(__xludf.DUMMYFUNCTION("""COMPUTED_VALUE"""),971.0)</f>
        <v>971</v>
      </c>
      <c r="E12" s="528" t="str">
        <f>IFERROR(__xludf.DUMMYFUNCTION("""COMPUTED_VALUE"""),"Баранов Александр")</f>
        <v>Баранов Александр</v>
      </c>
      <c r="F12" s="535" t="str">
        <f>IFERROR(__xludf.DUMMYFUNCTION("""COMPUTED_VALUE"""),"Повтор")</f>
        <v>Повтор</v>
      </c>
      <c r="G12" s="536" t="str">
        <f>IFERROR(__xludf.DUMMYFUNCTION("""COMPUTED_VALUE"""),"d110")</f>
        <v>d110</v>
      </c>
      <c r="H12" s="338" t="str">
        <f>IFERROR(__xludf.DUMMYFUNCTION("""COMPUTED_VALUE"""),"Флексопечать")</f>
        <v>Флексопечать</v>
      </c>
      <c r="I12" s="338" t="str">
        <f>IFERROR(__xludf.DUMMYFUNCTION("""COMPUTED_VALUE"""),"Weigang-450")</f>
        <v>Weigang-450</v>
      </c>
      <c r="J12" s="536" t="str">
        <f>IFERROR(__xludf.DUMMYFUNCTION("""COMPUTED_VALUE"""),"300 000")</f>
        <v>300 000</v>
      </c>
      <c r="K12" s="537">
        <f>IFERROR(__xludf.DUMMYFUNCTION("""COMPUTED_VALUE"""),46097.0)</f>
        <v>46097</v>
      </c>
      <c r="L12" s="537"/>
      <c r="M12" s="338" t="str">
        <f>IFERROR(__xludf.DUMMYFUNCTION("""COMPUTED_VALUE"""),"Пленка PP белая каучук")</f>
        <v>Пленка PP белая каучук</v>
      </c>
      <c r="N12" s="338" t="str">
        <f>IFERROR(__xludf.DUMMYFUNCTION("""COMPUTED_VALUE"""),"Отгружен")</f>
        <v>Отгружен</v>
      </c>
      <c r="O12" s="537"/>
      <c r="P12" s="338"/>
      <c r="Q12" s="338"/>
      <c r="R12" s="338"/>
      <c r="S12" s="338"/>
      <c r="T12" s="338"/>
      <c r="U12" s="338"/>
      <c r="V12" s="338"/>
      <c r="W12" s="338"/>
      <c r="X12" s="338"/>
      <c r="Y12" s="338"/>
      <c r="Z12" s="338"/>
    </row>
    <row r="13" ht="22.5" customHeight="1">
      <c r="A13" s="528" t="str">
        <f>IFERROR(__xludf.DUMMYFUNCTION("""COMPUTED_VALUE"""),"ООО""ФэрельГам""")</f>
        <v>ООО"ФэрельГам"</v>
      </c>
      <c r="B13" s="528"/>
      <c r="C13" s="528" t="str">
        <f>IFERROR(__xludf.DUMMYFUNCTION("""COMPUTED_VALUE"""),"470418 Огурцы соленые 500 г этик.")</f>
        <v>470418 Огурцы соленые 500 г этик.</v>
      </c>
      <c r="D13" s="528">
        <f>IFERROR(__xludf.DUMMYFUNCTION("""COMPUTED_VALUE"""),1008.0)</f>
        <v>1008</v>
      </c>
      <c r="E13" s="528" t="str">
        <f>IFERROR(__xludf.DUMMYFUNCTION("""COMPUTED_VALUE"""),"Баранов Александр")</f>
        <v>Баранов Александр</v>
      </c>
      <c r="F13" s="535" t="str">
        <f>IFERROR(__xludf.DUMMYFUNCTION("""COMPUTED_VALUE"""),"Новая")</f>
        <v>Новая</v>
      </c>
      <c r="G13" s="536" t="str">
        <f>IFERROR(__xludf.DUMMYFUNCTION("""COMPUTED_VALUE"""),"d110")</f>
        <v>d110</v>
      </c>
      <c r="H13" s="338" t="str">
        <f>IFERROR(__xludf.DUMMYFUNCTION("""COMPUTED_VALUE"""),"Флексопечать")</f>
        <v>Флексопечать</v>
      </c>
      <c r="I13" s="338" t="str">
        <f>IFERROR(__xludf.DUMMYFUNCTION("""COMPUTED_VALUE"""),"Weigang-450")</f>
        <v>Weigang-450</v>
      </c>
      <c r="J13" s="536" t="str">
        <f>IFERROR(__xludf.DUMMYFUNCTION("""COMPUTED_VALUE"""),"10 000")</f>
        <v>10 000</v>
      </c>
      <c r="K13" s="537">
        <f>IFERROR(__xludf.DUMMYFUNCTION("""COMPUTED_VALUE"""),46097.0)</f>
        <v>46097</v>
      </c>
      <c r="L13" s="537"/>
      <c r="M13" s="338" t="str">
        <f>IFERROR(__xludf.DUMMYFUNCTION("""COMPUTED_VALUE"""),"Пленка PP белая каучук")</f>
        <v>Пленка PP белая каучук</v>
      </c>
      <c r="N13" s="338" t="str">
        <f>IFERROR(__xludf.DUMMYFUNCTION("""COMPUTED_VALUE"""),"Отгружен")</f>
        <v>Отгружен</v>
      </c>
      <c r="O13" s="537"/>
      <c r="P13" s="338"/>
      <c r="Q13" s="338"/>
      <c r="R13" s="338"/>
      <c r="S13" s="338"/>
      <c r="T13" s="338"/>
      <c r="U13" s="338"/>
      <c r="V13" s="338"/>
      <c r="W13" s="338"/>
      <c r="X13" s="338"/>
      <c r="Y13" s="338"/>
      <c r="Z13" s="338"/>
    </row>
    <row r="14" ht="22.5" customHeight="1">
      <c r="A14" s="528" t="str">
        <f>IFERROR(__xludf.DUMMYFUNCTION("""COMPUTED_VALUE"""),"ООО""ФэрельГам""")</f>
        <v>ООО"ФэрельГам"</v>
      </c>
      <c r="B14" s="528"/>
      <c r="C14" s="528" t="str">
        <f>IFERROR(__xludf.DUMMYFUNCTION("""COMPUTED_VALUE"""),"470137 Капуста квашеная с морковью 500 г (Магнит) этик.")</f>
        <v>470137 Капуста квашеная с морковью 500 г (Магнит) этик.</v>
      </c>
      <c r="D14" s="528">
        <f>IFERROR(__xludf.DUMMYFUNCTION("""COMPUTED_VALUE"""),1010.0)</f>
        <v>1010</v>
      </c>
      <c r="E14" s="528" t="str">
        <f>IFERROR(__xludf.DUMMYFUNCTION("""COMPUTED_VALUE"""),"Баранов Александр")</f>
        <v>Баранов Александр</v>
      </c>
      <c r="F14" s="535" t="str">
        <f>IFERROR(__xludf.DUMMYFUNCTION("""COMPUTED_VALUE"""),"Новая")</f>
        <v>Новая</v>
      </c>
      <c r="G14" s="536" t="str">
        <f>IFERROR(__xludf.DUMMYFUNCTION("""COMPUTED_VALUE"""),"d110")</f>
        <v>d110</v>
      </c>
      <c r="H14" s="338" t="str">
        <f>IFERROR(__xludf.DUMMYFUNCTION("""COMPUTED_VALUE"""),"Флексопечать")</f>
        <v>Флексопечать</v>
      </c>
      <c r="I14" s="338" t="str">
        <f>IFERROR(__xludf.DUMMYFUNCTION("""COMPUTED_VALUE"""),"Weigang-450")</f>
        <v>Weigang-450</v>
      </c>
      <c r="J14" s="536" t="str">
        <f>IFERROR(__xludf.DUMMYFUNCTION("""COMPUTED_VALUE"""),"100 000")</f>
        <v>100 000</v>
      </c>
      <c r="K14" s="537">
        <f>IFERROR(__xludf.DUMMYFUNCTION("""COMPUTED_VALUE"""),46097.0)</f>
        <v>46097</v>
      </c>
      <c r="L14" s="537"/>
      <c r="M14" s="338" t="str">
        <f>IFERROR(__xludf.DUMMYFUNCTION("""COMPUTED_VALUE"""),"Пленка PP белая каучук")</f>
        <v>Пленка PP белая каучук</v>
      </c>
      <c r="N14" s="338" t="str">
        <f>IFERROR(__xludf.DUMMYFUNCTION("""COMPUTED_VALUE"""),"Отгружен")</f>
        <v>Отгружен</v>
      </c>
      <c r="O14" s="537"/>
      <c r="P14" s="338"/>
      <c r="Q14" s="338"/>
      <c r="R14" s="338"/>
      <c r="S14" s="338"/>
      <c r="T14" s="338"/>
      <c r="U14" s="338"/>
      <c r="V14" s="338"/>
      <c r="W14" s="338"/>
      <c r="X14" s="338"/>
      <c r="Y14" s="338"/>
      <c r="Z14" s="338"/>
    </row>
    <row r="15" ht="22.5" customHeight="1">
      <c r="A15" s="528" t="str">
        <f>IFERROR(__xludf.DUMMYFUNCTION("""COMPUTED_VALUE"""),"ООО""ФэрельГам""")</f>
        <v>ООО"ФэрельГам"</v>
      </c>
      <c r="B15" s="528"/>
      <c r="C15" s="528" t="str">
        <f>IFERROR(__xludf.DUMMYFUNCTION("""COMPUTED_VALUE"""),"470634 Хренодер классический 400 г на Бутылку (Магнит) этик.")</f>
        <v>470634 Хренодер классический 400 г на Бутылку (Магнит) этик.</v>
      </c>
      <c r="D15" s="528">
        <f>IFERROR(__xludf.DUMMYFUNCTION("""COMPUTED_VALUE"""),1011.0)</f>
        <v>1011</v>
      </c>
      <c r="E15" s="528" t="str">
        <f>IFERROR(__xludf.DUMMYFUNCTION("""COMPUTED_VALUE"""),"Баранов Александр")</f>
        <v>Баранов Александр</v>
      </c>
      <c r="F15" s="535" t="str">
        <f>IFERROR(__xludf.DUMMYFUNCTION("""COMPUTED_VALUE"""),"Новая")</f>
        <v>Новая</v>
      </c>
      <c r="G15" s="536" t="str">
        <f>IFERROR(__xludf.DUMMYFUNCTION("""COMPUTED_VALUE"""),"65*180")</f>
        <v>65*180</v>
      </c>
      <c r="H15" s="338" t="str">
        <f>IFERROR(__xludf.DUMMYFUNCTION("""COMPUTED_VALUE"""),"Флексопечать")</f>
        <v>Флексопечать</v>
      </c>
      <c r="I15" s="338" t="str">
        <f>IFERROR(__xludf.DUMMYFUNCTION("""COMPUTED_VALUE"""),"Weigang-450")</f>
        <v>Weigang-450</v>
      </c>
      <c r="J15" s="536" t="str">
        <f>IFERROR(__xludf.DUMMYFUNCTION("""COMPUTED_VALUE"""),"60 000")</f>
        <v>60 000</v>
      </c>
      <c r="K15" s="537">
        <f>IFERROR(__xludf.DUMMYFUNCTION("""COMPUTED_VALUE"""),46097.0)</f>
        <v>46097</v>
      </c>
      <c r="L15" s="537"/>
      <c r="M15" s="338" t="str">
        <f>IFERROR(__xludf.DUMMYFUNCTION("""COMPUTED_VALUE"""),"Пленка PP белая каучук")</f>
        <v>Пленка PP белая каучук</v>
      </c>
      <c r="N15" s="338" t="str">
        <f>IFERROR(__xludf.DUMMYFUNCTION("""COMPUTED_VALUE"""),"Отгружен")</f>
        <v>Отгружен</v>
      </c>
      <c r="O15" s="537"/>
      <c r="P15" s="338"/>
      <c r="Q15" s="338"/>
      <c r="R15" s="338"/>
      <c r="S15" s="338"/>
      <c r="T15" s="338"/>
      <c r="U15" s="338"/>
      <c r="V15" s="338"/>
      <c r="W15" s="338"/>
      <c r="X15" s="338"/>
      <c r="Y15" s="338"/>
      <c r="Z15" s="338"/>
    </row>
    <row r="16" ht="22.5" customHeight="1">
      <c r="A16" s="528" t="str">
        <f>IFERROR(__xludf.DUMMYFUNCTION("""COMPUTED_VALUE"""),"ООО""ФэрельГам""")</f>
        <v>ООО"ФэрельГам"</v>
      </c>
      <c r="B16" s="528"/>
      <c r="C16" s="528" t="str">
        <f>IFERROR(__xludf.DUMMYFUNCTION("""COMPUTED_VALUE"""),"470259 Капуста с морковью по-корейски 300 г (Магнит) этик.")</f>
        <v>470259 Капуста с морковью по-корейски 300 г (Магнит) этик.</v>
      </c>
      <c r="D16" s="528">
        <f>IFERROR(__xludf.DUMMYFUNCTION("""COMPUTED_VALUE"""),1007.0)</f>
        <v>1007</v>
      </c>
      <c r="E16" s="528" t="str">
        <f>IFERROR(__xludf.DUMMYFUNCTION("""COMPUTED_VALUE"""),"Баранов Александр")</f>
        <v>Баранов Александр</v>
      </c>
      <c r="F16" s="535" t="str">
        <f>IFERROR(__xludf.DUMMYFUNCTION("""COMPUTED_VALUE"""),"Новая")</f>
        <v>Новая</v>
      </c>
      <c r="G16" s="536" t="str">
        <f>IFERROR(__xludf.DUMMYFUNCTION("""COMPUTED_VALUE"""),"d110")</f>
        <v>d110</v>
      </c>
      <c r="H16" s="338" t="str">
        <f>IFERROR(__xludf.DUMMYFUNCTION("""COMPUTED_VALUE"""),"Флексопечать")</f>
        <v>Флексопечать</v>
      </c>
      <c r="I16" s="338" t="str">
        <f>IFERROR(__xludf.DUMMYFUNCTION("""COMPUTED_VALUE"""),"Weigang-450")</f>
        <v>Weigang-450</v>
      </c>
      <c r="J16" s="536" t="str">
        <f>IFERROR(__xludf.DUMMYFUNCTION("""COMPUTED_VALUE"""),"50 000")</f>
        <v>50 000</v>
      </c>
      <c r="K16" s="537">
        <f>IFERROR(__xludf.DUMMYFUNCTION("""COMPUTED_VALUE"""),46097.0)</f>
        <v>46097</v>
      </c>
      <c r="L16" s="537"/>
      <c r="M16" s="338" t="str">
        <f>IFERROR(__xludf.DUMMYFUNCTION("""COMPUTED_VALUE"""),"Пленка PP белая каучук")</f>
        <v>Пленка PP белая каучук</v>
      </c>
      <c r="N16" s="338" t="str">
        <f>IFERROR(__xludf.DUMMYFUNCTION("""COMPUTED_VALUE"""),"Отгружен")</f>
        <v>Отгружен</v>
      </c>
      <c r="O16" s="537"/>
      <c r="P16" s="338"/>
      <c r="Q16" s="338"/>
      <c r="R16" s="338"/>
      <c r="S16" s="338"/>
      <c r="T16" s="338"/>
      <c r="U16" s="338"/>
      <c r="V16" s="338"/>
      <c r="W16" s="338"/>
      <c r="X16" s="338"/>
      <c r="Y16" s="338"/>
      <c r="Z16" s="338"/>
    </row>
    <row r="17" ht="22.5" customHeight="1">
      <c r="A17" s="528" t="str">
        <f>IFERROR(__xludf.DUMMYFUNCTION("""COMPUTED_VALUE"""),"ООО""ФэрельГам""")</f>
        <v>ООО"ФэрельГам"</v>
      </c>
      <c r="B17" s="528"/>
      <c r="C17" s="528" t="str">
        <f>IFERROR(__xludf.DUMMYFUNCTION("""COMPUTED_VALUE"""),"450352 Огурцы соленые 1000 г (МЕТРО CHEF) этик.")</f>
        <v>450352 Огурцы соленые 1000 г (МЕТРО CHEF) этик.</v>
      </c>
      <c r="D17" s="528">
        <f>IFERROR(__xludf.DUMMYFUNCTION("""COMPUTED_VALUE"""),1009.0)</f>
        <v>1009</v>
      </c>
      <c r="E17" s="528" t="str">
        <f>IFERROR(__xludf.DUMMYFUNCTION("""COMPUTED_VALUE"""),"Баранов Александр")</f>
        <v>Баранов Александр</v>
      </c>
      <c r="F17" s="535" t="str">
        <f>IFERROR(__xludf.DUMMYFUNCTION("""COMPUTED_VALUE"""),"Новая")</f>
        <v>Новая</v>
      </c>
      <c r="G17" s="536" t="str">
        <f>IFERROR(__xludf.DUMMYFUNCTION("""COMPUTED_VALUE"""),"d110")</f>
        <v>d110</v>
      </c>
      <c r="H17" s="338" t="str">
        <f>IFERROR(__xludf.DUMMYFUNCTION("""COMPUTED_VALUE"""),"Флексопечать")</f>
        <v>Флексопечать</v>
      </c>
      <c r="I17" s="338" t="str">
        <f>IFERROR(__xludf.DUMMYFUNCTION("""COMPUTED_VALUE"""),"Weigang-450")</f>
        <v>Weigang-450</v>
      </c>
      <c r="J17" s="536" t="str">
        <f>IFERROR(__xludf.DUMMYFUNCTION("""COMPUTED_VALUE"""),"10 000")</f>
        <v>10 000</v>
      </c>
      <c r="K17" s="537">
        <f>IFERROR(__xludf.DUMMYFUNCTION("""COMPUTED_VALUE"""),46097.0)</f>
        <v>46097</v>
      </c>
      <c r="L17" s="537"/>
      <c r="M17" s="338" t="str">
        <f>IFERROR(__xludf.DUMMYFUNCTION("""COMPUTED_VALUE"""),"Пленка PP белая каучук")</f>
        <v>Пленка PP белая каучук</v>
      </c>
      <c r="N17" s="338" t="str">
        <f>IFERROR(__xludf.DUMMYFUNCTION("""COMPUTED_VALUE"""),"Отгружен")</f>
        <v>Отгружен</v>
      </c>
      <c r="O17" s="537"/>
      <c r="P17" s="338"/>
      <c r="Q17" s="338"/>
      <c r="R17" s="338"/>
      <c r="S17" s="338"/>
      <c r="T17" s="338"/>
      <c r="U17" s="338"/>
      <c r="V17" s="338"/>
      <c r="W17" s="338"/>
      <c r="X17" s="338"/>
      <c r="Y17" s="338"/>
      <c r="Z17" s="338"/>
    </row>
    <row r="18" ht="22.5" customHeight="1">
      <c r="A18" s="528" t="str">
        <f>IFERROR(__xludf.DUMMYFUNCTION("""COMPUTED_VALUE"""),"ООО""ФэрельГам""")</f>
        <v>ООО"ФэрельГам"</v>
      </c>
      <c r="B18" s="528"/>
      <c r="C18" s="528" t="str">
        <f>IFERROR(__xludf.DUMMYFUNCTION("""COMPUTED_VALUE"""),"470042 Виноградные листья соленые 1000 г этик.")</f>
        <v>470042 Виноградные листья соленые 1000 г этик.</v>
      </c>
      <c r="D18" s="528">
        <f>IFERROR(__xludf.DUMMYFUNCTION("""COMPUTED_VALUE"""),1086.0)</f>
        <v>1086</v>
      </c>
      <c r="E18" s="528" t="str">
        <f>IFERROR(__xludf.DUMMYFUNCTION("""COMPUTED_VALUE"""),"Баранов Александр")</f>
        <v>Баранов Александр</v>
      </c>
      <c r="F18" s="535" t="str">
        <f>IFERROR(__xludf.DUMMYFUNCTION("""COMPUTED_VALUE"""),"Новая")</f>
        <v>Новая</v>
      </c>
      <c r="G18" s="536" t="str">
        <f>IFERROR(__xludf.DUMMYFUNCTION("""COMPUTED_VALUE"""),"d110")</f>
        <v>d110</v>
      </c>
      <c r="H18" s="338" t="str">
        <f>IFERROR(__xludf.DUMMYFUNCTION("""COMPUTED_VALUE"""),"Флексопечать")</f>
        <v>Флексопечать</v>
      </c>
      <c r="I18" s="338" t="str">
        <f>IFERROR(__xludf.DUMMYFUNCTION("""COMPUTED_VALUE"""),"Weigang-450")</f>
        <v>Weigang-450</v>
      </c>
      <c r="J18" s="536">
        <f>IFERROR(__xludf.DUMMYFUNCTION("""COMPUTED_VALUE"""),10000.0)</f>
        <v>10000</v>
      </c>
      <c r="K18" s="537">
        <f>IFERROR(__xludf.DUMMYFUNCTION("""COMPUTED_VALUE"""),46098.0)</f>
        <v>46098</v>
      </c>
      <c r="L18" s="537"/>
      <c r="M18" s="338" t="str">
        <f>IFERROR(__xludf.DUMMYFUNCTION("""COMPUTED_VALUE"""),"Пленка PP белая каучук")</f>
        <v>Пленка PP белая каучук</v>
      </c>
      <c r="N18" s="338" t="str">
        <f>IFERROR(__xludf.DUMMYFUNCTION("""COMPUTED_VALUE"""),"Отгружен")</f>
        <v>Отгружен</v>
      </c>
      <c r="O18" s="537"/>
      <c r="P18" s="338" t="str">
        <f>IFERROR(__xludf.DUMMYFUNCTION("""COMPUTED_VALUE"""),"напечатан")</f>
        <v>напечатан</v>
      </c>
      <c r="Q18" s="338"/>
      <c r="R18" s="338"/>
      <c r="S18" s="338"/>
      <c r="T18" s="338"/>
      <c r="U18" s="338"/>
      <c r="V18" s="338"/>
      <c r="W18" s="338"/>
      <c r="X18" s="338"/>
      <c r="Y18" s="338"/>
      <c r="Z18" s="338"/>
    </row>
    <row r="19" ht="22.5" customHeight="1">
      <c r="A19" s="528" t="str">
        <f>IFERROR(__xludf.DUMMYFUNCTION("""COMPUTED_VALUE"""),"ООО""ФэрельГам""")</f>
        <v>ООО"ФэрельГам"</v>
      </c>
      <c r="B19" s="528"/>
      <c r="C19" s="528" t="str">
        <f>IFERROR(__xludf.DUMMYFUNCTION("""COMPUTED_VALUE"""),"470744 Чизолини Чечил копченый ""Соломка"" этик.")</f>
        <v>470744 Чизолини Чечил копченый "Соломка" этик.</v>
      </c>
      <c r="D19" s="528">
        <f>IFERROR(__xludf.DUMMYFUNCTION("""COMPUTED_VALUE"""),1085.0)</f>
        <v>1085</v>
      </c>
      <c r="E19" s="528" t="str">
        <f>IFERROR(__xludf.DUMMYFUNCTION("""COMPUTED_VALUE"""),"Баранов Александр")</f>
        <v>Баранов Александр</v>
      </c>
      <c r="F19" s="535" t="str">
        <f>IFERROR(__xludf.DUMMYFUNCTION("""COMPUTED_VALUE"""),"Новая")</f>
        <v>Новая</v>
      </c>
      <c r="G19" s="536" t="str">
        <f>IFERROR(__xludf.DUMMYFUNCTION("""COMPUTED_VALUE"""),"55х75")</f>
        <v>55х75</v>
      </c>
      <c r="H19" s="338" t="str">
        <f>IFERROR(__xludf.DUMMYFUNCTION("""COMPUTED_VALUE"""),"Флексопечать")</f>
        <v>Флексопечать</v>
      </c>
      <c r="I19" s="338" t="str">
        <f>IFERROR(__xludf.DUMMYFUNCTION("""COMPUTED_VALUE"""),"Weigang-450")</f>
        <v>Weigang-450</v>
      </c>
      <c r="J19" s="536" t="str">
        <f>IFERROR(__xludf.DUMMYFUNCTION("""COMPUTED_VALUE"""),"100 000")</f>
        <v>100 000</v>
      </c>
      <c r="K19" s="537">
        <f>IFERROR(__xludf.DUMMYFUNCTION("""COMPUTED_VALUE"""),46097.0)</f>
        <v>46097</v>
      </c>
      <c r="L19" s="537"/>
      <c r="M19" s="338" t="str">
        <f>IFERROR(__xludf.DUMMYFUNCTION("""COMPUTED_VALUE"""),"Пленка PP белая каучук")</f>
        <v>Пленка PP белая каучук</v>
      </c>
      <c r="N19" s="338" t="str">
        <f>IFERROR(__xludf.DUMMYFUNCTION("""COMPUTED_VALUE"""),"Отгружен")</f>
        <v>Отгружен</v>
      </c>
      <c r="O19" s="537"/>
      <c r="P19" s="338" t="str">
        <f>IFERROR(__xludf.DUMMYFUNCTION("""COMPUTED_VALUE"""),"напечатан")</f>
        <v>напечатан</v>
      </c>
      <c r="Q19" s="338" t="str">
        <f>IFERROR(__xludf.DUMMYFUNCTION("""COMPUTED_VALUE"""),"ТД ФЭРЕЛЬГАМ")</f>
        <v>ТД ФЭРЕЛЬГАМ</v>
      </c>
      <c r="R19" s="338"/>
      <c r="S19" s="338"/>
      <c r="T19" s="338"/>
      <c r="U19" s="338"/>
      <c r="V19" s="338"/>
      <c r="W19" s="338"/>
      <c r="X19" s="338"/>
      <c r="Y19" s="338"/>
      <c r="Z19" s="338"/>
    </row>
    <row r="20" ht="22.5" customHeight="1">
      <c r="A20" s="528" t="str">
        <f>IFERROR(__xludf.DUMMYFUNCTION("""COMPUTED_VALUE"""),"ООО""ФэрельГам""")</f>
        <v>ООО"ФэрельГам"</v>
      </c>
      <c r="B20" s="528"/>
      <c r="C20" s="528" t="str">
        <f>IFERROR(__xludf.DUMMYFUNCTION("""COMPUTED_VALUE"""),"470773 Капуста квашеная 0,9 кг ""Ашан"" Каждый День этик.")</f>
        <v>470773 Капуста квашеная 0,9 кг "Ашан" Каждый День этик.</v>
      </c>
      <c r="D20" s="528">
        <f>IFERROR(__xludf.DUMMYFUNCTION("""COMPUTED_VALUE"""),1087.0)</f>
        <v>1087</v>
      </c>
      <c r="E20" s="528" t="str">
        <f>IFERROR(__xludf.DUMMYFUNCTION("""COMPUTED_VALUE"""),"Баранов Александр")</f>
        <v>Баранов Александр</v>
      </c>
      <c r="F20" s="535" t="str">
        <f>IFERROR(__xludf.DUMMYFUNCTION("""COMPUTED_VALUE"""),"Новая")</f>
        <v>Новая</v>
      </c>
      <c r="G20" s="536" t="str">
        <f>IFERROR(__xludf.DUMMYFUNCTION("""COMPUTED_VALUE"""),"d110")</f>
        <v>d110</v>
      </c>
      <c r="H20" s="338" t="str">
        <f>IFERROR(__xludf.DUMMYFUNCTION("""COMPUTED_VALUE"""),"Флексопечать")</f>
        <v>Флексопечать</v>
      </c>
      <c r="I20" s="338" t="str">
        <f>IFERROR(__xludf.DUMMYFUNCTION("""COMPUTED_VALUE"""),"Weigang-450")</f>
        <v>Weigang-450</v>
      </c>
      <c r="J20" s="536">
        <f>IFERROR(__xludf.DUMMYFUNCTION("""COMPUTED_VALUE"""),10000.0)</f>
        <v>10000</v>
      </c>
      <c r="K20" s="537">
        <f>IFERROR(__xludf.DUMMYFUNCTION("""COMPUTED_VALUE"""),46098.0)</f>
        <v>46098</v>
      </c>
      <c r="L20" s="537"/>
      <c r="M20" s="338" t="str">
        <f>IFERROR(__xludf.DUMMYFUNCTION("""COMPUTED_VALUE"""),"Пленка PP белая каучук")</f>
        <v>Пленка PP белая каучук</v>
      </c>
      <c r="N20" s="338" t="str">
        <f>IFERROR(__xludf.DUMMYFUNCTION("""COMPUTED_VALUE"""),"Отгружен")</f>
        <v>Отгружен</v>
      </c>
      <c r="O20" s="537"/>
      <c r="P20" s="338" t="str">
        <f>IFERROR(__xludf.DUMMYFUNCTION("""COMPUTED_VALUE"""),"напечатан")</f>
        <v>напечатан</v>
      </c>
      <c r="Q20" s="338"/>
      <c r="R20" s="338"/>
      <c r="S20" s="338"/>
      <c r="T20" s="338"/>
      <c r="U20" s="338"/>
      <c r="V20" s="338"/>
      <c r="W20" s="338"/>
      <c r="X20" s="338"/>
      <c r="Y20" s="338"/>
      <c r="Z20" s="338"/>
    </row>
    <row r="21" ht="22.5" customHeight="1">
      <c r="A21" s="528" t="str">
        <f>IFERROR(__xludf.DUMMYFUNCTION("""COMPUTED_VALUE"""),"ОЗОН ")</f>
        <v>ОЗОН </v>
      </c>
      <c r="B21" s="528"/>
      <c r="C21" s="528" t="str">
        <f>IFERROR(__xludf.DUMMYFUNCTION("""COMPUTED_VALUE"""),"Стикер пантон Р2645С")</f>
        <v>Стикер пантон Р2645С</v>
      </c>
      <c r="D21" s="528">
        <f>IFERROR(__xludf.DUMMYFUNCTION("""COMPUTED_VALUE"""),1224.0)</f>
        <v>1224</v>
      </c>
      <c r="E21" s="528" t="str">
        <f>IFERROR(__xludf.DUMMYFUNCTION("""COMPUTED_VALUE"""),"Римма Лукина")</f>
        <v>Римма Лукина</v>
      </c>
      <c r="F21" s="535" t="str">
        <f>IFERROR(__xludf.DUMMYFUNCTION("""COMPUTED_VALUE"""),"ТЕСТ")</f>
        <v>ТЕСТ</v>
      </c>
      <c r="G21" s="536" t="str">
        <f>IFERROR(__xludf.DUMMYFUNCTION("""COMPUTED_VALUE"""),"D 70")</f>
        <v>D 70</v>
      </c>
      <c r="H21" s="338" t="str">
        <f>IFERROR(__xludf.DUMMYFUNCTION("""COMPUTED_VALUE"""),"Флексопечать")</f>
        <v>Флексопечать</v>
      </c>
      <c r="I21" s="338" t="str">
        <f>IFERROR(__xludf.DUMMYFUNCTION("""COMPUTED_VALUE"""),"Bg-330")</f>
        <v>Bg-330</v>
      </c>
      <c r="J21" s="536">
        <f>IFERROR(__xludf.DUMMYFUNCTION("""COMPUTED_VALUE"""),20.0)</f>
        <v>20</v>
      </c>
      <c r="K21" s="537">
        <f>IFERROR(__xludf.DUMMYFUNCTION("""COMPUTED_VALUE"""),46107.0)</f>
        <v>46107</v>
      </c>
      <c r="L21" s="537"/>
      <c r="M21" s="338" t="str">
        <f>IFERROR(__xludf.DUMMYFUNCTION("""COMPUTED_VALUE"""),"Бумага полуглянец акрил")</f>
        <v>Бумага полуглянец акрил</v>
      </c>
      <c r="N21" s="338" t="str">
        <f>IFERROR(__xludf.DUMMYFUNCTION("""COMPUTED_VALUE"""),"Отгружен")</f>
        <v>Отгружен</v>
      </c>
      <c r="O21" s="537"/>
      <c r="P21" s="338" t="str">
        <f>IFERROR(__xludf.DUMMYFUNCTION("""COMPUTED_VALUE"""),"печатаем с формой от зеленого стикера ")</f>
        <v>печатаем с формой от зеленого стикера </v>
      </c>
      <c r="Q21" s="338"/>
      <c r="R21" s="338"/>
      <c r="S21" s="338"/>
      <c r="T21" s="338"/>
      <c r="U21" s="338"/>
      <c r="V21" s="338"/>
      <c r="W21" s="338"/>
      <c r="X21" s="338"/>
      <c r="Y21" s="338"/>
      <c r="Z21" s="338"/>
    </row>
    <row r="22" ht="22.5" customHeight="1">
      <c r="A22" s="528" t="str">
        <f>IFERROR(__xludf.DUMMYFUNCTION("""COMPUTED_VALUE"""),"ИП Булат М.В.")</f>
        <v>ИП Булат М.В.</v>
      </c>
      <c r="B22" s="528"/>
      <c r="C22" s="528" t="str">
        <f>IFERROR(__xludf.DUMMYFUNCTION("""COMPUTED_VALUE"""),"Вода питьевая АХСУ АКВА 5 л. 105х148")</f>
        <v>Вода питьевая АХСУ АКВА 5 л. 105х148</v>
      </c>
      <c r="D22" s="528">
        <f>IFERROR(__xludf.DUMMYFUNCTION("""COMPUTED_VALUE"""),1458.0)</f>
        <v>1458</v>
      </c>
      <c r="E22" s="528" t="str">
        <f>IFERROR(__xludf.DUMMYFUNCTION("""COMPUTED_VALUE"""),"Шаповалов Дмитрий")</f>
        <v>Шаповалов Дмитрий</v>
      </c>
      <c r="F22" s="535" t="str">
        <f>IFERROR(__xludf.DUMMYFUNCTION("""COMPUTED_VALUE"""),"Новая")</f>
        <v>Новая</v>
      </c>
      <c r="G22" s="536" t="str">
        <f>IFERROR(__xludf.DUMMYFUNCTION("""COMPUTED_VALUE"""),"105х148")</f>
        <v>105х148</v>
      </c>
      <c r="H22" s="338" t="str">
        <f>IFERROR(__xludf.DUMMYFUNCTION("""COMPUTED_VALUE"""),"Цифра+Полуротация")</f>
        <v>Цифра+Полуротация</v>
      </c>
      <c r="I22" s="338" t="str">
        <f>IFERROR(__xludf.DUMMYFUNCTION("""COMPUTED_VALUE"""),"Labelsmart(ЦПМ)")</f>
        <v>Labelsmart(ЦПМ)</v>
      </c>
      <c r="J22" s="536">
        <f>IFERROR(__xludf.DUMMYFUNCTION("""COMPUTED_VALUE"""),2000.0)</f>
        <v>2000</v>
      </c>
      <c r="K22" s="537">
        <f>IFERROR(__xludf.DUMMYFUNCTION("""COMPUTED_VALUE"""),46100.0)</f>
        <v>46100</v>
      </c>
      <c r="L22" s="537"/>
      <c r="M22" s="338" t="str">
        <f>IFERROR(__xludf.DUMMYFUNCTION("""COMPUTED_VALUE"""),"Пленка PP белая каучук")</f>
        <v>Пленка PP белая каучук</v>
      </c>
      <c r="N22" s="338" t="str">
        <f>IFERROR(__xludf.DUMMYFUNCTION("""COMPUTED_VALUE"""),"Отгружен")</f>
        <v>Отгружен</v>
      </c>
      <c r="O22" s="537"/>
      <c r="P22" s="338" t="str">
        <f>IFERROR(__xludf.DUMMYFUNCTION("""COMPUTED_VALUE"""),"Бланк подписанный, ДЕНЬГИ ПОСТУПИЛИ")</f>
        <v>Бланк подписанный, ДЕНЬГИ ПОСТУПИЛИ</v>
      </c>
      <c r="Q22" s="338" t="str">
        <f>IFERROR(__xludf.DUMMYFUNCTION("""COMPUTED_VALUE"""),"Зеленоград корпус 834б, 8 965 422-84-84")</f>
        <v>Зеленоград корпус 834б, 8 965 422-84-84</v>
      </c>
      <c r="R22" s="338"/>
      <c r="S22" s="338"/>
      <c r="T22" s="338"/>
      <c r="U22" s="338"/>
      <c r="V22" s="338"/>
      <c r="W22" s="338"/>
      <c r="X22" s="338"/>
      <c r="Y22" s="338"/>
      <c r="Z22" s="338"/>
    </row>
    <row r="23" ht="22.5" customHeight="1">
      <c r="A23" s="528" t="str">
        <f>IFERROR(__xludf.DUMMYFUNCTION("""COMPUTED_VALUE"""),"ООО""ФэрельГам""")</f>
        <v>ООО"ФэрельГам"</v>
      </c>
      <c r="B23" s="528"/>
      <c r="C23" s="528" t="str">
        <f>IFERROR(__xludf.DUMMYFUNCTION("""COMPUTED_VALUE"""),"470596 Томаты соленые зеленые 1000 г этик.")</f>
        <v>470596 Томаты соленые зеленые 1000 г этик.</v>
      </c>
      <c r="D23" s="528">
        <f>IFERROR(__xludf.DUMMYFUNCTION("""COMPUTED_VALUE"""),1168.0)</f>
        <v>1168</v>
      </c>
      <c r="E23" s="528" t="str">
        <f>IFERROR(__xludf.DUMMYFUNCTION("""COMPUTED_VALUE"""),"Баранов Александр")</f>
        <v>Баранов Александр</v>
      </c>
      <c r="F23" s="535" t="str">
        <f>IFERROR(__xludf.DUMMYFUNCTION("""COMPUTED_VALUE"""),"Новая")</f>
        <v>Новая</v>
      </c>
      <c r="G23" s="536" t="str">
        <f>IFERROR(__xludf.DUMMYFUNCTION("""COMPUTED_VALUE"""),"d110")</f>
        <v>d110</v>
      </c>
      <c r="H23" s="338" t="str">
        <f>IFERROR(__xludf.DUMMYFUNCTION("""COMPUTED_VALUE"""),"Флексопечать")</f>
        <v>Флексопечать</v>
      </c>
      <c r="I23" s="338" t="str">
        <f>IFERROR(__xludf.DUMMYFUNCTION("""COMPUTED_VALUE"""),"Weigang-450")</f>
        <v>Weigang-450</v>
      </c>
      <c r="J23" s="536">
        <f>IFERROR(__xludf.DUMMYFUNCTION("""COMPUTED_VALUE"""),10000.0)</f>
        <v>10000</v>
      </c>
      <c r="K23" s="537">
        <f>IFERROR(__xludf.DUMMYFUNCTION("""COMPUTED_VALUE"""),46100.0)</f>
        <v>46100</v>
      </c>
      <c r="L23" s="537"/>
      <c r="M23" s="338" t="str">
        <f>IFERROR(__xludf.DUMMYFUNCTION("""COMPUTED_VALUE"""),"Пленка PP белая акрил")</f>
        <v>Пленка PP белая акрил</v>
      </c>
      <c r="N23" s="338" t="str">
        <f>IFERROR(__xludf.DUMMYFUNCTION("""COMPUTED_VALUE"""),"Отгружен")</f>
        <v>Отгружен</v>
      </c>
      <c r="O23" s="537"/>
      <c r="P23" s="338"/>
      <c r="Q23" s="338"/>
      <c r="R23" s="338"/>
      <c r="S23" s="338"/>
      <c r="T23" s="338"/>
      <c r="U23" s="338"/>
      <c r="V23" s="338"/>
      <c r="W23" s="338"/>
      <c r="X23" s="338"/>
      <c r="Y23" s="338"/>
      <c r="Z23" s="338"/>
    </row>
    <row r="24" ht="22.5" customHeight="1">
      <c r="A24" s="528" t="str">
        <f>IFERROR(__xludf.DUMMYFUNCTION("""COMPUTED_VALUE"""),"ООО""ФэрельГам""")</f>
        <v>ООО"ФэрельГам"</v>
      </c>
      <c r="B24" s="528"/>
      <c r="C24" s="528" t="str">
        <f>IFERROR(__xludf.DUMMYFUNCTION("""COMPUTED_VALUE"""),"471015 Капуста квашеная с морковью и хреном 350 г (Семейные секреты) этик.")</f>
        <v>471015 Капуста квашеная с морковью и хреном 350 г (Семейные секреты) этик.</v>
      </c>
      <c r="D24" s="528">
        <f>IFERROR(__xludf.DUMMYFUNCTION("""COMPUTED_VALUE"""),1161.0)</f>
        <v>1161</v>
      </c>
      <c r="E24" s="528" t="str">
        <f>IFERROR(__xludf.DUMMYFUNCTION("""COMPUTED_VALUE"""),"Баранов Александр")</f>
        <v>Баранов Александр</v>
      </c>
      <c r="F24" s="535" t="str">
        <f>IFERROR(__xludf.DUMMYFUNCTION("""COMPUTED_VALUE"""),"Новая")</f>
        <v>Новая</v>
      </c>
      <c r="G24" s="536" t="str">
        <f>IFERROR(__xludf.DUMMYFUNCTION("""COMPUTED_VALUE"""),"d110")</f>
        <v>d110</v>
      </c>
      <c r="H24" s="338" t="str">
        <f>IFERROR(__xludf.DUMMYFUNCTION("""COMPUTED_VALUE"""),"Флексопечать")</f>
        <v>Флексопечать</v>
      </c>
      <c r="I24" s="338" t="str">
        <f>IFERROR(__xludf.DUMMYFUNCTION("""COMPUTED_VALUE"""),"Weigang-450")</f>
        <v>Weigang-450</v>
      </c>
      <c r="J24" s="536">
        <f>IFERROR(__xludf.DUMMYFUNCTION("""COMPUTED_VALUE"""),150000.0)</f>
        <v>150000</v>
      </c>
      <c r="K24" s="537">
        <f>IFERROR(__xludf.DUMMYFUNCTION("""COMPUTED_VALUE"""),46101.0)</f>
        <v>46101</v>
      </c>
      <c r="L24" s="537"/>
      <c r="M24" s="338" t="str">
        <f>IFERROR(__xludf.DUMMYFUNCTION("""COMPUTED_VALUE"""),"Пленка PP белая каучук")</f>
        <v>Пленка PP белая каучук</v>
      </c>
      <c r="N24" s="338" t="str">
        <f>IFERROR(__xludf.DUMMYFUNCTION("""COMPUTED_VALUE"""),"Отгружен")</f>
        <v>Отгружен</v>
      </c>
      <c r="O24" s="537"/>
      <c r="P24" s="338"/>
      <c r="Q24" s="338"/>
      <c r="R24" s="338"/>
      <c r="S24" s="338"/>
      <c r="T24" s="338"/>
      <c r="U24" s="338"/>
      <c r="V24" s="338"/>
      <c r="W24" s="338"/>
      <c r="X24" s="338"/>
      <c r="Y24" s="338"/>
      <c r="Z24" s="338"/>
    </row>
    <row r="25" ht="22.5" customHeight="1">
      <c r="A25" s="528" t="str">
        <f>IFERROR(__xludf.DUMMYFUNCTION("""COMPUTED_VALUE"""),"ООО""ФэрельГам""")</f>
        <v>ООО"ФэрельГам"</v>
      </c>
      <c r="B25" s="528"/>
      <c r="C25" s="528" t="str">
        <f>IFERROR(__xludf.DUMMYFUNCTION("""COMPUTED_VALUE""")," 470785 Капуста квашеная с хреном 500 г (Global village) этик.")</f>
        <v> 470785 Капуста квашеная с хреном 500 г (Global village) этик.</v>
      </c>
      <c r="D25" s="528">
        <f>IFERROR(__xludf.DUMMYFUNCTION("""COMPUTED_VALUE"""),1164.0)</f>
        <v>1164</v>
      </c>
      <c r="E25" s="528" t="str">
        <f>IFERROR(__xludf.DUMMYFUNCTION("""COMPUTED_VALUE"""),"Баранов Александр")</f>
        <v>Баранов Александр</v>
      </c>
      <c r="F25" s="535" t="str">
        <f>IFERROR(__xludf.DUMMYFUNCTION("""COMPUTED_VALUE"""),"Новая")</f>
        <v>Новая</v>
      </c>
      <c r="G25" s="536" t="str">
        <f>IFERROR(__xludf.DUMMYFUNCTION("""COMPUTED_VALUE"""),"d99/100")</f>
        <v>d99/100</v>
      </c>
      <c r="H25" s="338" t="str">
        <f>IFERROR(__xludf.DUMMYFUNCTION("""COMPUTED_VALUE"""),"Флексопечать")</f>
        <v>Флексопечать</v>
      </c>
      <c r="I25" s="338" t="str">
        <f>IFERROR(__xludf.DUMMYFUNCTION("""COMPUTED_VALUE"""),"Weigang-450")</f>
        <v>Weigang-450</v>
      </c>
      <c r="J25" s="536">
        <f>IFERROR(__xludf.DUMMYFUNCTION("""COMPUTED_VALUE"""),150000.0)</f>
        <v>150000</v>
      </c>
      <c r="K25" s="537">
        <f>IFERROR(__xludf.DUMMYFUNCTION("""COMPUTED_VALUE"""),46101.0)</f>
        <v>46101</v>
      </c>
      <c r="L25" s="537"/>
      <c r="M25" s="338" t="str">
        <f>IFERROR(__xludf.DUMMYFUNCTION("""COMPUTED_VALUE"""),"Пленка PP белая каучук")</f>
        <v>Пленка PP белая каучук</v>
      </c>
      <c r="N25" s="338" t="str">
        <f>IFERROR(__xludf.DUMMYFUNCTION("""COMPUTED_VALUE"""),"Отгружен")</f>
        <v>Отгружен</v>
      </c>
      <c r="O25" s="537"/>
      <c r="P25" s="338"/>
      <c r="Q25" s="338"/>
      <c r="R25" s="338"/>
      <c r="S25" s="338"/>
      <c r="T25" s="338"/>
      <c r="U25" s="338"/>
      <c r="V25" s="338"/>
      <c r="W25" s="338"/>
      <c r="X25" s="338"/>
      <c r="Y25" s="338"/>
      <c r="Z25" s="338"/>
    </row>
    <row r="26" ht="22.5" customHeight="1">
      <c r="A26" s="528" t="str">
        <f>IFERROR(__xludf.DUMMYFUNCTION("""COMPUTED_VALUE"""),"ООО""ФэрельГам""")</f>
        <v>ООО"ФэрельГам"</v>
      </c>
      <c r="B26" s="528"/>
      <c r="C26" s="528" t="str">
        <f>IFERROR(__xludf.DUMMYFUNCTION("""COMPUTED_VALUE"""),"450351 Огурцы соленые 1000 г global village этик. ")</f>
        <v>450351 Огурцы соленые 1000 г global village этик. </v>
      </c>
      <c r="D26" s="528">
        <f>IFERROR(__xludf.DUMMYFUNCTION("""COMPUTED_VALUE"""),1163.0)</f>
        <v>1163</v>
      </c>
      <c r="E26" s="528" t="str">
        <f>IFERROR(__xludf.DUMMYFUNCTION("""COMPUTED_VALUE"""),"Баранов Александр")</f>
        <v>Баранов Александр</v>
      </c>
      <c r="F26" s="535" t="str">
        <f>IFERROR(__xludf.DUMMYFUNCTION("""COMPUTED_VALUE"""),"Новая")</f>
        <v>Новая</v>
      </c>
      <c r="G26" s="536" t="str">
        <f>IFERROR(__xludf.DUMMYFUNCTION("""COMPUTED_VALUE"""),"d99/100")</f>
        <v>d99/100</v>
      </c>
      <c r="H26" s="338" t="str">
        <f>IFERROR(__xludf.DUMMYFUNCTION("""COMPUTED_VALUE"""),"Флексопечать")</f>
        <v>Флексопечать</v>
      </c>
      <c r="I26" s="338" t="str">
        <f>IFERROR(__xludf.DUMMYFUNCTION("""COMPUTED_VALUE"""),"Weigang-450")</f>
        <v>Weigang-450</v>
      </c>
      <c r="J26" s="536">
        <f>IFERROR(__xludf.DUMMYFUNCTION("""COMPUTED_VALUE"""),100000.0)</f>
        <v>100000</v>
      </c>
      <c r="K26" s="537">
        <f>IFERROR(__xludf.DUMMYFUNCTION("""COMPUTED_VALUE"""),46101.0)</f>
        <v>46101</v>
      </c>
      <c r="L26" s="537"/>
      <c r="M26" s="338" t="str">
        <f>IFERROR(__xludf.DUMMYFUNCTION("""COMPUTED_VALUE"""),"Пленка PP белая каучук")</f>
        <v>Пленка PP белая каучук</v>
      </c>
      <c r="N26" s="338" t="str">
        <f>IFERROR(__xludf.DUMMYFUNCTION("""COMPUTED_VALUE"""),"Отгружен")</f>
        <v>Отгружен</v>
      </c>
      <c r="O26" s="537"/>
      <c r="P26" s="338"/>
      <c r="Q26" s="338"/>
      <c r="R26" s="338"/>
      <c r="S26" s="338"/>
      <c r="T26" s="338"/>
      <c r="U26" s="338"/>
      <c r="V26" s="338"/>
      <c r="W26" s="338"/>
      <c r="X26" s="338"/>
      <c r="Y26" s="338"/>
      <c r="Z26" s="338"/>
    </row>
    <row r="27" ht="22.5" customHeight="1">
      <c r="A27" s="528" t="str">
        <f>IFERROR(__xludf.DUMMYFUNCTION("""COMPUTED_VALUE"""),"ООО""ФэрельГам""")</f>
        <v>ООО"ФэрельГам"</v>
      </c>
      <c r="B27" s="528"/>
      <c r="C27" s="528" t="str">
        <f>IFERROR(__xludf.DUMMYFUNCTION("""COMPUTED_VALUE"""),"470997 Спаржа по-корейски 300 г (Green vitamin) этик.")</f>
        <v>470997 Спаржа по-корейски 300 г (Green vitamin) этик.</v>
      </c>
      <c r="D27" s="528">
        <f>IFERROR(__xludf.DUMMYFUNCTION("""COMPUTED_VALUE"""),1162.0)</f>
        <v>1162</v>
      </c>
      <c r="E27" s="528" t="str">
        <f>IFERROR(__xludf.DUMMYFUNCTION("""COMPUTED_VALUE"""),"Баранов Александр")</f>
        <v>Баранов Александр</v>
      </c>
      <c r="F27" s="535" t="str">
        <f>IFERROR(__xludf.DUMMYFUNCTION("""COMPUTED_VALUE"""),"Новая")</f>
        <v>Новая</v>
      </c>
      <c r="G27" s="536" t="str">
        <f>IFERROR(__xludf.DUMMYFUNCTION("""COMPUTED_VALUE"""),"d110")</f>
        <v>d110</v>
      </c>
      <c r="H27" s="338" t="str">
        <f>IFERROR(__xludf.DUMMYFUNCTION("""COMPUTED_VALUE"""),"Флексопечать")</f>
        <v>Флексопечать</v>
      </c>
      <c r="I27" s="338" t="str">
        <f>IFERROR(__xludf.DUMMYFUNCTION("""COMPUTED_VALUE"""),"Weigang-450")</f>
        <v>Weigang-450</v>
      </c>
      <c r="J27" s="536">
        <f>IFERROR(__xludf.DUMMYFUNCTION("""COMPUTED_VALUE"""),30000.0)</f>
        <v>30000</v>
      </c>
      <c r="K27" s="537">
        <f>IFERROR(__xludf.DUMMYFUNCTION("""COMPUTED_VALUE"""),46101.0)</f>
        <v>46101</v>
      </c>
      <c r="L27" s="537"/>
      <c r="M27" s="338" t="str">
        <f>IFERROR(__xludf.DUMMYFUNCTION("""COMPUTED_VALUE"""),"Пленка PP белая каучук")</f>
        <v>Пленка PP белая каучук</v>
      </c>
      <c r="N27" s="338" t="str">
        <f>IFERROR(__xludf.DUMMYFUNCTION("""COMPUTED_VALUE"""),"Отгружен")</f>
        <v>Отгружен</v>
      </c>
      <c r="O27" s="537"/>
      <c r="P27" s="338"/>
      <c r="Q27" s="338"/>
      <c r="R27" s="338"/>
      <c r="S27" s="338"/>
      <c r="T27" s="338"/>
      <c r="U27" s="338"/>
      <c r="V27" s="338"/>
      <c r="W27" s="338"/>
      <c r="X27" s="338"/>
      <c r="Y27" s="338"/>
      <c r="Z27" s="338"/>
    </row>
    <row r="28" ht="22.5" customHeight="1">
      <c r="A28" s="528" t="str">
        <f>IFERROR(__xludf.DUMMYFUNCTION("""COMPUTED_VALUE"""),"ООО ""ЛК Люкс"" (Элка)")</f>
        <v>ООО "ЛК Люкс" (Элка)</v>
      </c>
      <c r="B28" s="528"/>
      <c r="C28" s="528" t="str">
        <f>IFERROR(__xludf.DUMMYFUNCTION("""COMPUTED_VALUE"""),"Заказ по СТМ AVS (46 видов)")</f>
        <v>Заказ по СТМ AVS (46 видов)</v>
      </c>
      <c r="D28" s="528">
        <f>IFERROR(__xludf.DUMMYFUNCTION("""COMPUTED_VALUE"""),1165.0)</f>
        <v>1165</v>
      </c>
      <c r="E28" s="528" t="str">
        <f>IFERROR(__xludf.DUMMYFUNCTION("""COMPUTED_VALUE"""),"Баранов Александр")</f>
        <v>Баранов Александр</v>
      </c>
      <c r="F28" s="535" t="str">
        <f>IFERROR(__xludf.DUMMYFUNCTION("""COMPUTED_VALUE"""),"Повтор")</f>
        <v>Повтор</v>
      </c>
      <c r="G28" s="536" t="str">
        <f>IFERROR(__xludf.DUMMYFUNCTION("""COMPUTED_VALUE"""),"25х80")</f>
        <v>25х80</v>
      </c>
      <c r="H28" s="338" t="str">
        <f>IFERROR(__xludf.DUMMYFUNCTION("""COMPUTED_VALUE"""),"Цифра+Лазер")</f>
        <v>Цифра+Лазер</v>
      </c>
      <c r="I28" s="338" t="str">
        <f>IFERROR(__xludf.DUMMYFUNCTION("""COMPUTED_VALUE"""),"Labelsmart(ЦПМ)")</f>
        <v>Labelsmart(ЦПМ)</v>
      </c>
      <c r="J28" s="536">
        <f>IFERROR(__xludf.DUMMYFUNCTION("""COMPUTED_VALUE"""),43500.0)</f>
        <v>43500</v>
      </c>
      <c r="K28" s="537">
        <f>IFERROR(__xludf.DUMMYFUNCTION("""COMPUTED_VALUE"""),46101.0)</f>
        <v>46101</v>
      </c>
      <c r="L28" s="537"/>
      <c r="M28" s="338" t="str">
        <f>IFERROR(__xludf.DUMMYFUNCTION("""COMPUTED_VALUE"""),"Пленка PP белая акрил")</f>
        <v>Пленка PP белая акрил</v>
      </c>
      <c r="N28" s="338" t="str">
        <f>IFERROR(__xludf.DUMMYFUNCTION("""COMPUTED_VALUE"""),"Отгружен")</f>
        <v>Отгружен</v>
      </c>
      <c r="O28" s="537"/>
      <c r="P28" s="338"/>
      <c r="Q28" s="338" t="str">
        <f>IFERROR(__xludf.DUMMYFUNCTION("""COMPUTED_VALUE""")," 142116, Московская область,  г. Подольск, Домодедовское шоссе, д. 20, офис 113")</f>
        <v> 142116, Московская область,  г. Подольск, Домодедовское шоссе, д. 20, офис 113</v>
      </c>
      <c r="R28" s="338"/>
      <c r="S28" s="338"/>
      <c r="T28" s="338"/>
      <c r="U28" s="338"/>
      <c r="V28" s="338"/>
      <c r="W28" s="338"/>
      <c r="X28" s="338"/>
      <c r="Y28" s="338"/>
      <c r="Z28" s="338"/>
    </row>
    <row r="29" ht="22.5" customHeight="1">
      <c r="A29" s="528" t="str">
        <f>IFERROR(__xludf.DUMMYFUNCTION("""COMPUTED_VALUE"""),"ООО""ФэрельГам""")</f>
        <v>ООО"ФэрельГам"</v>
      </c>
      <c r="B29" s="528"/>
      <c r="C29" s="528" t="str">
        <f>IFERROR(__xludf.DUMMYFUNCTION("""COMPUTED_VALUE"""),"470003 Аджика 200 г (Глобус) этик.")</f>
        <v>470003 Аджика 200 г (Глобус) этик.</v>
      </c>
      <c r="D29" s="528">
        <f>IFERROR(__xludf.DUMMYFUNCTION("""COMPUTED_VALUE"""),1186.0)</f>
        <v>1186</v>
      </c>
      <c r="E29" s="528" t="str">
        <f>IFERROR(__xludf.DUMMYFUNCTION("""COMPUTED_VALUE"""),"Баранов Александр")</f>
        <v>Баранов Александр</v>
      </c>
      <c r="F29" s="535" t="str">
        <f>IFERROR(__xludf.DUMMYFUNCTION("""COMPUTED_VALUE"""),"Новая")</f>
        <v>Новая</v>
      </c>
      <c r="G29" s="536" t="str">
        <f>IFERROR(__xludf.DUMMYFUNCTION("""COMPUTED_VALUE"""),"d108")</f>
        <v>d108</v>
      </c>
      <c r="H29" s="338" t="str">
        <f>IFERROR(__xludf.DUMMYFUNCTION("""COMPUTED_VALUE"""),"Флексопечать")</f>
        <v>Флексопечать</v>
      </c>
      <c r="I29" s="338" t="str">
        <f>IFERROR(__xludf.DUMMYFUNCTION("""COMPUTED_VALUE"""),"Weigang-450")</f>
        <v>Weigang-450</v>
      </c>
      <c r="J29" s="536">
        <f>IFERROR(__xludf.DUMMYFUNCTION("""COMPUTED_VALUE"""),10000.0)</f>
        <v>10000</v>
      </c>
      <c r="K29" s="537">
        <f>IFERROR(__xludf.DUMMYFUNCTION("""COMPUTED_VALUE"""),46104.0)</f>
        <v>46104</v>
      </c>
      <c r="L29" s="537"/>
      <c r="M29" s="338" t="str">
        <f>IFERROR(__xludf.DUMMYFUNCTION("""COMPUTED_VALUE"""),"Пленка PP белая каучук")</f>
        <v>Пленка PP белая каучук</v>
      </c>
      <c r="N29" s="338" t="str">
        <f>IFERROR(__xludf.DUMMYFUNCTION("""COMPUTED_VALUE"""),"Отгружен")</f>
        <v>Отгружен</v>
      </c>
      <c r="O29" s="537"/>
      <c r="P29" s="338"/>
      <c r="Q29" s="338"/>
      <c r="R29" s="338"/>
      <c r="S29" s="338"/>
      <c r="T29" s="338"/>
      <c r="U29" s="338"/>
      <c r="V29" s="338"/>
      <c r="W29" s="338"/>
      <c r="X29" s="338"/>
      <c r="Y29" s="338"/>
      <c r="Z29" s="338"/>
    </row>
    <row r="30" ht="22.5" customHeight="1">
      <c r="A30" s="528" t="str">
        <f>IFERROR(__xludf.DUMMYFUNCTION("""COMPUTED_VALUE"""),"Меренга")</f>
        <v>Меренга</v>
      </c>
      <c r="B30" s="528"/>
      <c r="C30" s="528" t="str">
        <f>IFERROR(__xludf.DUMMYFUNCTION("""COMPUTED_VALUE"""),"Этикетка пирожное Шу с вишней")</f>
        <v>Этикетка пирожное Шу с вишней</v>
      </c>
      <c r="D30" s="528">
        <f>IFERROR(__xludf.DUMMYFUNCTION("""COMPUTED_VALUE"""),1084.0)</f>
        <v>1084</v>
      </c>
      <c r="E30" s="528" t="str">
        <f>IFERROR(__xludf.DUMMYFUNCTION("""COMPUTED_VALUE"""),"Римма Лукина")</f>
        <v>Римма Лукина</v>
      </c>
      <c r="F30" s="535" t="str">
        <f>IFERROR(__xludf.DUMMYFUNCTION("""COMPUTED_VALUE"""),"Повтор с изменениями")</f>
        <v>Повтор с изменениями</v>
      </c>
      <c r="G30" s="536" t="str">
        <f>IFERROR(__xludf.DUMMYFUNCTION("""COMPUTED_VALUE"""),"50х180")</f>
        <v>50х180</v>
      </c>
      <c r="H30" s="338" t="str">
        <f>IFERROR(__xludf.DUMMYFUNCTION("""COMPUTED_VALUE"""),"Флексопечать")</f>
        <v>Флексопечать</v>
      </c>
      <c r="I30" s="338" t="str">
        <f>IFERROR(__xludf.DUMMYFUNCTION("""COMPUTED_VALUE"""),"Bengraphic-330")</f>
        <v>Bengraphic-330</v>
      </c>
      <c r="J30" s="536">
        <f>IFERROR(__xludf.DUMMYFUNCTION("""COMPUTED_VALUE"""),25000.0)</f>
        <v>25000</v>
      </c>
      <c r="K30" s="537">
        <f>IFERROR(__xludf.DUMMYFUNCTION("""COMPUTED_VALUE"""),46101.0)</f>
        <v>46101</v>
      </c>
      <c r="L30" s="537"/>
      <c r="M30" s="338" t="str">
        <f>IFERROR(__xludf.DUMMYFUNCTION("""COMPUTED_VALUE"""),"Бумага полуглянец акрил")</f>
        <v>Бумага полуглянец акрил</v>
      </c>
      <c r="N30" s="338" t="str">
        <f>IFERROR(__xludf.DUMMYFUNCTION("""COMPUTED_VALUE"""),"Отгружен")</f>
        <v>Отгружен</v>
      </c>
      <c r="O30" s="537"/>
      <c r="P30" s="338"/>
      <c r="Q30" s="338"/>
      <c r="R30" s="338"/>
      <c r="S30" s="338"/>
      <c r="T30" s="338"/>
      <c r="U30" s="338"/>
      <c r="V30" s="338"/>
      <c r="W30" s="338"/>
      <c r="X30" s="338"/>
      <c r="Y30" s="338"/>
      <c r="Z30" s="338"/>
    </row>
    <row r="31" ht="22.5" customHeight="1">
      <c r="A31" s="528" t="str">
        <f>IFERROR(__xludf.DUMMYFUNCTION("""COMPUTED_VALUE"""),"ОЗОН ")</f>
        <v>ОЗОН </v>
      </c>
      <c r="B31" s="528"/>
      <c r="C31" s="528" t="str">
        <f>IFERROR(__xludf.DUMMYFUNCTION("""COMPUTED_VALUE"""),"Стикер пантон  Р183С")</f>
        <v>Стикер пантон  Р183С</v>
      </c>
      <c r="D31" s="528">
        <f>IFERROR(__xludf.DUMMYFUNCTION("""COMPUTED_VALUE"""),1225.0)</f>
        <v>1225</v>
      </c>
      <c r="E31" s="528" t="str">
        <f>IFERROR(__xludf.DUMMYFUNCTION("""COMPUTED_VALUE"""),"Римма Лукина")</f>
        <v>Римма Лукина</v>
      </c>
      <c r="F31" s="535" t="str">
        <f>IFERROR(__xludf.DUMMYFUNCTION("""COMPUTED_VALUE"""),"ТЕСТ")</f>
        <v>ТЕСТ</v>
      </c>
      <c r="G31" s="536" t="str">
        <f>IFERROR(__xludf.DUMMYFUNCTION("""COMPUTED_VALUE"""),"D 70")</f>
        <v>D 70</v>
      </c>
      <c r="H31" s="338" t="str">
        <f>IFERROR(__xludf.DUMMYFUNCTION("""COMPUTED_VALUE"""),"Флексопечать")</f>
        <v>Флексопечать</v>
      </c>
      <c r="I31" s="338" t="str">
        <f>IFERROR(__xludf.DUMMYFUNCTION("""COMPUTED_VALUE"""),"Bg-330")</f>
        <v>Bg-330</v>
      </c>
      <c r="J31" s="536">
        <f>IFERROR(__xludf.DUMMYFUNCTION("""COMPUTED_VALUE"""),20.0)</f>
        <v>20</v>
      </c>
      <c r="K31" s="537">
        <f>IFERROR(__xludf.DUMMYFUNCTION("""COMPUTED_VALUE"""),46107.0)</f>
        <v>46107</v>
      </c>
      <c r="L31" s="537"/>
      <c r="M31" s="338" t="str">
        <f>IFERROR(__xludf.DUMMYFUNCTION("""COMPUTED_VALUE"""),"Бумага полуглянец акрил")</f>
        <v>Бумага полуглянец акрил</v>
      </c>
      <c r="N31" s="338" t="str">
        <f>IFERROR(__xludf.DUMMYFUNCTION("""COMPUTED_VALUE"""),"Отгружен")</f>
        <v>Отгружен</v>
      </c>
      <c r="O31" s="537"/>
      <c r="P31" s="338" t="str">
        <f>IFERROR(__xludf.DUMMYFUNCTION("""COMPUTED_VALUE"""),"печатаем с формой от зеленго стикера ")</f>
        <v>печатаем с формой от зеленго стикера </v>
      </c>
      <c r="Q31" s="338"/>
      <c r="R31" s="338"/>
      <c r="S31" s="338"/>
      <c r="T31" s="338"/>
      <c r="U31" s="338"/>
      <c r="V31" s="338"/>
      <c r="W31" s="338"/>
      <c r="X31" s="338"/>
      <c r="Y31" s="338"/>
      <c r="Z31" s="338"/>
    </row>
    <row r="32" ht="22.5" customHeight="1">
      <c r="A32" s="528" t="str">
        <f>IFERROR(__xludf.DUMMYFUNCTION("""COMPUTED_VALUE"""),"ОЗОН")</f>
        <v>ОЗОН</v>
      </c>
      <c r="B32" s="528"/>
      <c r="C32" s="528" t="str">
        <f>IFERROR(__xludf.DUMMYFUNCTION("""COMPUTED_VALUE"""),"Сендвич с тунцом и маринованным луком")</f>
        <v>Сендвич с тунцом и маринованным луком</v>
      </c>
      <c r="D32" s="528">
        <f>IFERROR(__xludf.DUMMYFUNCTION("""COMPUTED_VALUE"""),1475.0)</f>
        <v>1475</v>
      </c>
      <c r="E32" s="528" t="str">
        <f>IFERROR(__xludf.DUMMYFUNCTION("""COMPUTED_VALUE"""),"Римма Лукина")</f>
        <v>Римма Лукина</v>
      </c>
      <c r="F32" s="535" t="str">
        <f>IFERROR(__xludf.DUMMYFUNCTION("""COMPUTED_VALUE"""),"ТЕСТ")</f>
        <v>ТЕСТ</v>
      </c>
      <c r="G32" s="536" t="str">
        <f>IFERROR(__xludf.DUMMYFUNCTION("""COMPUTED_VALUE"""),"76*118")</f>
        <v>76*118</v>
      </c>
      <c r="H32" s="338" t="str">
        <f>IFERROR(__xludf.DUMMYFUNCTION("""COMPUTED_VALUE"""),"Флексопечать")</f>
        <v>Флексопечать</v>
      </c>
      <c r="I32" s="338" t="str">
        <f>IFERROR(__xludf.DUMMYFUNCTION("""COMPUTED_VALUE"""),"Bg-330")</f>
        <v>Bg-330</v>
      </c>
      <c r="J32" s="536">
        <f>IFERROR(__xludf.DUMMYFUNCTION("""COMPUTED_VALUE"""),20.0)</f>
        <v>20</v>
      </c>
      <c r="K32" s="537">
        <f>IFERROR(__xludf.DUMMYFUNCTION("""COMPUTED_VALUE"""),46106.0)</f>
        <v>46106</v>
      </c>
      <c r="L32" s="537"/>
      <c r="M32" s="338" t="str">
        <f>IFERROR(__xludf.DUMMYFUNCTION("""COMPUTED_VALUE"""),"Бумага полуглянец акрил")</f>
        <v>Бумага полуглянец акрил</v>
      </c>
      <c r="N32" s="338" t="str">
        <f>IFERROR(__xludf.DUMMYFUNCTION("""COMPUTED_VALUE"""),"Отгружен")</f>
        <v>Отгружен</v>
      </c>
      <c r="O32" s="537"/>
      <c r="P32" s="338" t="str">
        <f>IFERROR(__xludf.DUMMYFUNCTION("""COMPUTED_VALUE"""),"макет согласован")</f>
        <v>макет согласован</v>
      </c>
      <c r="Q32" s="338"/>
      <c r="R32" s="338"/>
      <c r="S32" s="338"/>
      <c r="T32" s="338"/>
      <c r="U32" s="338"/>
      <c r="V32" s="338"/>
      <c r="W32" s="338"/>
      <c r="X32" s="338"/>
      <c r="Y32" s="338"/>
      <c r="Z32" s="338"/>
    </row>
    <row r="33" ht="22.5" customHeight="1">
      <c r="A33" s="528" t="str">
        <f>IFERROR(__xludf.DUMMYFUNCTION("""COMPUTED_VALUE"""),"ООО""ФэрельГам""")</f>
        <v>ООО"ФэрельГам"</v>
      </c>
      <c r="B33" s="528"/>
      <c r="C33" s="528" t="str">
        <f>IFERROR(__xludf.DUMMYFUNCTION("""COMPUTED_VALUE"""),"470681 Чеснок белый 250 г Дольки этик.")</f>
        <v>470681 Чеснок белый 250 г Дольки этик.</v>
      </c>
      <c r="D33" s="528">
        <f>IFERROR(__xludf.DUMMYFUNCTION("""COMPUTED_VALUE"""),1656.0)</f>
        <v>1656</v>
      </c>
      <c r="E33" s="528" t="str">
        <f>IFERROR(__xludf.DUMMYFUNCTION("""COMPUTED_VALUE"""),"Баранов Александр")</f>
        <v>Баранов Александр</v>
      </c>
      <c r="F33" s="535" t="str">
        <f>IFERROR(__xludf.DUMMYFUNCTION("""COMPUTED_VALUE"""),"Новая")</f>
        <v>Новая</v>
      </c>
      <c r="G33" s="536" t="str">
        <f>IFERROR(__xludf.DUMMYFUNCTION("""COMPUTED_VALUE"""),"д80")</f>
        <v>д80</v>
      </c>
      <c r="H33" s="338" t="str">
        <f>IFERROR(__xludf.DUMMYFUNCTION("""COMPUTED_VALUE"""),"Флексопечать")</f>
        <v>Флексопечать</v>
      </c>
      <c r="I33" s="338" t="str">
        <f>IFERROR(__xludf.DUMMYFUNCTION("""COMPUTED_VALUE"""),"Wg-450")</f>
        <v>Wg-450</v>
      </c>
      <c r="J33" s="536">
        <f>IFERROR(__xludf.DUMMYFUNCTION("""COMPUTED_VALUE"""),10000.0)</f>
        <v>10000</v>
      </c>
      <c r="K33" s="537">
        <f>IFERROR(__xludf.DUMMYFUNCTION("""COMPUTED_VALUE"""),46121.0)</f>
        <v>46121</v>
      </c>
      <c r="L33" s="537"/>
      <c r="M33" s="338" t="str">
        <f>IFERROR(__xludf.DUMMYFUNCTION("""COMPUTED_VALUE"""),"Пленка PP белая каучук")</f>
        <v>Пленка PP белая каучук</v>
      </c>
      <c r="N33" s="338" t="str">
        <f>IFERROR(__xludf.DUMMYFUNCTION("""COMPUTED_VALUE"""),"Отгружен")</f>
        <v>Отгружен</v>
      </c>
      <c r="O33" s="537"/>
      <c r="P33" s="338" t="str">
        <f>IFERROR(__xludf.DUMMYFUNCTION("""COMPUTED_VALUE"""),"СОГЛАСОВАН")</f>
        <v>СОГЛАСОВАН</v>
      </c>
      <c r="Q33" s="338"/>
      <c r="R33" s="338"/>
      <c r="S33" s="338"/>
      <c r="T33" s="338"/>
      <c r="U33" s="338"/>
      <c r="V33" s="338"/>
      <c r="W33" s="338"/>
      <c r="X33" s="338"/>
      <c r="Y33" s="338"/>
      <c r="Z33" s="338"/>
    </row>
    <row r="34" ht="22.5" customHeight="1">
      <c r="A34" s="528" t="str">
        <f>IFERROR(__xludf.DUMMYFUNCTION("""COMPUTED_VALUE"""),"ООО""ФэрельГам""")</f>
        <v>ООО"ФэрельГам"</v>
      </c>
      <c r="B34" s="528"/>
      <c r="C34" s="528" t="str">
        <f>IFERROR(__xludf.DUMMYFUNCTION("""COMPUTED_VALUE"""),"470277 Капуста квашеная с морковью сладкая 500 г (Глобус) Бок этик.")</f>
        <v>470277 Капуста квашеная с морковью сладкая 500 г (Глобус) Бок этик.</v>
      </c>
      <c r="D34" s="528">
        <f>IFERROR(__xludf.DUMMYFUNCTION("""COMPUTED_VALUE"""),1666.0)</f>
        <v>1666</v>
      </c>
      <c r="E34" s="528" t="str">
        <f>IFERROR(__xludf.DUMMYFUNCTION("""COMPUTED_VALUE"""),"Баранов Александр")</f>
        <v>Баранов Александр</v>
      </c>
      <c r="F34" s="535" t="str">
        <f>IFERROR(__xludf.DUMMYFUNCTION("""COMPUTED_VALUE"""),"Новая")</f>
        <v>Новая</v>
      </c>
      <c r="G34" s="536" t="str">
        <f>IFERROR(__xludf.DUMMYFUNCTION("""COMPUTED_VALUE"""),"110*60")</f>
        <v>110*60</v>
      </c>
      <c r="H34" s="338" t="str">
        <f>IFERROR(__xludf.DUMMYFUNCTION("""COMPUTED_VALUE"""),"Флексопечать")</f>
        <v>Флексопечать</v>
      </c>
      <c r="I34" s="338" t="str">
        <f>IFERROR(__xludf.DUMMYFUNCTION("""COMPUTED_VALUE"""),"Wg-450")</f>
        <v>Wg-450</v>
      </c>
      <c r="J34" s="536">
        <f>IFERROR(__xludf.DUMMYFUNCTION("""COMPUTED_VALUE"""),10000.0)</f>
        <v>10000</v>
      </c>
      <c r="K34" s="537">
        <f>IFERROR(__xludf.DUMMYFUNCTION("""COMPUTED_VALUE"""),46122.0)</f>
        <v>46122</v>
      </c>
      <c r="L34" s="537"/>
      <c r="M34" s="338" t="str">
        <f>IFERROR(__xludf.DUMMYFUNCTION("""COMPUTED_VALUE"""),"Пленка PP белая каучук")</f>
        <v>Пленка PP белая каучук</v>
      </c>
      <c r="N34" s="338" t="str">
        <f>IFERROR(__xludf.DUMMYFUNCTION("""COMPUTED_VALUE"""),"Отгружен")</f>
        <v>Отгружен</v>
      </c>
      <c r="O34" s="537"/>
      <c r="P34" s="338" t="str">
        <f>IFERROR(__xludf.DUMMYFUNCTION("""COMPUTED_VALUE"""),"СОГЛАСОВАН")</f>
        <v>СОГЛАСОВАН</v>
      </c>
      <c r="Q34" s="338"/>
      <c r="R34" s="338"/>
      <c r="S34" s="338"/>
      <c r="T34" s="338"/>
      <c r="U34" s="338"/>
      <c r="V34" s="338"/>
      <c r="W34" s="338"/>
      <c r="X34" s="338"/>
      <c r="Y34" s="338"/>
      <c r="Z34" s="338"/>
    </row>
    <row r="35" ht="22.5" customHeight="1">
      <c r="A35" s="528" t="str">
        <f>IFERROR(__xludf.DUMMYFUNCTION("""COMPUTED_VALUE"""),"ООО""ФэрельГам""")</f>
        <v>ООО"ФэрельГам"</v>
      </c>
      <c r="B35" s="528"/>
      <c r="C35" s="528" t="str">
        <f>IFERROR(__xludf.DUMMYFUNCTION("""COMPUTED_VALUE"""),"471047 Капуста квашеная ""кимчи по-корейски"" 200 г этик.")</f>
        <v>471047 Капуста квашеная "кимчи по-корейски" 200 г этик.</v>
      </c>
      <c r="D35" s="528">
        <f>IFERROR(__xludf.DUMMYFUNCTION("""COMPUTED_VALUE"""),1669.0)</f>
        <v>1669</v>
      </c>
      <c r="E35" s="528" t="str">
        <f>IFERROR(__xludf.DUMMYFUNCTION("""COMPUTED_VALUE"""),"Баранов Александр")</f>
        <v>Баранов Александр</v>
      </c>
      <c r="F35" s="535" t="str">
        <f>IFERROR(__xludf.DUMMYFUNCTION("""COMPUTED_VALUE"""),"Новая")</f>
        <v>Новая</v>
      </c>
      <c r="G35" s="536" t="str">
        <f>IFERROR(__xludf.DUMMYFUNCTION("""COMPUTED_VALUE"""),"д110")</f>
        <v>д110</v>
      </c>
      <c r="H35" s="338" t="str">
        <f>IFERROR(__xludf.DUMMYFUNCTION("""COMPUTED_VALUE"""),"Флексопечать")</f>
        <v>Флексопечать</v>
      </c>
      <c r="I35" s="338" t="str">
        <f>IFERROR(__xludf.DUMMYFUNCTION("""COMPUTED_VALUE"""),"Wg-450")</f>
        <v>Wg-450</v>
      </c>
      <c r="J35" s="536">
        <f>IFERROR(__xludf.DUMMYFUNCTION("""COMPUTED_VALUE"""),10000.0)</f>
        <v>10000</v>
      </c>
      <c r="K35" s="537">
        <f>IFERROR(__xludf.DUMMYFUNCTION("""COMPUTED_VALUE"""),46127.0)</f>
        <v>46127</v>
      </c>
      <c r="L35" s="537"/>
      <c r="M35" s="338" t="str">
        <f>IFERROR(__xludf.DUMMYFUNCTION("""COMPUTED_VALUE"""),"Пленка PP белая акрил")</f>
        <v>Пленка PP белая акрил</v>
      </c>
      <c r="N35" s="338" t="str">
        <f>IFERROR(__xludf.DUMMYFUNCTION("""COMPUTED_VALUE"""),"Отгружен")</f>
        <v>Отгружен</v>
      </c>
      <c r="O35" s="537"/>
      <c r="P35" s="338" t="str">
        <f>IFERROR(__xludf.DUMMYFUNCTION("""COMPUTED_VALUE"""),"СОГЛАСОВАН")</f>
        <v>СОГЛАСОВАН</v>
      </c>
      <c r="Q35" s="338"/>
      <c r="R35" s="338"/>
      <c r="S35" s="338"/>
      <c r="T35" s="338"/>
      <c r="U35" s="338"/>
      <c r="V35" s="338"/>
      <c r="W35" s="338"/>
      <c r="X35" s="338"/>
      <c r="Y35" s="338"/>
      <c r="Z35" s="338"/>
    </row>
    <row r="36" ht="22.5" customHeight="1">
      <c r="A36" s="528" t="str">
        <f>IFERROR(__xludf.DUMMYFUNCTION("""COMPUTED_VALUE"""),"ООО""ФэрельГам""")</f>
        <v>ООО"ФэрельГам"</v>
      </c>
      <c r="B36" s="528"/>
      <c r="C36" s="528" t="str">
        <f>IFERROR(__xludf.DUMMYFUNCTION("""COMPUTED_VALUE"""),"470822 Капуста маринованная DIET 500 г (Магнит) этик.")</f>
        <v>470822 Капуста маринованная DIET 500 г (Магнит) этик.</v>
      </c>
      <c r="D36" s="528">
        <f>IFERROR(__xludf.DUMMYFUNCTION("""COMPUTED_VALUE"""),1670.0)</f>
        <v>1670</v>
      </c>
      <c r="E36" s="528" t="str">
        <f>IFERROR(__xludf.DUMMYFUNCTION("""COMPUTED_VALUE"""),"Баранов Александр")</f>
        <v>Баранов Александр</v>
      </c>
      <c r="F36" s="535" t="str">
        <f>IFERROR(__xludf.DUMMYFUNCTION("""COMPUTED_VALUE"""),"Новая")</f>
        <v>Новая</v>
      </c>
      <c r="G36" s="536" t="str">
        <f>IFERROR(__xludf.DUMMYFUNCTION("""COMPUTED_VALUE"""),"д110")</f>
        <v>д110</v>
      </c>
      <c r="H36" s="338" t="str">
        <f>IFERROR(__xludf.DUMMYFUNCTION("""COMPUTED_VALUE"""),"Флексопечать")</f>
        <v>Флексопечать</v>
      </c>
      <c r="I36" s="338" t="str">
        <f>IFERROR(__xludf.DUMMYFUNCTION("""COMPUTED_VALUE"""),"Wg-450")</f>
        <v>Wg-450</v>
      </c>
      <c r="J36" s="536">
        <f>IFERROR(__xludf.DUMMYFUNCTION("""COMPUTED_VALUE"""),200000.0)</f>
        <v>200000</v>
      </c>
      <c r="K36" s="537">
        <f>IFERROR(__xludf.DUMMYFUNCTION("""COMPUTED_VALUE"""),46121.0)</f>
        <v>46121</v>
      </c>
      <c r="L36" s="537"/>
      <c r="M36" s="338" t="str">
        <f>IFERROR(__xludf.DUMMYFUNCTION("""COMPUTED_VALUE"""),"Пленка PP белая каучук")</f>
        <v>Пленка PP белая каучук</v>
      </c>
      <c r="N36" s="338" t="str">
        <f>IFERROR(__xludf.DUMMYFUNCTION("""COMPUTED_VALUE"""),"Отгружен")</f>
        <v>Отгружен</v>
      </c>
      <c r="O36" s="537"/>
      <c r="P36" s="338" t="str">
        <f>IFERROR(__xludf.DUMMYFUNCTION("""COMPUTED_VALUE"""),"СОГЛАСОВАН")</f>
        <v>СОГЛАСОВАН</v>
      </c>
      <c r="Q36" s="338"/>
      <c r="R36" s="338"/>
      <c r="S36" s="338"/>
      <c r="T36" s="338"/>
      <c r="U36" s="338"/>
      <c r="V36" s="338"/>
      <c r="W36" s="338"/>
      <c r="X36" s="338"/>
      <c r="Y36" s="338"/>
      <c r="Z36" s="338"/>
    </row>
    <row r="37" ht="22.5" customHeight="1">
      <c r="A37" s="528" t="str">
        <f>IFERROR(__xludf.DUMMYFUNCTION("""COMPUTED_VALUE"""),"ООО ""ТК"" (НАР)")</f>
        <v>ООО "ТК" (НАР)</v>
      </c>
      <c r="B37" s="528"/>
      <c r="C37" s="528" t="str">
        <f>IFERROR(__xludf.DUMMYFUNCTION("""COMPUTED_VALUE"""),"Этикетка 90х283 сок гранатовый1л_НАР")</f>
        <v>Этикетка 90х283 сок гранатовый1л_НАР</v>
      </c>
      <c r="D37" s="528">
        <f>IFERROR(__xludf.DUMMYFUNCTION("""COMPUTED_VALUE"""),1382.0)</f>
        <v>1382</v>
      </c>
      <c r="E37" s="528" t="str">
        <f>IFERROR(__xludf.DUMMYFUNCTION("""COMPUTED_VALUE"""),"Баранов Александр")</f>
        <v>Баранов Александр</v>
      </c>
      <c r="F37" s="535" t="str">
        <f>IFERROR(__xludf.DUMMYFUNCTION("""COMPUTED_VALUE"""),"ТЕСТ")</f>
        <v>ТЕСТ</v>
      </c>
      <c r="G37" s="536" t="str">
        <f>IFERROR(__xludf.DUMMYFUNCTION("""COMPUTED_VALUE"""),"90х283")</f>
        <v>90х283</v>
      </c>
      <c r="H37" s="338" t="str">
        <f>IFERROR(__xludf.DUMMYFUNCTION("""COMPUTED_VALUE"""),"Флексопечать")</f>
        <v>Флексопечать</v>
      </c>
      <c r="I37" s="338" t="str">
        <f>IFERROR(__xludf.DUMMYFUNCTION("""COMPUTED_VALUE"""),"Weigang-450")</f>
        <v>Weigang-450</v>
      </c>
      <c r="J37" s="536">
        <f>IFERROR(__xludf.DUMMYFUNCTION("""COMPUTED_VALUE"""),10000.0)</f>
        <v>10000</v>
      </c>
      <c r="K37" s="537">
        <f>IFERROR(__xludf.DUMMYFUNCTION("""COMPUTED_VALUE"""),46105.0)</f>
        <v>46105</v>
      </c>
      <c r="L37" s="537"/>
      <c r="M37" s="338" t="str">
        <f>IFERROR(__xludf.DUMMYFUNCTION("""COMPUTED_VALUE"""),"Бумага полуглянец каучук")</f>
        <v>Бумага полуглянец каучук</v>
      </c>
      <c r="N37" s="338" t="str">
        <f>IFERROR(__xludf.DUMMYFUNCTION("""COMPUTED_VALUE"""),"Отгружен")</f>
        <v>Отгружен</v>
      </c>
      <c r="O37" s="537"/>
      <c r="P37" s="338" t="str">
        <f>IFERROR(__xludf.DUMMYFUNCTION("""COMPUTED_VALUE"""),"подготовка бланка согласования")</f>
        <v>подготовка бланка согласования</v>
      </c>
      <c r="Q37" s="338"/>
      <c r="R37" s="338"/>
      <c r="S37" s="338"/>
      <c r="T37" s="338"/>
      <c r="U37" s="338"/>
      <c r="V37" s="338"/>
      <c r="W37" s="338"/>
      <c r="X37" s="338"/>
      <c r="Y37" s="338"/>
      <c r="Z37" s="338"/>
    </row>
    <row r="38" ht="22.5" customHeight="1">
      <c r="A38" s="528" t="str">
        <f>IFERROR(__xludf.DUMMYFUNCTION("""COMPUTED_VALUE"""),"ООО ""ЛК Люкс"" (Элка)")</f>
        <v>ООО "ЛК Люкс" (Элка)</v>
      </c>
      <c r="B38" s="528"/>
      <c r="C38" s="528" t="str">
        <f>IFERROR(__xludf.DUMMYFUNCTION("""COMPUTED_VALUE"""),"Заказ по СТМ РОСТТЕРМ (7 видов)")</f>
        <v>Заказ по СТМ РОСТТЕРМ (7 видов)</v>
      </c>
      <c r="D38" s="528">
        <f>IFERROR(__xludf.DUMMYFUNCTION("""COMPUTED_VALUE"""),1331.0)</f>
        <v>1331</v>
      </c>
      <c r="E38" s="528" t="str">
        <f>IFERROR(__xludf.DUMMYFUNCTION("""COMPUTED_VALUE"""),"Баранов Александр")</f>
        <v>Баранов Александр</v>
      </c>
      <c r="F38" s="535" t="str">
        <f>IFERROR(__xludf.DUMMYFUNCTION("""COMPUTED_VALUE"""),"Новая")</f>
        <v>Новая</v>
      </c>
      <c r="G38" s="536" t="str">
        <f>IFERROR(__xludf.DUMMYFUNCTION("""COMPUTED_VALUE"""),"76*126")</f>
        <v>76*126</v>
      </c>
      <c r="H38" s="338" t="str">
        <f>IFERROR(__xludf.DUMMYFUNCTION("""COMPUTED_VALUE"""),"Цифра+Лазер")</f>
        <v>Цифра+Лазер</v>
      </c>
      <c r="I38" s="338" t="str">
        <f>IFERROR(__xludf.DUMMYFUNCTION("""COMPUTED_VALUE"""),"Labelsmart(ЦПМ)")</f>
        <v>Labelsmart(ЦПМ)</v>
      </c>
      <c r="J38" s="536">
        <f>IFERROR(__xludf.DUMMYFUNCTION("""COMPUTED_VALUE"""),14500.0)</f>
        <v>14500</v>
      </c>
      <c r="K38" s="537">
        <f>IFERROR(__xludf.DUMMYFUNCTION("""COMPUTED_VALUE"""),46106.0)</f>
        <v>46106</v>
      </c>
      <c r="L38" s="537"/>
      <c r="M38" s="338" t="str">
        <f>IFERROR(__xludf.DUMMYFUNCTION("""COMPUTED_VALUE"""),"Бумага полуглянец акрил")</f>
        <v>Бумага полуглянец акрил</v>
      </c>
      <c r="N38" s="338" t="str">
        <f>IFERROR(__xludf.DUMMYFUNCTION("""COMPUTED_VALUE"""),"Отгружен")</f>
        <v>Отгружен</v>
      </c>
      <c r="O38" s="537"/>
      <c r="P38" s="338"/>
      <c r="Q38" s="338" t="str">
        <f>IFERROR(__xludf.DUMMYFUNCTION("""COMPUTED_VALUE""")," 142116, Московская область,  г. Подольск, Домодедовское шоссе, д. 20, офис 113")</f>
        <v> 142116, Московская область,  г. Подольск, Домодедовское шоссе, д. 20, офис 113</v>
      </c>
      <c r="R38" s="338"/>
      <c r="S38" s="338"/>
      <c r="T38" s="338"/>
      <c r="U38" s="338"/>
      <c r="V38" s="338"/>
      <c r="W38" s="338"/>
      <c r="X38" s="338"/>
      <c r="Y38" s="338"/>
      <c r="Z38" s="338"/>
    </row>
    <row r="39" ht="22.5" customHeight="1">
      <c r="A39" s="528" t="str">
        <f>IFERROR(__xludf.DUMMYFUNCTION("""COMPUTED_VALUE"""),"ООО""ФэрельГам""")</f>
        <v>ООО"ФэрельГам"</v>
      </c>
      <c r="B39" s="528"/>
      <c r="C39" s="528" t="str">
        <f>IFERROR(__xludf.DUMMYFUNCTION("""COMPUTED_VALUE"""),"470460 Перец соленый острый 500 г (Глобус) этик.")</f>
        <v>470460 Перец соленый острый 500 г (Глобус) этик.</v>
      </c>
      <c r="D39" s="528">
        <f>IFERROR(__xludf.DUMMYFUNCTION("""COMPUTED_VALUE"""),1238.0)</f>
        <v>1238</v>
      </c>
      <c r="E39" s="528" t="str">
        <f>IFERROR(__xludf.DUMMYFUNCTION("""COMPUTED_VALUE"""),"Баранов Александр")</f>
        <v>Баранов Александр</v>
      </c>
      <c r="F39" s="535" t="str">
        <f>IFERROR(__xludf.DUMMYFUNCTION("""COMPUTED_VALUE"""),"Новая")</f>
        <v>Новая</v>
      </c>
      <c r="G39" s="536" t="str">
        <f>IFERROR(__xludf.DUMMYFUNCTION("""COMPUTED_VALUE"""),"d108")</f>
        <v>d108</v>
      </c>
      <c r="H39" s="338" t="str">
        <f>IFERROR(__xludf.DUMMYFUNCTION("""COMPUTED_VALUE"""),"Флексопечать")</f>
        <v>Флексопечать</v>
      </c>
      <c r="I39" s="338" t="str">
        <f>IFERROR(__xludf.DUMMYFUNCTION("""COMPUTED_VALUE"""),"Weigang-450")</f>
        <v>Weigang-450</v>
      </c>
      <c r="J39" s="536">
        <f>IFERROR(__xludf.DUMMYFUNCTION("""COMPUTED_VALUE"""),10000.0)</f>
        <v>10000</v>
      </c>
      <c r="K39" s="537">
        <f>IFERROR(__xludf.DUMMYFUNCTION("""COMPUTED_VALUE"""),46106.0)</f>
        <v>46106</v>
      </c>
      <c r="L39" s="537"/>
      <c r="M39" s="338" t="str">
        <f>IFERROR(__xludf.DUMMYFUNCTION("""COMPUTED_VALUE"""),"Пленка PP белая каучук")</f>
        <v>Пленка PP белая каучук</v>
      </c>
      <c r="N39" s="338" t="str">
        <f>IFERROR(__xludf.DUMMYFUNCTION("""COMPUTED_VALUE"""),"Отгружен")</f>
        <v>Отгружен</v>
      </c>
      <c r="O39" s="537"/>
      <c r="P39" s="338" t="str">
        <f>IFERROR(__xludf.DUMMYFUNCTION("""COMPUTED_VALUE"""),"СОЛГАСОВАН")</f>
        <v>СОЛГАСОВАН</v>
      </c>
      <c r="Q39" s="338"/>
      <c r="R39" s="338"/>
      <c r="S39" s="338"/>
      <c r="T39" s="338"/>
      <c r="U39" s="338"/>
      <c r="V39" s="338"/>
      <c r="W39" s="338"/>
      <c r="X39" s="338"/>
      <c r="Y39" s="338"/>
      <c r="Z39" s="338"/>
    </row>
    <row r="40" ht="22.5" customHeight="1">
      <c r="A40" s="528" t="str">
        <f>IFERROR(__xludf.DUMMYFUNCTION("""COMPUTED_VALUE"""),"ООО""ФэрельГам""")</f>
        <v>ООО"ФэрельГам"</v>
      </c>
      <c r="B40" s="528"/>
      <c r="C40" s="528" t="str">
        <f>IFERROR(__xludf.DUMMYFUNCTION("""COMPUTED_VALUE"""),"470231 Капуста с клюквой 500 г (Хороший день) этик.")</f>
        <v>470231 Капуста с клюквой 500 г (Хороший день) этик.</v>
      </c>
      <c r="D40" s="528">
        <f>IFERROR(__xludf.DUMMYFUNCTION("""COMPUTED_VALUE"""),1290.0)</f>
        <v>1290</v>
      </c>
      <c r="E40" s="528" t="str">
        <f>IFERROR(__xludf.DUMMYFUNCTION("""COMPUTED_VALUE"""),"Баранов Александр")</f>
        <v>Баранов Александр</v>
      </c>
      <c r="F40" s="535" t="str">
        <f>IFERROR(__xludf.DUMMYFUNCTION("""COMPUTED_VALUE"""),"Новая")</f>
        <v>Новая</v>
      </c>
      <c r="G40" s="536" t="str">
        <f>IFERROR(__xludf.DUMMYFUNCTION("""COMPUTED_VALUE"""),"d110")</f>
        <v>d110</v>
      </c>
      <c r="H40" s="338" t="str">
        <f>IFERROR(__xludf.DUMMYFUNCTION("""COMPUTED_VALUE"""),"Флексопечать")</f>
        <v>Флексопечать</v>
      </c>
      <c r="I40" s="338" t="str">
        <f>IFERROR(__xludf.DUMMYFUNCTION("""COMPUTED_VALUE"""),"Weigang-450")</f>
        <v>Weigang-450</v>
      </c>
      <c r="J40" s="536">
        <f>IFERROR(__xludf.DUMMYFUNCTION("""COMPUTED_VALUE"""),10000.0)</f>
        <v>10000</v>
      </c>
      <c r="K40" s="537">
        <f>IFERROR(__xludf.DUMMYFUNCTION("""COMPUTED_VALUE"""),46106.0)</f>
        <v>46106</v>
      </c>
      <c r="L40" s="537"/>
      <c r="M40" s="338" t="str">
        <f>IFERROR(__xludf.DUMMYFUNCTION("""COMPUTED_VALUE"""),"Пленка PP белая каучук")</f>
        <v>Пленка PP белая каучук</v>
      </c>
      <c r="N40" s="338" t="str">
        <f>IFERROR(__xludf.DUMMYFUNCTION("""COMPUTED_VALUE"""),"Отгружен")</f>
        <v>Отгружен</v>
      </c>
      <c r="O40" s="537"/>
      <c r="P40" s="338" t="str">
        <f>IFERROR(__xludf.DUMMYFUNCTION("""COMPUTED_VALUE"""),"согласован , заказать формы")</f>
        <v>согласован , заказать формы</v>
      </c>
      <c r="Q40" s="338"/>
      <c r="R40" s="338"/>
      <c r="S40" s="338"/>
      <c r="T40" s="338"/>
      <c r="U40" s="338"/>
      <c r="V40" s="338"/>
      <c r="W40" s="338"/>
      <c r="X40" s="338"/>
      <c r="Y40" s="338"/>
      <c r="Z40" s="338"/>
    </row>
    <row r="41" ht="22.5" customHeight="1">
      <c r="A41" s="528" t="str">
        <f>IFERROR(__xludf.DUMMYFUNCTION("""COMPUTED_VALUE"""),"ООО""ФэрельГам""")</f>
        <v>ООО"ФэрельГам"</v>
      </c>
      <c r="B41" s="528"/>
      <c r="C41" s="528" t="str">
        <f>IFERROR(__xludf.DUMMYFUNCTION("""COMPUTED_VALUE"""),"470241 Капуста с морковью 500 г (Хороший день) этик.")</f>
        <v>470241 Капуста с морковью 500 г (Хороший день) этик.</v>
      </c>
      <c r="D41" s="528">
        <f>IFERROR(__xludf.DUMMYFUNCTION("""COMPUTED_VALUE"""),1289.0)</f>
        <v>1289</v>
      </c>
      <c r="E41" s="528" t="str">
        <f>IFERROR(__xludf.DUMMYFUNCTION("""COMPUTED_VALUE"""),"Баранов Александр")</f>
        <v>Баранов Александр</v>
      </c>
      <c r="F41" s="535" t="str">
        <f>IFERROR(__xludf.DUMMYFUNCTION("""COMPUTED_VALUE"""),"Новая")</f>
        <v>Новая</v>
      </c>
      <c r="G41" s="536" t="str">
        <f>IFERROR(__xludf.DUMMYFUNCTION("""COMPUTED_VALUE"""),"d110")</f>
        <v>d110</v>
      </c>
      <c r="H41" s="338" t="str">
        <f>IFERROR(__xludf.DUMMYFUNCTION("""COMPUTED_VALUE"""),"Флексопечать")</f>
        <v>Флексопечать</v>
      </c>
      <c r="I41" s="338" t="str">
        <f>IFERROR(__xludf.DUMMYFUNCTION("""COMPUTED_VALUE"""),"Weigang-450")</f>
        <v>Weigang-450</v>
      </c>
      <c r="J41" s="536">
        <f>IFERROR(__xludf.DUMMYFUNCTION("""COMPUTED_VALUE"""),10000.0)</f>
        <v>10000</v>
      </c>
      <c r="K41" s="537">
        <f>IFERROR(__xludf.DUMMYFUNCTION("""COMPUTED_VALUE"""),46106.0)</f>
        <v>46106</v>
      </c>
      <c r="L41" s="537"/>
      <c r="M41" s="338" t="str">
        <f>IFERROR(__xludf.DUMMYFUNCTION("""COMPUTED_VALUE"""),"Пленка PP белая каучук")</f>
        <v>Пленка PP белая каучук</v>
      </c>
      <c r="N41" s="338" t="str">
        <f>IFERROR(__xludf.DUMMYFUNCTION("""COMPUTED_VALUE"""),"Отгружен")</f>
        <v>Отгружен</v>
      </c>
      <c r="O41" s="537"/>
      <c r="P41" s="338" t="str">
        <f>IFERROR(__xludf.DUMMYFUNCTION("""COMPUTED_VALUE"""),"согласован , заказать формы")</f>
        <v>согласован , заказать формы</v>
      </c>
      <c r="Q41" s="338"/>
      <c r="R41" s="338"/>
      <c r="S41" s="338"/>
      <c r="T41" s="338"/>
      <c r="U41" s="338"/>
      <c r="V41" s="338"/>
      <c r="W41" s="338"/>
      <c r="X41" s="338"/>
      <c r="Y41" s="338"/>
      <c r="Z41" s="338"/>
    </row>
    <row r="42" ht="22.5" customHeight="1">
      <c r="A42" s="528" t="str">
        <f>IFERROR(__xludf.DUMMYFUNCTION("""COMPUTED_VALUE"""),"ООО""ФэрельГам""")</f>
        <v>ООО"ФэрельГам"</v>
      </c>
      <c r="B42" s="528"/>
      <c r="C42" s="528" t="str">
        <f>IFERROR(__xludf.DUMMYFUNCTION("""COMPUTED_VALUE"""),"470421 Огурцы соленые 600 г (Дикси) этик.")</f>
        <v>470421 Огурцы соленые 600 г (Дикси) этик.</v>
      </c>
      <c r="D42" s="528">
        <f>IFERROR(__xludf.DUMMYFUNCTION("""COMPUTED_VALUE"""),1185.0)</f>
        <v>1185</v>
      </c>
      <c r="E42" s="528" t="str">
        <f>IFERROR(__xludf.DUMMYFUNCTION("""COMPUTED_VALUE"""),"Баранов Александр")</f>
        <v>Баранов Александр</v>
      </c>
      <c r="F42" s="535" t="str">
        <f>IFERROR(__xludf.DUMMYFUNCTION("""COMPUTED_VALUE"""),"Повтор")</f>
        <v>Повтор</v>
      </c>
      <c r="G42" s="536" t="str">
        <f>IFERROR(__xludf.DUMMYFUNCTION("""COMPUTED_VALUE"""),"d110")</f>
        <v>d110</v>
      </c>
      <c r="H42" s="338" t="str">
        <f>IFERROR(__xludf.DUMMYFUNCTION("""COMPUTED_VALUE"""),"Флексопечать")</f>
        <v>Флексопечать</v>
      </c>
      <c r="I42" s="338" t="str">
        <f>IFERROR(__xludf.DUMMYFUNCTION("""COMPUTED_VALUE"""),"Weigang-450")</f>
        <v>Weigang-450</v>
      </c>
      <c r="J42" s="536">
        <f>IFERROR(__xludf.DUMMYFUNCTION("""COMPUTED_VALUE"""),20000.0)</f>
        <v>20000</v>
      </c>
      <c r="K42" s="537">
        <f>IFERROR(__xludf.DUMMYFUNCTION("""COMPUTED_VALUE"""),46106.0)</f>
        <v>46106</v>
      </c>
      <c r="L42" s="537"/>
      <c r="M42" s="338" t="str">
        <f>IFERROR(__xludf.DUMMYFUNCTION("""COMPUTED_VALUE"""),"Пленка PP белая каучук")</f>
        <v>Пленка PP белая каучук</v>
      </c>
      <c r="N42" s="338" t="str">
        <f>IFERROR(__xludf.DUMMYFUNCTION("""COMPUTED_VALUE"""),"Отгружен")</f>
        <v>Отгружен</v>
      </c>
      <c r="O42" s="537"/>
      <c r="P42" s="338"/>
      <c r="Q42" s="338"/>
      <c r="R42" s="338"/>
      <c r="S42" s="338"/>
      <c r="T42" s="338"/>
      <c r="U42" s="338"/>
      <c r="V42" s="338"/>
      <c r="W42" s="338"/>
      <c r="X42" s="338"/>
      <c r="Y42" s="338"/>
      <c r="Z42" s="338"/>
    </row>
    <row r="43" ht="22.5" customHeight="1">
      <c r="A43" s="528" t="str">
        <f>IFERROR(__xludf.DUMMYFUNCTION("""COMPUTED_VALUE"""),"     
ООО""ФэрельГам""")</f>
        <v>     
ООО"ФэрельГам"</v>
      </c>
      <c r="B43" s="528"/>
      <c r="C43" s="528" t="str">
        <f>IFERROR(__xludf.DUMMYFUNCTION("""COMPUTED_VALUE""")," 470199 Капуста по-деревенски 500 г этик.")</f>
        <v> 470199 Капуста по-деревенски 500 г этик.</v>
      </c>
      <c r="D43" s="528">
        <f>IFERROR(__xludf.DUMMYFUNCTION("""COMPUTED_VALUE"""),1671.0)</f>
        <v>1671</v>
      </c>
      <c r="E43" s="528" t="str">
        <f>IFERROR(__xludf.DUMMYFUNCTION("""COMPUTED_VALUE"""),"Баранов Александр")</f>
        <v>Баранов Александр</v>
      </c>
      <c r="F43" s="535" t="str">
        <f>IFERROR(__xludf.DUMMYFUNCTION("""COMPUTED_VALUE"""),"Новая")</f>
        <v>Новая</v>
      </c>
      <c r="G43" s="536" t="str">
        <f>IFERROR(__xludf.DUMMYFUNCTION("""COMPUTED_VALUE"""),"д110")</f>
        <v>д110</v>
      </c>
      <c r="H43" s="338" t="str">
        <f>IFERROR(__xludf.DUMMYFUNCTION("""COMPUTED_VALUE"""),"Флексопечать")</f>
        <v>Флексопечать</v>
      </c>
      <c r="I43" s="338" t="str">
        <f>IFERROR(__xludf.DUMMYFUNCTION("""COMPUTED_VALUE"""),"Wg-450")</f>
        <v>Wg-450</v>
      </c>
      <c r="J43" s="536">
        <f>IFERROR(__xludf.DUMMYFUNCTION("""COMPUTED_VALUE"""),100000.0)</f>
        <v>100000</v>
      </c>
      <c r="K43" s="537">
        <f>IFERROR(__xludf.DUMMYFUNCTION("""COMPUTED_VALUE"""),46121.0)</f>
        <v>46121</v>
      </c>
      <c r="L43" s="537"/>
      <c r="M43" s="338" t="str">
        <f>IFERROR(__xludf.DUMMYFUNCTION("""COMPUTED_VALUE"""),"Пленка PP белая каучук")</f>
        <v>Пленка PP белая каучук</v>
      </c>
      <c r="N43" s="338" t="str">
        <f>IFERROR(__xludf.DUMMYFUNCTION("""COMPUTED_VALUE"""),"Отгружен")</f>
        <v>Отгружен</v>
      </c>
      <c r="O43" s="537"/>
      <c r="P43" s="338" t="str">
        <f>IFERROR(__xludf.DUMMYFUNCTION("""COMPUTED_VALUE"""),"СОГЛАСОВАН")</f>
        <v>СОГЛАСОВАН</v>
      </c>
      <c r="Q43" s="338"/>
      <c r="R43" s="338"/>
      <c r="S43" s="338"/>
      <c r="T43" s="338"/>
      <c r="U43" s="338"/>
      <c r="V43" s="338"/>
      <c r="W43" s="338"/>
      <c r="X43" s="338"/>
      <c r="Y43" s="338"/>
      <c r="Z43" s="338"/>
    </row>
    <row r="44" ht="22.5" customHeight="1">
      <c r="A44" s="528" t="str">
        <f>IFERROR(__xludf.DUMMYFUNCTION("""COMPUTED_VALUE"""),"Калье")</f>
        <v>Калье</v>
      </c>
      <c r="B44" s="528"/>
      <c r="C44" s="528" t="str">
        <f>IFERROR(__xludf.DUMMYFUNCTION("""COMPUTED_VALUE"""),"Pashe 30 мл Сыворотка «Активные молекулы 4Х»")</f>
        <v>Pashe 30 мл Сыворотка «Активные молекулы 4Х»</v>
      </c>
      <c r="D44" s="528">
        <f>IFERROR(__xludf.DUMMYFUNCTION("""COMPUTED_VALUE"""),1695.0)</f>
        <v>1695</v>
      </c>
      <c r="E44" s="528" t="str">
        <f>IFERROR(__xludf.DUMMYFUNCTION("""COMPUTED_VALUE"""),"Татьяна Денисова")</f>
        <v>Татьяна Денисова</v>
      </c>
      <c r="F44" s="535" t="str">
        <f>IFERROR(__xludf.DUMMYFUNCTION("""COMPUTED_VALUE"""),"Повтор с изменениями")</f>
        <v>Повтор с изменениями</v>
      </c>
      <c r="G44" s="536" t="str">
        <f>IFERROR(__xludf.DUMMYFUNCTION("""COMPUTED_VALUE"""),"44*96")</f>
        <v>44*96</v>
      </c>
      <c r="H44" s="338" t="str">
        <f>IFERROR(__xludf.DUMMYFUNCTION("""COMPUTED_VALUE"""),"Флексопечать")</f>
        <v>Флексопечать</v>
      </c>
      <c r="I44" s="338" t="str">
        <f>IFERROR(__xludf.DUMMYFUNCTION("""COMPUTED_VALUE"""),"Bg-330")</f>
        <v>Bg-330</v>
      </c>
      <c r="J44" s="536">
        <f>IFERROR(__xludf.DUMMYFUNCTION("""COMPUTED_VALUE"""),5000.0)</f>
        <v>5000</v>
      </c>
      <c r="K44" s="537">
        <f>IFERROR(__xludf.DUMMYFUNCTION("""COMPUTED_VALUE"""),46126.0)</f>
        <v>46126</v>
      </c>
      <c r="L44" s="537"/>
      <c r="M44" s="338" t="str">
        <f>IFERROR(__xludf.DUMMYFUNCTION("""COMPUTED_VALUE"""),"Пленка PP белая акрил")</f>
        <v>Пленка PP белая акрил</v>
      </c>
      <c r="N44" s="338" t="str">
        <f>IFERROR(__xludf.DUMMYFUNCTION("""COMPUTED_VALUE"""),"Отгружен")</f>
        <v>Отгружен</v>
      </c>
      <c r="O44" s="537"/>
      <c r="P44" s="338" t="str">
        <f>IFERROR(__xludf.DUMMYFUNCTION("""COMPUTED_VALUE"""),"Приладка заказа как и всегда в раб дни с 8:30 до 17:30. Упаковать бобины в стрейч и коробки")</f>
        <v>Приладка заказа как и всегда в раб дни с 8:30 до 17:30. Упаковать бобины в стрейч и коробки</v>
      </c>
      <c r="Q44" s="338" t="str">
        <f>IFERROR(__xludf.DUMMYFUNCTION("""COMPUTED_VALUE"""),"Сама заказываю ТК")</f>
        <v>Сама заказываю ТК</v>
      </c>
      <c r="R44" s="338"/>
      <c r="S44" s="338"/>
      <c r="T44" s="338"/>
      <c r="U44" s="338"/>
      <c r="V44" s="338"/>
      <c r="W44" s="338"/>
      <c r="X44" s="338"/>
      <c r="Y44" s="338"/>
      <c r="Z44" s="338"/>
    </row>
    <row r="45" ht="22.5" customHeight="1">
      <c r="A45" s="528" t="str">
        <f>IFERROR(__xludf.DUMMYFUNCTION("""COMPUTED_VALUE"""),"Калье")</f>
        <v>Калье</v>
      </c>
      <c r="B45" s="528"/>
      <c r="C45" s="528" t="str">
        <f>IFERROR(__xludf.DUMMYFUNCTION("""COMPUTED_VALUE"""),"Pashe 30 мл Сыворотка против несовершенств кожи")</f>
        <v>Pashe 30 мл Сыворотка против несовершенств кожи</v>
      </c>
      <c r="D45" s="528">
        <f>IFERROR(__xludf.DUMMYFUNCTION("""COMPUTED_VALUE"""),1696.0)</f>
        <v>1696</v>
      </c>
      <c r="E45" s="528" t="str">
        <f>IFERROR(__xludf.DUMMYFUNCTION("""COMPUTED_VALUE"""),"Татьяна Денисова")</f>
        <v>Татьяна Денисова</v>
      </c>
      <c r="F45" s="535" t="str">
        <f>IFERROR(__xludf.DUMMYFUNCTION("""COMPUTED_VALUE"""),"Повтор с изменениями")</f>
        <v>Повтор с изменениями</v>
      </c>
      <c r="G45" s="536" t="str">
        <f>IFERROR(__xludf.DUMMYFUNCTION("""COMPUTED_VALUE"""),"44*96")</f>
        <v>44*96</v>
      </c>
      <c r="H45" s="338" t="str">
        <f>IFERROR(__xludf.DUMMYFUNCTION("""COMPUTED_VALUE"""),"Флексопечать")</f>
        <v>Флексопечать</v>
      </c>
      <c r="I45" s="338" t="str">
        <f>IFERROR(__xludf.DUMMYFUNCTION("""COMPUTED_VALUE"""),"Bg-330")</f>
        <v>Bg-330</v>
      </c>
      <c r="J45" s="536">
        <f>IFERROR(__xludf.DUMMYFUNCTION("""COMPUTED_VALUE"""),5000.0)</f>
        <v>5000</v>
      </c>
      <c r="K45" s="537">
        <f>IFERROR(__xludf.DUMMYFUNCTION("""COMPUTED_VALUE"""),46126.0)</f>
        <v>46126</v>
      </c>
      <c r="L45" s="537"/>
      <c r="M45" s="338" t="str">
        <f>IFERROR(__xludf.DUMMYFUNCTION("""COMPUTED_VALUE"""),"Пленка PP белая акрил")</f>
        <v>Пленка PP белая акрил</v>
      </c>
      <c r="N45" s="338" t="str">
        <f>IFERROR(__xludf.DUMMYFUNCTION("""COMPUTED_VALUE"""),"Отгружен")</f>
        <v>Отгружен</v>
      </c>
      <c r="O45" s="537"/>
      <c r="P45" s="338" t="str">
        <f>IFERROR(__xludf.DUMMYFUNCTION("""COMPUTED_VALUE"""),"Приладка заказа как и всегда в раб дни с 8:30 до 17:30. Упаковать бобины в стрейч и коробки")</f>
        <v>Приладка заказа как и всегда в раб дни с 8:30 до 17:30. Упаковать бобины в стрейч и коробки</v>
      </c>
      <c r="Q45" s="338" t="str">
        <f>IFERROR(__xludf.DUMMYFUNCTION("""COMPUTED_VALUE"""),"Сама заказываю ТК")</f>
        <v>Сама заказываю ТК</v>
      </c>
      <c r="R45" s="338"/>
      <c r="S45" s="338"/>
      <c r="T45" s="338"/>
      <c r="U45" s="338"/>
      <c r="V45" s="338"/>
      <c r="W45" s="338"/>
      <c r="X45" s="338"/>
      <c r="Y45" s="338"/>
      <c r="Z45" s="338"/>
    </row>
    <row r="46" ht="22.5" customHeight="1">
      <c r="A46" s="528" t="str">
        <f>IFERROR(__xludf.DUMMYFUNCTION("""COMPUTED_VALUE"""),"Новапродукт АГ")</f>
        <v>Новапродукт АГ</v>
      </c>
      <c r="B46" s="528"/>
      <c r="C46" s="528" t="str">
        <f>IFERROR(__xludf.DUMMYFUNCTION("""COMPUTED_VALUE"""),"Ол'Лайт 650 лицевая ")</f>
        <v>Ол'Лайт 650 лицевая </v>
      </c>
      <c r="D46" s="528">
        <f>IFERROR(__xludf.DUMMYFUNCTION("""COMPUTED_VALUE"""),1248.0)</f>
        <v>1248</v>
      </c>
      <c r="E46" s="528" t="str">
        <f>IFERROR(__xludf.DUMMYFUNCTION("""COMPUTED_VALUE"""),"Шаповалова Юлия")</f>
        <v>Шаповалова Юлия</v>
      </c>
      <c r="F46" s="535" t="str">
        <f>IFERROR(__xludf.DUMMYFUNCTION("""COMPUTED_VALUE"""),"Новая")</f>
        <v>Новая</v>
      </c>
      <c r="G46" s="536" t="str">
        <f>IFERROR(__xludf.DUMMYFUNCTION("""COMPUTED_VALUE"""),"86,6х26")</f>
        <v>86,6х26</v>
      </c>
      <c r="H46" s="338" t="str">
        <f>IFERROR(__xludf.DUMMYFUNCTION("""COMPUTED_VALUE"""),"Флексопечать")</f>
        <v>Флексопечать</v>
      </c>
      <c r="I46" s="338" t="str">
        <f>IFERROR(__xludf.DUMMYFUNCTION("""COMPUTED_VALUE"""),"Bengraphic-330")</f>
        <v>Bengraphic-330</v>
      </c>
      <c r="J46" s="536" t="str">
        <f>IFERROR(__xludf.DUMMYFUNCTION("""COMPUTED_VALUE"""),"50 000")</f>
        <v>50 000</v>
      </c>
      <c r="K46" s="537">
        <f>IFERROR(__xludf.DUMMYFUNCTION("""COMPUTED_VALUE"""),46107.0)</f>
        <v>46107</v>
      </c>
      <c r="L46" s="537"/>
      <c r="M46" s="338" t="str">
        <f>IFERROR(__xludf.DUMMYFUNCTION("""COMPUTED_VALUE"""),"Бумага полуглянец акрил")</f>
        <v>Бумага полуглянец акрил</v>
      </c>
      <c r="N46" s="338" t="str">
        <f>IFERROR(__xludf.DUMMYFUNCTION("""COMPUTED_VALUE"""),"Отгружен")</f>
        <v>Отгружен</v>
      </c>
      <c r="O46" s="537"/>
      <c r="P46" s="338"/>
      <c r="Q46" s="338" t="str">
        <f>IFERROR(__xludf.DUMMYFUNCTION("""COMPUTED_VALUE"""),"МО г. Подольск д. Северово ул. Кутузовская д. 5  Отгрузка до 16:00 ")</f>
        <v>МО г. Подольск д. Северово ул. Кутузовская д. 5  Отгрузка до 16:00 </v>
      </c>
      <c r="R46" s="338"/>
      <c r="S46" s="338"/>
      <c r="T46" s="338"/>
      <c r="U46" s="338"/>
      <c r="V46" s="338"/>
      <c r="W46" s="338"/>
      <c r="X46" s="338"/>
      <c r="Y46" s="338"/>
      <c r="Z46" s="338"/>
    </row>
    <row r="47" ht="22.5" customHeight="1">
      <c r="A47" s="528" t="str">
        <f>IFERROR(__xludf.DUMMYFUNCTION("""COMPUTED_VALUE"""),"Новапродукт АГ")</f>
        <v>Новапродукт АГ</v>
      </c>
      <c r="B47" s="528"/>
      <c r="C47" s="528" t="str">
        <f>IFERROR(__xludf.DUMMYFUNCTION("""COMPUTED_VALUE"""),"Ол'Лайт 650 оборот ")</f>
        <v>Ол'Лайт 650 оборот </v>
      </c>
      <c r="D47" s="528">
        <f>IFERROR(__xludf.DUMMYFUNCTION("""COMPUTED_VALUE"""),1249.0)</f>
        <v>1249</v>
      </c>
      <c r="E47" s="528" t="str">
        <f>IFERROR(__xludf.DUMMYFUNCTION("""COMPUTED_VALUE"""),"Шаповалова Юлия")</f>
        <v>Шаповалова Юлия</v>
      </c>
      <c r="F47" s="535" t="str">
        <f>IFERROR(__xludf.DUMMYFUNCTION("""COMPUTED_VALUE"""),"Новая")</f>
        <v>Новая</v>
      </c>
      <c r="G47" s="536" t="str">
        <f>IFERROR(__xludf.DUMMYFUNCTION("""COMPUTED_VALUE"""),"86,6х27")</f>
        <v>86,6х27</v>
      </c>
      <c r="H47" s="338" t="str">
        <f>IFERROR(__xludf.DUMMYFUNCTION("""COMPUTED_VALUE"""),"Флексопечать")</f>
        <v>Флексопечать</v>
      </c>
      <c r="I47" s="338" t="str">
        <f>IFERROR(__xludf.DUMMYFUNCTION("""COMPUTED_VALUE"""),"Bengraphic-330")</f>
        <v>Bengraphic-330</v>
      </c>
      <c r="J47" s="536" t="str">
        <f>IFERROR(__xludf.DUMMYFUNCTION("""COMPUTED_VALUE"""),"50 000")</f>
        <v>50 000</v>
      </c>
      <c r="K47" s="537">
        <f>IFERROR(__xludf.DUMMYFUNCTION("""COMPUTED_VALUE"""),46107.0)</f>
        <v>46107</v>
      </c>
      <c r="L47" s="537"/>
      <c r="M47" s="338" t="str">
        <f>IFERROR(__xludf.DUMMYFUNCTION("""COMPUTED_VALUE"""),"Бумага полуглянец акрил")</f>
        <v>Бумага полуглянец акрил</v>
      </c>
      <c r="N47" s="338" t="str">
        <f>IFERROR(__xludf.DUMMYFUNCTION("""COMPUTED_VALUE"""),"Отгружен")</f>
        <v>Отгружен</v>
      </c>
      <c r="O47" s="537"/>
      <c r="P47" s="338"/>
      <c r="Q47" s="338" t="str">
        <f>IFERROR(__xludf.DUMMYFUNCTION("""COMPUTED_VALUE"""),"МО г. Подольск д. Северово ул. Кутузовская д. 5 Отгрузка до 16:00 ")</f>
        <v>МО г. Подольск д. Северово ул. Кутузовская д. 5 Отгрузка до 16:00 </v>
      </c>
      <c r="R47" s="338"/>
      <c r="S47" s="338"/>
      <c r="T47" s="338"/>
      <c r="U47" s="338"/>
      <c r="V47" s="338"/>
      <c r="W47" s="338"/>
      <c r="X47" s="338"/>
      <c r="Y47" s="338"/>
      <c r="Z47" s="338"/>
    </row>
    <row r="48" ht="22.5" customHeight="1">
      <c r="A48" s="528" t="str">
        <f>IFERROR(__xludf.DUMMYFUNCTION("""COMPUTED_VALUE"""),"Новапродукт АГ")</f>
        <v>Новапродукт АГ</v>
      </c>
      <c r="B48" s="528"/>
      <c r="C48" s="528" t="str">
        <f>IFERROR(__xludf.DUMMYFUNCTION("""COMPUTED_VALUE"""),"Новасвит 650 (комбо)")</f>
        <v>Новасвит 650 (комбо)</v>
      </c>
      <c r="D48" s="528">
        <f>IFERROR(__xludf.DUMMYFUNCTION("""COMPUTED_VALUE"""),1250.0)</f>
        <v>1250</v>
      </c>
      <c r="E48" s="528" t="str">
        <f>IFERROR(__xludf.DUMMYFUNCTION("""COMPUTED_VALUE"""),"Шаповалова Юлия")</f>
        <v>Шаповалова Юлия</v>
      </c>
      <c r="F48" s="535" t="str">
        <f>IFERROR(__xludf.DUMMYFUNCTION("""COMPUTED_VALUE"""),"Новая")</f>
        <v>Новая</v>
      </c>
      <c r="G48" s="536" t="str">
        <f>IFERROR(__xludf.DUMMYFUNCTION("""COMPUTED_VALUE"""),"86,6х28")</f>
        <v>86,6х28</v>
      </c>
      <c r="H48" s="338" t="str">
        <f>IFERROR(__xludf.DUMMYFUNCTION("""COMPUTED_VALUE"""),"Флексопечать")</f>
        <v>Флексопечать</v>
      </c>
      <c r="I48" s="338" t="str">
        <f>IFERROR(__xludf.DUMMYFUNCTION("""COMPUTED_VALUE"""),"Bengraphic-330")</f>
        <v>Bengraphic-330</v>
      </c>
      <c r="J48" s="536" t="str">
        <f>IFERROR(__xludf.DUMMYFUNCTION("""COMPUTED_VALUE"""),"30 000")</f>
        <v>30 000</v>
      </c>
      <c r="K48" s="537">
        <f>IFERROR(__xludf.DUMMYFUNCTION("""COMPUTED_VALUE"""),46107.0)</f>
        <v>46107</v>
      </c>
      <c r="L48" s="537"/>
      <c r="M48" s="338" t="str">
        <f>IFERROR(__xludf.DUMMYFUNCTION("""COMPUTED_VALUE"""),"Бумага полуглянец акрил")</f>
        <v>Бумага полуглянец акрил</v>
      </c>
      <c r="N48" s="338" t="str">
        <f>IFERROR(__xludf.DUMMYFUNCTION("""COMPUTED_VALUE"""),"Отгружен")</f>
        <v>Отгружен</v>
      </c>
      <c r="O48" s="537"/>
      <c r="P48" s="338"/>
      <c r="Q48" s="338" t="str">
        <f>IFERROR(__xludf.DUMMYFUNCTION("""COMPUTED_VALUE"""),"МО г. Подольск д. Северово ул. Кутузовская д. 5  Отгрузка до 16:00 ")</f>
        <v>МО г. Подольск д. Северово ул. Кутузовская д. 5  Отгрузка до 16:00 </v>
      </c>
      <c r="R48" s="338"/>
      <c r="S48" s="338"/>
      <c r="T48" s="338"/>
      <c r="U48" s="338"/>
      <c r="V48" s="338"/>
      <c r="W48" s="338"/>
      <c r="X48" s="338"/>
      <c r="Y48" s="338"/>
      <c r="Z48" s="338"/>
    </row>
    <row r="49" ht="22.5" customHeight="1">
      <c r="A49" s="528" t="str">
        <f>IFERROR(__xludf.DUMMYFUNCTION("""COMPUTED_VALUE"""),"Новапродукт АГ")</f>
        <v>Новапродукт АГ</v>
      </c>
      <c r="B49" s="528"/>
      <c r="C49" s="528" t="str">
        <f>IFERROR(__xludf.DUMMYFUNCTION("""COMPUTED_VALUE"""),"Новасвит 1200 лицевая ")</f>
        <v>Новасвит 1200 лицевая </v>
      </c>
      <c r="D49" s="528">
        <f>IFERROR(__xludf.DUMMYFUNCTION("""COMPUTED_VALUE"""),1251.0)</f>
        <v>1251</v>
      </c>
      <c r="E49" s="528" t="str">
        <f>IFERROR(__xludf.DUMMYFUNCTION("""COMPUTED_VALUE"""),"Шаповалова Юлия")</f>
        <v>Шаповалова Юлия</v>
      </c>
      <c r="F49" s="535" t="str">
        <f>IFERROR(__xludf.DUMMYFUNCTION("""COMPUTED_VALUE"""),"Новая")</f>
        <v>Новая</v>
      </c>
      <c r="G49" s="536" t="str">
        <f>IFERROR(__xludf.DUMMYFUNCTION("""COMPUTED_VALUE"""),"100,5х31,5")</f>
        <v>100,5х31,5</v>
      </c>
      <c r="H49" s="338" t="str">
        <f>IFERROR(__xludf.DUMMYFUNCTION("""COMPUTED_VALUE"""),"Флексопечать")</f>
        <v>Флексопечать</v>
      </c>
      <c r="I49" s="338" t="str">
        <f>IFERROR(__xludf.DUMMYFUNCTION("""COMPUTED_VALUE"""),"Bengraphic-330")</f>
        <v>Bengraphic-330</v>
      </c>
      <c r="J49" s="536" t="str">
        <f>IFERROR(__xludf.DUMMYFUNCTION("""COMPUTED_VALUE"""),"200 000")</f>
        <v>200 000</v>
      </c>
      <c r="K49" s="537">
        <f>IFERROR(__xludf.DUMMYFUNCTION("""COMPUTED_VALUE"""),46107.0)</f>
        <v>46107</v>
      </c>
      <c r="L49" s="537"/>
      <c r="M49" s="338" t="str">
        <f>IFERROR(__xludf.DUMMYFUNCTION("""COMPUTED_VALUE"""),"Бумага полуглянец акрил")</f>
        <v>Бумага полуглянец акрил</v>
      </c>
      <c r="N49" s="338" t="str">
        <f>IFERROR(__xludf.DUMMYFUNCTION("""COMPUTED_VALUE"""),"Отгружен")</f>
        <v>Отгружен</v>
      </c>
      <c r="O49" s="537"/>
      <c r="P49" s="338"/>
      <c r="Q49" s="338" t="str">
        <f>IFERROR(__xludf.DUMMYFUNCTION("""COMPUTED_VALUE"""),"МО г. Подольск д. Северово ул. Кутузовская д. 5 Отгрузка до 16:00 ")</f>
        <v>МО г. Подольск д. Северово ул. Кутузовская д. 5 Отгрузка до 16:00 </v>
      </c>
      <c r="R49" s="338"/>
      <c r="S49" s="338"/>
      <c r="T49" s="338"/>
      <c r="U49" s="338"/>
      <c r="V49" s="338"/>
      <c r="W49" s="338"/>
      <c r="X49" s="338"/>
      <c r="Y49" s="338"/>
      <c r="Z49" s="338"/>
    </row>
    <row r="50" ht="22.5" customHeight="1">
      <c r="A50" s="528" t="str">
        <f>IFERROR(__xludf.DUMMYFUNCTION("""COMPUTED_VALUE"""),"Новапродукт АГ")</f>
        <v>Новапродукт АГ</v>
      </c>
      <c r="B50" s="528"/>
      <c r="C50" s="528" t="str">
        <f>IFERROR(__xludf.DUMMYFUNCTION("""COMPUTED_VALUE"""),"Новасвит 1200 оборот")</f>
        <v>Новасвит 1200 оборот</v>
      </c>
      <c r="D50" s="528">
        <f>IFERROR(__xludf.DUMMYFUNCTION("""COMPUTED_VALUE"""),1252.0)</f>
        <v>1252</v>
      </c>
      <c r="E50" s="528" t="str">
        <f>IFERROR(__xludf.DUMMYFUNCTION("""COMPUTED_VALUE"""),"Шаповалова Юлия")</f>
        <v>Шаповалова Юлия</v>
      </c>
      <c r="F50" s="535" t="str">
        <f>IFERROR(__xludf.DUMMYFUNCTION("""COMPUTED_VALUE"""),"Новая")</f>
        <v>Новая</v>
      </c>
      <c r="G50" s="536" t="str">
        <f>IFERROR(__xludf.DUMMYFUNCTION("""COMPUTED_VALUE"""),"100,5х31,6")</f>
        <v>100,5х31,6</v>
      </c>
      <c r="H50" s="338" t="str">
        <f>IFERROR(__xludf.DUMMYFUNCTION("""COMPUTED_VALUE"""),"Флексопечать")</f>
        <v>Флексопечать</v>
      </c>
      <c r="I50" s="338" t="str">
        <f>IFERROR(__xludf.DUMMYFUNCTION("""COMPUTED_VALUE"""),"Bengraphic-330")</f>
        <v>Bengraphic-330</v>
      </c>
      <c r="J50" s="536" t="str">
        <f>IFERROR(__xludf.DUMMYFUNCTION("""COMPUTED_VALUE"""),"200 000")</f>
        <v>200 000</v>
      </c>
      <c r="K50" s="537">
        <f>IFERROR(__xludf.DUMMYFUNCTION("""COMPUTED_VALUE"""),46107.0)</f>
        <v>46107</v>
      </c>
      <c r="L50" s="537"/>
      <c r="M50" s="338" t="str">
        <f>IFERROR(__xludf.DUMMYFUNCTION("""COMPUTED_VALUE"""),"Бумага полуглянец акрил")</f>
        <v>Бумага полуглянец акрил</v>
      </c>
      <c r="N50" s="338" t="str">
        <f>IFERROR(__xludf.DUMMYFUNCTION("""COMPUTED_VALUE"""),"Отгружен")</f>
        <v>Отгружен</v>
      </c>
      <c r="O50" s="537"/>
      <c r="P50" s="338"/>
      <c r="Q50" s="338" t="str">
        <f>IFERROR(__xludf.DUMMYFUNCTION("""COMPUTED_VALUE"""),"МО г. Подольск д. Северово ул. Кутузовская д. 5  Отгрузка до 16:00, +7 (977) 615-23-51 Екатерина")</f>
        <v>МО г. Подольск д. Северово ул. Кутузовская д. 5  Отгрузка до 16:00, +7 (977) 615-23-51 Екатерина</v>
      </c>
      <c r="R50" s="338"/>
      <c r="S50" s="338"/>
      <c r="T50" s="338"/>
      <c r="U50" s="338"/>
      <c r="V50" s="338"/>
      <c r="W50" s="338"/>
      <c r="X50" s="338"/>
      <c r="Y50" s="338"/>
      <c r="Z50" s="338"/>
    </row>
    <row r="51" ht="22.5" customHeight="1">
      <c r="A51" s="528" t="str">
        <f>IFERROR(__xludf.DUMMYFUNCTION("""COMPUTED_VALUE"""),"ООО""ФэрельГам""")</f>
        <v>ООО"ФэрельГам"</v>
      </c>
      <c r="B51" s="528"/>
      <c r="C51" s="528" t="str">
        <f>IFERROR(__xludf.DUMMYFUNCTION("""COMPUTED_VALUE"""),"470753 Яблоки моченые 1000 г этик.")</f>
        <v>470753 Яблоки моченые 1000 г этик.</v>
      </c>
      <c r="D51" s="528">
        <f>IFERROR(__xludf.DUMMYFUNCTION("""COMPUTED_VALUE"""),1365.0)</f>
        <v>1365</v>
      </c>
      <c r="E51" s="528" t="str">
        <f>IFERROR(__xludf.DUMMYFUNCTION("""COMPUTED_VALUE"""),"Баранов Александр")</f>
        <v>Баранов Александр</v>
      </c>
      <c r="F51" s="535" t="str">
        <f>IFERROR(__xludf.DUMMYFUNCTION("""COMPUTED_VALUE"""),"Новая")</f>
        <v>Новая</v>
      </c>
      <c r="G51" s="536" t="str">
        <f>IFERROR(__xludf.DUMMYFUNCTION("""COMPUTED_VALUE"""),"D110")</f>
        <v>D110</v>
      </c>
      <c r="H51" s="338" t="str">
        <f>IFERROR(__xludf.DUMMYFUNCTION("""COMPUTED_VALUE"""),"Флексопечать")</f>
        <v>Флексопечать</v>
      </c>
      <c r="I51" s="338" t="str">
        <f>IFERROR(__xludf.DUMMYFUNCTION("""COMPUTED_VALUE"""),"Weigang-450")</f>
        <v>Weigang-450</v>
      </c>
      <c r="J51" s="536">
        <f>IFERROR(__xludf.DUMMYFUNCTION("""COMPUTED_VALUE"""),10000.0)</f>
        <v>10000</v>
      </c>
      <c r="K51" s="537">
        <f>IFERROR(__xludf.DUMMYFUNCTION("""COMPUTED_VALUE"""),46108.0)</f>
        <v>46108</v>
      </c>
      <c r="L51" s="537"/>
      <c r="M51" s="338" t="str">
        <f>IFERROR(__xludf.DUMMYFUNCTION("""COMPUTED_VALUE"""),"Пленка PP белая каучук")</f>
        <v>Пленка PP белая каучук</v>
      </c>
      <c r="N51" s="338" t="str">
        <f>IFERROR(__xludf.DUMMYFUNCTION("""COMPUTED_VALUE"""),"Отгружен")</f>
        <v>Отгружен</v>
      </c>
      <c r="O51" s="537"/>
      <c r="P51" s="338"/>
      <c r="Q51" s="338"/>
      <c r="R51" s="338"/>
      <c r="S51" s="338"/>
      <c r="T51" s="338"/>
      <c r="U51" s="338"/>
      <c r="V51" s="338"/>
      <c r="W51" s="338"/>
      <c r="X51" s="338"/>
      <c r="Y51" s="338"/>
      <c r="Z51" s="338"/>
    </row>
    <row r="52" ht="22.5" customHeight="1">
      <c r="A52" s="528" t="str">
        <f>IFERROR(__xludf.DUMMYFUNCTION("""COMPUTED_VALUE"""),"ООО""ФэрельГам""")</f>
        <v>ООО"ФэрельГам"</v>
      </c>
      <c r="B52" s="528"/>
      <c r="C52" s="528" t="str">
        <f>IFERROR(__xludf.DUMMYFUNCTION("""COMPUTED_VALUE"""),"470608 Томаты соленые красные 1000 г этик.")</f>
        <v>470608 Томаты соленые красные 1000 г этик.</v>
      </c>
      <c r="D52" s="528">
        <f>IFERROR(__xludf.DUMMYFUNCTION("""COMPUTED_VALUE"""),1221.0)</f>
        <v>1221</v>
      </c>
      <c r="E52" s="528" t="str">
        <f>IFERROR(__xludf.DUMMYFUNCTION("""COMPUTED_VALUE"""),"Баранов Александр")</f>
        <v>Баранов Александр</v>
      </c>
      <c r="F52" s="535" t="str">
        <f>IFERROR(__xludf.DUMMYFUNCTION("""COMPUTED_VALUE"""),"Новая")</f>
        <v>Новая</v>
      </c>
      <c r="G52" s="536" t="str">
        <f>IFERROR(__xludf.DUMMYFUNCTION("""COMPUTED_VALUE"""),"D110")</f>
        <v>D110</v>
      </c>
      <c r="H52" s="338" t="str">
        <f>IFERROR(__xludf.DUMMYFUNCTION("""COMPUTED_VALUE"""),"Флексопечать")</f>
        <v>Флексопечать</v>
      </c>
      <c r="I52" s="338" t="str">
        <f>IFERROR(__xludf.DUMMYFUNCTION("""COMPUTED_VALUE"""),"Weigang-450")</f>
        <v>Weigang-450</v>
      </c>
      <c r="J52" s="536">
        <f>IFERROR(__xludf.DUMMYFUNCTION("""COMPUTED_VALUE"""),10000.0)</f>
        <v>10000</v>
      </c>
      <c r="K52" s="537">
        <f>IFERROR(__xludf.DUMMYFUNCTION("""COMPUTED_VALUE"""),46108.0)</f>
        <v>46108</v>
      </c>
      <c r="L52" s="537"/>
      <c r="M52" s="338" t="str">
        <f>IFERROR(__xludf.DUMMYFUNCTION("""COMPUTED_VALUE"""),"Пленка PP белая каучук")</f>
        <v>Пленка PP белая каучук</v>
      </c>
      <c r="N52" s="338" t="str">
        <f>IFERROR(__xludf.DUMMYFUNCTION("""COMPUTED_VALUE"""),"Отгружен")</f>
        <v>Отгружен</v>
      </c>
      <c r="O52" s="537"/>
      <c r="P52" s="338" t="str">
        <f>IFERROR(__xludf.DUMMYFUNCTION("""COMPUTED_VALUE"""),"СОГЛАСОВАН")</f>
        <v>СОГЛАСОВАН</v>
      </c>
      <c r="Q52" s="338"/>
      <c r="R52" s="338"/>
      <c r="S52" s="338"/>
      <c r="T52" s="338"/>
      <c r="U52" s="338"/>
      <c r="V52" s="338"/>
      <c r="W52" s="338"/>
      <c r="X52" s="338"/>
      <c r="Y52" s="338"/>
      <c r="Z52" s="338"/>
    </row>
    <row r="53" ht="22.5" customHeight="1">
      <c r="A53" s="528" t="str">
        <f>IFERROR(__xludf.DUMMYFUNCTION("""COMPUTED_VALUE"""),"Меренга")</f>
        <v>Меренга</v>
      </c>
      <c r="B53" s="528"/>
      <c r="C53" s="528" t="str">
        <f>IFERROR(__xludf.DUMMYFUNCTION("""COMPUTED_VALUE"""),"Торт ""Бенто"" медовик с брусникой (Люблю)")</f>
        <v>Торт "Бенто" медовик с брусникой (Люблю)</v>
      </c>
      <c r="D53" s="528">
        <f>IFERROR(__xludf.DUMMYFUNCTION("""COMPUTED_VALUE"""),1247.0)</f>
        <v>1247</v>
      </c>
      <c r="E53" s="528" t="str">
        <f>IFERROR(__xludf.DUMMYFUNCTION("""COMPUTED_VALUE"""),"Римма Лукина")</f>
        <v>Римма Лукина</v>
      </c>
      <c r="F53" s="535" t="str">
        <f>IFERROR(__xludf.DUMMYFUNCTION("""COMPUTED_VALUE"""),"Повтор с изменениями")</f>
        <v>Повтор с изменениями</v>
      </c>
      <c r="G53" s="536" t="str">
        <f>IFERROR(__xludf.DUMMYFUNCTION("""COMPUTED_VALUE"""),"35*297")</f>
        <v>35*297</v>
      </c>
      <c r="H53" s="338" t="str">
        <f>IFERROR(__xludf.DUMMYFUNCTION("""COMPUTED_VALUE"""),"Флексопечать")</f>
        <v>Флексопечать</v>
      </c>
      <c r="I53" s="338" t="str">
        <f>IFERROR(__xludf.DUMMYFUNCTION("""COMPUTED_VALUE"""),"Bg-330")</f>
        <v>Bg-330</v>
      </c>
      <c r="J53" s="536">
        <f>IFERROR(__xludf.DUMMYFUNCTION("""COMPUTED_VALUE"""),20000.0)</f>
        <v>20000</v>
      </c>
      <c r="K53" s="537">
        <f>IFERROR(__xludf.DUMMYFUNCTION("""COMPUTED_VALUE"""),46108.0)</f>
        <v>46108</v>
      </c>
      <c r="L53" s="537"/>
      <c r="M53" s="338" t="str">
        <f>IFERROR(__xludf.DUMMYFUNCTION("""COMPUTED_VALUE"""),"Бумага полуглянец акрил")</f>
        <v>Бумага полуглянец акрил</v>
      </c>
      <c r="N53" s="338" t="str">
        <f>IFERROR(__xludf.DUMMYFUNCTION("""COMPUTED_VALUE"""),"Отгружен")</f>
        <v>Отгружен</v>
      </c>
      <c r="O53" s="537"/>
      <c r="P53" s="338"/>
      <c r="Q53" s="338"/>
      <c r="R53" s="338"/>
      <c r="S53" s="338"/>
      <c r="T53" s="338"/>
      <c r="U53" s="338"/>
      <c r="V53" s="338"/>
      <c r="W53" s="338"/>
      <c r="X53" s="338"/>
      <c r="Y53" s="338"/>
      <c r="Z53" s="338"/>
    </row>
    <row r="54" ht="22.5" customHeight="1">
      <c r="A54" s="528" t="str">
        <f>IFERROR(__xludf.DUMMYFUNCTION("""COMPUTED_VALUE"""),"Ангстрем/Националь")</f>
        <v>Ангстрем/Националь</v>
      </c>
      <c r="B54" s="528"/>
      <c r="C54" s="528" t="str">
        <f>IFERROR(__xludf.DUMMYFUNCTION("""COMPUTED_VALUE"""),"И/Э 100*70 ИЗ ЛАВКИ Т/П Крупа гречневая 900г")</f>
        <v>И/Э 100*70 ИЗ ЛАВКИ Т/П Крупа гречневая 900г</v>
      </c>
      <c r="D54" s="528">
        <f>IFERROR(__xludf.DUMMYFUNCTION("""COMPUTED_VALUE"""),1264.0)</f>
        <v>1264</v>
      </c>
      <c r="E54" s="528" t="str">
        <f>IFERROR(__xludf.DUMMYFUNCTION("""COMPUTED_VALUE"""),"Шаповалова Юлия")</f>
        <v>Шаповалова Юлия</v>
      </c>
      <c r="F54" s="535" t="str">
        <f>IFERROR(__xludf.DUMMYFUNCTION("""COMPUTED_VALUE"""),"Новая")</f>
        <v>Новая</v>
      </c>
      <c r="G54" s="536" t="str">
        <f>IFERROR(__xludf.DUMMYFUNCTION("""COMPUTED_VALUE"""),"70*100")</f>
        <v>70*100</v>
      </c>
      <c r="H54" s="338" t="str">
        <f>IFERROR(__xludf.DUMMYFUNCTION("""COMPUTED_VALUE"""),"Флексопечать")</f>
        <v>Флексопечать</v>
      </c>
      <c r="I54" s="338" t="str">
        <f>IFERROR(__xludf.DUMMYFUNCTION("""COMPUTED_VALUE"""),"Wg-450")</f>
        <v>Wg-450</v>
      </c>
      <c r="J54" s="536" t="str">
        <f>IFERROR(__xludf.DUMMYFUNCTION("""COMPUTED_VALUE"""),"15 000")</f>
        <v>15 000</v>
      </c>
      <c r="K54" s="537">
        <f>IFERROR(__xludf.DUMMYFUNCTION("""COMPUTED_VALUE"""),46108.0)</f>
        <v>46108</v>
      </c>
      <c r="L54" s="537"/>
      <c r="M54" s="338" t="str">
        <f>IFERROR(__xludf.DUMMYFUNCTION("""COMPUTED_VALUE"""),"Бумага полуглянец акрил")</f>
        <v>Бумага полуглянец акрил</v>
      </c>
      <c r="N54" s="338" t="str">
        <f>IFERROR(__xludf.DUMMYFUNCTION("""COMPUTED_VALUE"""),"Отгружен")</f>
        <v>Отгружен</v>
      </c>
      <c r="O54" s="537"/>
      <c r="P54" s="338" t="str">
        <f>IFERROR(__xludf.DUMMYFUNCTION("""COMPUTED_VALUE"""),"Паспорт качества, ПРИЛАДКА")</f>
        <v>Паспорт качества, ПРИЛАДКА</v>
      </c>
      <c r="Q54" s="338" t="str">
        <f>IFERROR(__xludf.DUMMYFUNCTION("""COMPUTED_VALUE"""),"""Краснодарский край, Красноармейский р-н, Протичка х, 2000 метров на восток от хутора
 Контактное лицо: Мурзинов Дмитрий, 8-989-267-19-51""")</f>
        <v>"Краснодарский край, Красноармейский р-н, Протичка х, 2000 метров на восток от хутора
 Контактное лицо: Мурзинов Дмитрий, 8-989-267-19-51"</v>
      </c>
      <c r="R54" s="338"/>
      <c r="S54" s="338"/>
      <c r="T54" s="338"/>
      <c r="U54" s="338"/>
      <c r="V54" s="338"/>
      <c r="W54" s="338"/>
      <c r="X54" s="338"/>
      <c r="Y54" s="338"/>
      <c r="Z54" s="338"/>
    </row>
    <row r="55" ht="22.5" customHeight="1">
      <c r="A55" s="528" t="str">
        <f>IFERROR(__xludf.DUMMYFUNCTION("""COMPUTED_VALUE"""),"Ангстрем/Националь")</f>
        <v>Ангстрем/Националь</v>
      </c>
      <c r="B55" s="528"/>
      <c r="C55" s="528" t="str">
        <f>IFERROR(__xludf.DUMMYFUNCTION("""COMPUTED_VALUE"""),"И/Э 100*70 ИЗ ЛАВКИ Т/П Пшено 900г")</f>
        <v>И/Э 100*70 ИЗ ЛАВКИ Т/П Пшено 900г</v>
      </c>
      <c r="D55" s="528">
        <f>IFERROR(__xludf.DUMMYFUNCTION("""COMPUTED_VALUE"""),1265.0)</f>
        <v>1265</v>
      </c>
      <c r="E55" s="528" t="str">
        <f>IFERROR(__xludf.DUMMYFUNCTION("""COMPUTED_VALUE"""),"Шаповалова Юлия")</f>
        <v>Шаповалова Юлия</v>
      </c>
      <c r="F55" s="535" t="str">
        <f>IFERROR(__xludf.DUMMYFUNCTION("""COMPUTED_VALUE"""),"Повтор")</f>
        <v>Повтор</v>
      </c>
      <c r="G55" s="536" t="str">
        <f>IFERROR(__xludf.DUMMYFUNCTION("""COMPUTED_VALUE"""),"70*100")</f>
        <v>70*100</v>
      </c>
      <c r="H55" s="338" t="str">
        <f>IFERROR(__xludf.DUMMYFUNCTION("""COMPUTED_VALUE"""),"Флексопечать")</f>
        <v>Флексопечать</v>
      </c>
      <c r="I55" s="338" t="str">
        <f>IFERROR(__xludf.DUMMYFUNCTION("""COMPUTED_VALUE"""),"Wg-450")</f>
        <v>Wg-450</v>
      </c>
      <c r="J55" s="536" t="str">
        <f>IFERROR(__xludf.DUMMYFUNCTION("""COMPUTED_VALUE"""),"10 000")</f>
        <v>10 000</v>
      </c>
      <c r="K55" s="537">
        <f>IFERROR(__xludf.DUMMYFUNCTION("""COMPUTED_VALUE"""),46108.0)</f>
        <v>46108</v>
      </c>
      <c r="L55" s="537"/>
      <c r="M55" s="338" t="str">
        <f>IFERROR(__xludf.DUMMYFUNCTION("""COMPUTED_VALUE"""),"Бумага полуглянец акрил")</f>
        <v>Бумага полуглянец акрил</v>
      </c>
      <c r="N55" s="338" t="str">
        <f>IFERROR(__xludf.DUMMYFUNCTION("""COMPUTED_VALUE"""),"Отгружен")</f>
        <v>Отгружен</v>
      </c>
      <c r="O55" s="537"/>
      <c r="P55" s="338" t="str">
        <f>IFERROR(__xludf.DUMMYFUNCTION("""COMPUTED_VALUE"""),"Паспорт качества")</f>
        <v>Паспорт качества</v>
      </c>
      <c r="Q55" s="338" t="str">
        <f>IFERROR(__xludf.DUMMYFUNCTION("""COMPUTED_VALUE"""),"""Краснодарский край, Красноармейский р-н, Протичка х, 2000 метров на восток от хутора
 Контактное лицо: Мурзинов Дмитрий, 8-989-267-19-51""")</f>
        <v>"Краснодарский край, Красноармейский р-н, Протичка х, 2000 метров на восток от хутора
 Контактное лицо: Мурзинов Дмитрий, 8-989-267-19-51"</v>
      </c>
      <c r="R55" s="338"/>
      <c r="S55" s="338"/>
      <c r="T55" s="338"/>
      <c r="U55" s="338"/>
      <c r="V55" s="338"/>
      <c r="W55" s="338"/>
      <c r="X55" s="338"/>
      <c r="Y55" s="338"/>
      <c r="Z55" s="338"/>
    </row>
    <row r="56" ht="22.5" customHeight="1">
      <c r="A56" s="528" t="str">
        <f>IFERROR(__xludf.DUMMYFUNCTION("""COMPUTED_VALUE"""),"Ангстрем/Националь")</f>
        <v>Ангстрем/Националь</v>
      </c>
      <c r="B56" s="528"/>
      <c r="C56" s="528" t="str">
        <f>IFERROR(__xludf.DUMMYFUNCTION("""COMPUTED_VALUE"""),"И/Э 100*70 ИЗ ЛАВКИ Т/П Рис для плова 900г")</f>
        <v>И/Э 100*70 ИЗ ЛАВКИ Т/П Рис для плова 900г</v>
      </c>
      <c r="D56" s="528">
        <f>IFERROR(__xludf.DUMMYFUNCTION("""COMPUTED_VALUE"""),1266.0)</f>
        <v>1266</v>
      </c>
      <c r="E56" s="528" t="str">
        <f>IFERROR(__xludf.DUMMYFUNCTION("""COMPUTED_VALUE"""),"Шаповалова Юлия")</f>
        <v>Шаповалова Юлия</v>
      </c>
      <c r="F56" s="535" t="str">
        <f>IFERROR(__xludf.DUMMYFUNCTION("""COMPUTED_VALUE"""),"Новая")</f>
        <v>Новая</v>
      </c>
      <c r="G56" s="536" t="str">
        <f>IFERROR(__xludf.DUMMYFUNCTION("""COMPUTED_VALUE"""),"70*100")</f>
        <v>70*100</v>
      </c>
      <c r="H56" s="338" t="str">
        <f>IFERROR(__xludf.DUMMYFUNCTION("""COMPUTED_VALUE"""),"Флексопечать")</f>
        <v>Флексопечать</v>
      </c>
      <c r="I56" s="338" t="str">
        <f>IFERROR(__xludf.DUMMYFUNCTION("""COMPUTED_VALUE"""),"Wg-450")</f>
        <v>Wg-450</v>
      </c>
      <c r="J56" s="536" t="str">
        <f>IFERROR(__xludf.DUMMYFUNCTION("""COMPUTED_VALUE"""),"15 000")</f>
        <v>15 000</v>
      </c>
      <c r="K56" s="537">
        <f>IFERROR(__xludf.DUMMYFUNCTION("""COMPUTED_VALUE"""),46108.0)</f>
        <v>46108</v>
      </c>
      <c r="L56" s="537"/>
      <c r="M56" s="338" t="str">
        <f>IFERROR(__xludf.DUMMYFUNCTION("""COMPUTED_VALUE"""),"Бумага полуглянец акрил")</f>
        <v>Бумага полуглянец акрил</v>
      </c>
      <c r="N56" s="338" t="str">
        <f>IFERROR(__xludf.DUMMYFUNCTION("""COMPUTED_VALUE"""),"Отгружен")</f>
        <v>Отгружен</v>
      </c>
      <c r="O56" s="537"/>
      <c r="P56" s="338" t="str">
        <f>IFERROR(__xludf.DUMMYFUNCTION("""COMPUTED_VALUE"""),"Паспорт качества, ПРИЛАДКА")</f>
        <v>Паспорт качества, ПРИЛАДКА</v>
      </c>
      <c r="Q56" s="338" t="str">
        <f>IFERROR(__xludf.DUMMYFUNCTION("""COMPUTED_VALUE"""),"""Краснодарский край, Красноармейский р-н, Протичка х, 2000 метров на восток от хутора
 Контактное лицо: Мурзинов Дмитрий, 8-989-267-19-51""")</f>
        <v>"Краснодарский край, Красноармейский р-н, Протичка х, 2000 метров на восток от хутора
 Контактное лицо: Мурзинов Дмитрий, 8-989-267-19-51"</v>
      </c>
      <c r="R56" s="338"/>
      <c r="S56" s="338"/>
      <c r="T56" s="338"/>
      <c r="U56" s="338"/>
      <c r="V56" s="338"/>
      <c r="W56" s="338"/>
      <c r="X56" s="338"/>
      <c r="Y56" s="338"/>
      <c r="Z56" s="338"/>
    </row>
    <row r="57" ht="22.5" customHeight="1">
      <c r="A57" s="528" t="str">
        <f>IFERROR(__xludf.DUMMYFUNCTION("""COMPUTED_VALUE"""),"Ангстрем/Националь")</f>
        <v>Ангстрем/Националь</v>
      </c>
      <c r="B57" s="528"/>
      <c r="C57" s="528" t="str">
        <f>IFERROR(__xludf.DUMMYFUNCTION("""COMPUTED_VALUE"""),"И/Э 100*70 ИЗ ЛАВКИ Т/П Рис круглозерный 900г")</f>
        <v>И/Э 100*70 ИЗ ЛАВКИ Т/П Рис круглозерный 900г</v>
      </c>
      <c r="D57" s="528">
        <f>IFERROR(__xludf.DUMMYFUNCTION("""COMPUTED_VALUE"""),1267.0)</f>
        <v>1267</v>
      </c>
      <c r="E57" s="528" t="str">
        <f>IFERROR(__xludf.DUMMYFUNCTION("""COMPUTED_VALUE"""),"Шаповалова Юлия")</f>
        <v>Шаповалова Юлия</v>
      </c>
      <c r="F57" s="535" t="str">
        <f>IFERROR(__xludf.DUMMYFUNCTION("""COMPUTED_VALUE"""),"Повтор")</f>
        <v>Повтор</v>
      </c>
      <c r="G57" s="536" t="str">
        <f>IFERROR(__xludf.DUMMYFUNCTION("""COMPUTED_VALUE"""),"70*100")</f>
        <v>70*100</v>
      </c>
      <c r="H57" s="338" t="str">
        <f>IFERROR(__xludf.DUMMYFUNCTION("""COMPUTED_VALUE"""),"Флексопечать")</f>
        <v>Флексопечать</v>
      </c>
      <c r="I57" s="338" t="str">
        <f>IFERROR(__xludf.DUMMYFUNCTION("""COMPUTED_VALUE"""),"Wg-450")</f>
        <v>Wg-450</v>
      </c>
      <c r="J57" s="536" t="str">
        <f>IFERROR(__xludf.DUMMYFUNCTION("""COMPUTED_VALUE"""),"10 000")</f>
        <v>10 000</v>
      </c>
      <c r="K57" s="537">
        <f>IFERROR(__xludf.DUMMYFUNCTION("""COMPUTED_VALUE"""),46108.0)</f>
        <v>46108</v>
      </c>
      <c r="L57" s="537"/>
      <c r="M57" s="338" t="str">
        <f>IFERROR(__xludf.DUMMYFUNCTION("""COMPUTED_VALUE"""),"Бумага полуглянец акрил")</f>
        <v>Бумага полуглянец акрил</v>
      </c>
      <c r="N57" s="338" t="str">
        <f>IFERROR(__xludf.DUMMYFUNCTION("""COMPUTED_VALUE"""),"Отгружен")</f>
        <v>Отгружен</v>
      </c>
      <c r="O57" s="537"/>
      <c r="P57" s="338" t="str">
        <f>IFERROR(__xludf.DUMMYFUNCTION("""COMPUTED_VALUE"""),"Паспорт качества")</f>
        <v>Паспорт качества</v>
      </c>
      <c r="Q57" s="338" t="str">
        <f>IFERROR(__xludf.DUMMYFUNCTION("""COMPUTED_VALUE"""),"""Краснодарский край, Красноармейский р-н, Протичка х, 2000 метров на восток от хутора
 Контактное лицо: Мурзинов Дмитрий, 8-989-267-19-51""")</f>
        <v>"Краснодарский край, Красноармейский р-н, Протичка х, 2000 метров на восток от хутора
 Контактное лицо: Мурзинов Дмитрий, 8-989-267-19-51"</v>
      </c>
      <c r="R57" s="338"/>
      <c r="S57" s="338"/>
      <c r="T57" s="338"/>
      <c r="U57" s="338"/>
      <c r="V57" s="338"/>
      <c r="W57" s="338"/>
      <c r="X57" s="338"/>
      <c r="Y57" s="338"/>
      <c r="Z57" s="338"/>
    </row>
    <row r="58" ht="22.5" customHeight="1">
      <c r="A58" s="528" t="str">
        <f>IFERROR(__xludf.DUMMYFUNCTION("""COMPUTED_VALUE"""),"Ангстрем/Националь")</f>
        <v>Ангстрем/Националь</v>
      </c>
      <c r="B58" s="528"/>
      <c r="C58" s="528" t="str">
        <f>IFERROR(__xludf.DUMMYFUNCTION("""COMPUTED_VALUE"""),"И/Э 100*70 Мясновъ Т/П Рис Жасмин 500 гр.")</f>
        <v>И/Э 100*70 Мясновъ Т/П Рис Жасмин 500 гр.</v>
      </c>
      <c r="D58" s="528">
        <f>IFERROR(__xludf.DUMMYFUNCTION("""COMPUTED_VALUE"""),1268.0)</f>
        <v>1268</v>
      </c>
      <c r="E58" s="528" t="str">
        <f>IFERROR(__xludf.DUMMYFUNCTION("""COMPUTED_VALUE"""),"Шаповалова Юлия")</f>
        <v>Шаповалова Юлия</v>
      </c>
      <c r="F58" s="535" t="str">
        <f>IFERROR(__xludf.DUMMYFUNCTION("""COMPUTED_VALUE"""),"Новая")</f>
        <v>Новая</v>
      </c>
      <c r="G58" s="536" t="str">
        <f>IFERROR(__xludf.DUMMYFUNCTION("""COMPUTED_VALUE"""),"70*100")</f>
        <v>70*100</v>
      </c>
      <c r="H58" s="338" t="str">
        <f>IFERROR(__xludf.DUMMYFUNCTION("""COMPUTED_VALUE"""),"Флексопечать")</f>
        <v>Флексопечать</v>
      </c>
      <c r="I58" s="338" t="str">
        <f>IFERROR(__xludf.DUMMYFUNCTION("""COMPUTED_VALUE"""),"Wg-450")</f>
        <v>Wg-450</v>
      </c>
      <c r="J58" s="536" t="str">
        <f>IFERROR(__xludf.DUMMYFUNCTION("""COMPUTED_VALUE"""),"5 000")</f>
        <v>5 000</v>
      </c>
      <c r="K58" s="537">
        <f>IFERROR(__xludf.DUMMYFUNCTION("""COMPUTED_VALUE"""),46108.0)</f>
        <v>46108</v>
      </c>
      <c r="L58" s="537"/>
      <c r="M58" s="338" t="str">
        <f>IFERROR(__xludf.DUMMYFUNCTION("""COMPUTED_VALUE"""),"Бумага полуглянец акрил")</f>
        <v>Бумага полуглянец акрил</v>
      </c>
      <c r="N58" s="338" t="str">
        <f>IFERROR(__xludf.DUMMYFUNCTION("""COMPUTED_VALUE"""),"Отгружен")</f>
        <v>Отгружен</v>
      </c>
      <c r="O58" s="537"/>
      <c r="P58" s="338" t="str">
        <f>IFERROR(__xludf.DUMMYFUNCTION("""COMPUTED_VALUE"""),"Паспорт качества, ПРИЛАДКА")</f>
        <v>Паспорт качества, ПРИЛАДКА</v>
      </c>
      <c r="Q58" s="338" t="str">
        <f>IFERROR(__xludf.DUMMYFUNCTION("""COMPUTED_VALUE"""),"""Краснодарский край, Красноармейский р-н, Протичка х, 2000 метров на восток от хутора
 Контактное лицо: Мурзинов Дмитрий, 8-989-267-19-51""")</f>
        <v>"Краснодарский край, Красноармейский р-н, Протичка х, 2000 метров на восток от хутора
 Контактное лицо: Мурзинов Дмитрий, 8-989-267-19-51"</v>
      </c>
      <c r="R58" s="338"/>
      <c r="S58" s="338"/>
      <c r="T58" s="338"/>
      <c r="U58" s="338"/>
      <c r="V58" s="338"/>
      <c r="W58" s="338"/>
      <c r="X58" s="338"/>
      <c r="Y58" s="338"/>
      <c r="Z58" s="338"/>
    </row>
    <row r="59" ht="22.5" customHeight="1">
      <c r="A59" s="528" t="str">
        <f>IFERROR(__xludf.DUMMYFUNCTION("""COMPUTED_VALUE"""),"Ангстрем/Националь")</f>
        <v>Ангстрем/Националь</v>
      </c>
      <c r="B59" s="528"/>
      <c r="C59" s="528" t="str">
        <f>IFERROR(__xludf.DUMMYFUNCTION("""COMPUTED_VALUE"""),"И/Э 100*70 Мясновъ Т/П Рис для плова 12х1000 г")</f>
        <v>И/Э 100*70 Мясновъ Т/П Рис для плова 12х1000 г</v>
      </c>
      <c r="D59" s="528">
        <f>IFERROR(__xludf.DUMMYFUNCTION("""COMPUTED_VALUE"""),1269.0)</f>
        <v>1269</v>
      </c>
      <c r="E59" s="528" t="str">
        <f>IFERROR(__xludf.DUMMYFUNCTION("""COMPUTED_VALUE"""),"Шаповалова Юлия")</f>
        <v>Шаповалова Юлия</v>
      </c>
      <c r="F59" s="535" t="str">
        <f>IFERROR(__xludf.DUMMYFUNCTION("""COMPUTED_VALUE"""),"Новая")</f>
        <v>Новая</v>
      </c>
      <c r="G59" s="536" t="str">
        <f>IFERROR(__xludf.DUMMYFUNCTION("""COMPUTED_VALUE"""),"70*100")</f>
        <v>70*100</v>
      </c>
      <c r="H59" s="338" t="str">
        <f>IFERROR(__xludf.DUMMYFUNCTION("""COMPUTED_VALUE"""),"Флексопечать")</f>
        <v>Флексопечать</v>
      </c>
      <c r="I59" s="338" t="str">
        <f>IFERROR(__xludf.DUMMYFUNCTION("""COMPUTED_VALUE"""),"Wg-450")</f>
        <v>Wg-450</v>
      </c>
      <c r="J59" s="536" t="str">
        <f>IFERROR(__xludf.DUMMYFUNCTION("""COMPUTED_VALUE"""),"5 000")</f>
        <v>5 000</v>
      </c>
      <c r="K59" s="537">
        <f>IFERROR(__xludf.DUMMYFUNCTION("""COMPUTED_VALUE"""),46108.0)</f>
        <v>46108</v>
      </c>
      <c r="L59" s="537"/>
      <c r="M59" s="338" t="str">
        <f>IFERROR(__xludf.DUMMYFUNCTION("""COMPUTED_VALUE"""),"Бумага полуглянец акрил")</f>
        <v>Бумага полуглянец акрил</v>
      </c>
      <c r="N59" s="338" t="str">
        <f>IFERROR(__xludf.DUMMYFUNCTION("""COMPUTED_VALUE"""),"Отгружен")</f>
        <v>Отгружен</v>
      </c>
      <c r="O59" s="537"/>
      <c r="P59" s="338" t="str">
        <f>IFERROR(__xludf.DUMMYFUNCTION("""COMPUTED_VALUE"""),"Паспорт качества, ПРИЛАДКА")</f>
        <v>Паспорт качества, ПРИЛАДКА</v>
      </c>
      <c r="Q59" s="338" t="str">
        <f>IFERROR(__xludf.DUMMYFUNCTION("""COMPUTED_VALUE"""),"""Краснодарский край, Красноармейский р-н, Протичка х, 2000 метров на восток от хутора
 Контактное лицо: Мурзинов Дмитрий, 8-989-267-19-51""")</f>
        <v>"Краснодарский край, Красноармейский р-н, Протичка х, 2000 метров на восток от хутора
 Контактное лицо: Мурзинов Дмитрий, 8-989-267-19-51"</v>
      </c>
      <c r="R59" s="338"/>
      <c r="S59" s="338"/>
      <c r="T59" s="338"/>
      <c r="U59" s="338"/>
      <c r="V59" s="338"/>
      <c r="W59" s="338"/>
      <c r="X59" s="338"/>
      <c r="Y59" s="338"/>
      <c r="Z59" s="338"/>
    </row>
    <row r="60" ht="22.5" customHeight="1">
      <c r="A60" s="528" t="str">
        <f>IFERROR(__xludf.DUMMYFUNCTION("""COMPUTED_VALUE"""),"Ангстрем/Националь")</f>
        <v>Ангстрем/Националь</v>
      </c>
      <c r="B60" s="528"/>
      <c r="C60" s="528" t="str">
        <f>IFERROR(__xludf.DUMMYFUNCTION("""COMPUTED_VALUE"""),"И/Э Озон Т/П Крупа гречневая 6х1500г")</f>
        <v>И/Э Озон Т/П Крупа гречневая 6х1500г</v>
      </c>
      <c r="D60" s="528">
        <f>IFERROR(__xludf.DUMMYFUNCTION("""COMPUTED_VALUE"""),1166.0)</f>
        <v>1166</v>
      </c>
      <c r="E60" s="528" t="str">
        <f>IFERROR(__xludf.DUMMYFUNCTION("""COMPUTED_VALUE"""),"Шаповалова Юлия")</f>
        <v>Шаповалова Юлия</v>
      </c>
      <c r="F60" s="535" t="str">
        <f>IFERROR(__xludf.DUMMYFUNCTION("""COMPUTED_VALUE"""),"Повтор")</f>
        <v>Повтор</v>
      </c>
      <c r="G60" s="536" t="str">
        <f>IFERROR(__xludf.DUMMYFUNCTION("""COMPUTED_VALUE"""),"70*100")</f>
        <v>70*100</v>
      </c>
      <c r="H60" s="338" t="str">
        <f>IFERROR(__xludf.DUMMYFUNCTION("""COMPUTED_VALUE"""),"Флексопечать")</f>
        <v>Флексопечать</v>
      </c>
      <c r="I60" s="338" t="str">
        <f>IFERROR(__xludf.DUMMYFUNCTION("""COMPUTED_VALUE"""),"Wg-450")</f>
        <v>Wg-450</v>
      </c>
      <c r="J60" s="536" t="str">
        <f>IFERROR(__xludf.DUMMYFUNCTION("""COMPUTED_VALUE"""),"5 000")</f>
        <v>5 000</v>
      </c>
      <c r="K60" s="537">
        <f>IFERROR(__xludf.DUMMYFUNCTION("""COMPUTED_VALUE"""),46108.0)</f>
        <v>46108</v>
      </c>
      <c r="L60" s="537"/>
      <c r="M60" s="338" t="str">
        <f>IFERROR(__xludf.DUMMYFUNCTION("""COMPUTED_VALUE"""),"Бумага полуглянец акрил")</f>
        <v>Бумага полуглянец акрил</v>
      </c>
      <c r="N60" s="338" t="str">
        <f>IFERROR(__xludf.DUMMYFUNCTION("""COMPUTED_VALUE"""),"Отгружен")</f>
        <v>Отгружен</v>
      </c>
      <c r="O60" s="537"/>
      <c r="P60" s="338" t="str">
        <f>IFERROR(__xludf.DUMMYFUNCTION("""COMPUTED_VALUE"""),"Паспорт качества, ПРИЛАДКА")</f>
        <v>Паспорт качества, ПРИЛАДКА</v>
      </c>
      <c r="Q60" s="338" t="str">
        <f>IFERROR(__xludf.DUMMYFUNCTION("""COMPUTED_VALUE"""),"""Краснодарский край, Красноармейский р-н, Протичка х, 2000 метров на восток от хутора
 Контактное лицо: Мурзинов Дмитрий, 8-989-267-19-51""")</f>
        <v>"Краснодарский край, Красноармейский р-н, Протичка х, 2000 метров на восток от хутора
 Контактное лицо: Мурзинов Дмитрий, 8-989-267-19-51"</v>
      </c>
      <c r="R60" s="338"/>
      <c r="S60" s="338"/>
      <c r="T60" s="338"/>
      <c r="U60" s="338"/>
      <c r="V60" s="338"/>
      <c r="W60" s="338"/>
      <c r="X60" s="338"/>
      <c r="Y60" s="338"/>
      <c r="Z60" s="338"/>
    </row>
    <row r="61" ht="22.5" customHeight="1">
      <c r="A61" s="528" t="str">
        <f>IFERROR(__xludf.DUMMYFUNCTION("""COMPUTED_VALUE"""),"Ангстрем/Националь")</f>
        <v>Ангстрем/Националь</v>
      </c>
      <c r="B61" s="528"/>
      <c r="C61" s="528" t="str">
        <f>IFERROR(__xludf.DUMMYFUNCTION("""COMPUTED_VALUE"""),"Стикер вкусвилл рис для плова басмати")</f>
        <v>Стикер вкусвилл рис для плова басмати</v>
      </c>
      <c r="D61" s="528">
        <f>IFERROR(__xludf.DUMMYFUNCTION("""COMPUTED_VALUE"""),1255.0)</f>
        <v>1255</v>
      </c>
      <c r="E61" s="528" t="str">
        <f>IFERROR(__xludf.DUMMYFUNCTION("""COMPUTED_VALUE"""),"Шаповалова Юлия")</f>
        <v>Шаповалова Юлия</v>
      </c>
      <c r="F61" s="535" t="str">
        <f>IFERROR(__xludf.DUMMYFUNCTION("""COMPUTED_VALUE"""),"Новая")</f>
        <v>Новая</v>
      </c>
      <c r="G61" s="536" t="str">
        <f>IFERROR(__xludf.DUMMYFUNCTION("""COMPUTED_VALUE"""),"40*70")</f>
        <v>40*70</v>
      </c>
      <c r="H61" s="338" t="str">
        <f>IFERROR(__xludf.DUMMYFUNCTION("""COMPUTED_VALUE"""),"Флексопечать")</f>
        <v>Флексопечать</v>
      </c>
      <c r="I61" s="338" t="str">
        <f>IFERROR(__xludf.DUMMYFUNCTION("""COMPUTED_VALUE"""),"Wg-450")</f>
        <v>Wg-450</v>
      </c>
      <c r="J61" s="536" t="str">
        <f>IFERROR(__xludf.DUMMYFUNCTION("""COMPUTED_VALUE"""),"30 000")</f>
        <v>30 000</v>
      </c>
      <c r="K61" s="537">
        <f>IFERROR(__xludf.DUMMYFUNCTION("""COMPUTED_VALUE"""),46108.0)</f>
        <v>46108</v>
      </c>
      <c r="L61" s="537"/>
      <c r="M61" s="338" t="str">
        <f>IFERROR(__xludf.DUMMYFUNCTION("""COMPUTED_VALUE"""),"Бумага полуглянец акрил")</f>
        <v>Бумага полуглянец акрил</v>
      </c>
      <c r="N61" s="338" t="str">
        <f>IFERROR(__xludf.DUMMYFUNCTION("""COMPUTED_VALUE"""),"Отгружен")</f>
        <v>Отгружен</v>
      </c>
      <c r="O61" s="537"/>
      <c r="P61" s="338" t="str">
        <f>IFERROR(__xludf.DUMMYFUNCTION("""COMPUTED_VALUE"""),"Паспорт качества, ПРИЛАДКА")</f>
        <v>Паспорт качества, ПРИЛАДКА</v>
      </c>
      <c r="Q61" s="338" t="str">
        <f>IFERROR(__xludf.DUMMYFUNCTION("""COMPUTED_VALUE"""),"""Краснодарский край, Красноармейский р-н, Протичка х, 2000 метров на восток от хутора
 Контактное лицо: Мурзинов Дмитрий, 8-989-267-19-51""")</f>
        <v>"Краснодарский край, Красноармейский р-н, Протичка х, 2000 метров на восток от хутора
 Контактное лицо: Мурзинов Дмитрий, 8-989-267-19-51"</v>
      </c>
      <c r="R61" s="338"/>
      <c r="S61" s="338"/>
      <c r="T61" s="338"/>
      <c r="U61" s="338"/>
      <c r="V61" s="338"/>
      <c r="W61" s="338"/>
      <c r="X61" s="338"/>
      <c r="Y61" s="338"/>
      <c r="Z61" s="338"/>
    </row>
    <row r="62" ht="22.5" customHeight="1">
      <c r="A62" s="528" t="str">
        <f>IFERROR(__xludf.DUMMYFUNCTION("""COMPUTED_VALUE"""),"Ангстрем/Националь")</f>
        <v>Ангстрем/Националь</v>
      </c>
      <c r="B62" s="528"/>
      <c r="C62" s="528" t="str">
        <f>IFERROR(__xludf.DUMMYFUNCTION("""COMPUTED_VALUE"""),"И/Э GRANTE греча 1500гр")</f>
        <v>И/Э GRANTE греча 1500гр</v>
      </c>
      <c r="D62" s="528">
        <f>IFERROR(__xludf.DUMMYFUNCTION("""COMPUTED_VALUE"""),1293.0)</f>
        <v>1293</v>
      </c>
      <c r="E62" s="528" t="str">
        <f>IFERROR(__xludf.DUMMYFUNCTION("""COMPUTED_VALUE"""),"Шаповалова Юлия")</f>
        <v>Шаповалова Юлия</v>
      </c>
      <c r="F62" s="535" t="str">
        <f>IFERROR(__xludf.DUMMYFUNCTION("""COMPUTED_VALUE"""),"Новая")</f>
        <v>Новая</v>
      </c>
      <c r="G62" s="536" t="str">
        <f>IFERROR(__xludf.DUMMYFUNCTION("""COMPUTED_VALUE"""),"100*100")</f>
        <v>100*100</v>
      </c>
      <c r="H62" s="338" t="str">
        <f>IFERROR(__xludf.DUMMYFUNCTION("""COMPUTED_VALUE"""),"Флексопечать")</f>
        <v>Флексопечать</v>
      </c>
      <c r="I62" s="338" t="str">
        <f>IFERROR(__xludf.DUMMYFUNCTION("""COMPUTED_VALUE"""),"Bg-330")</f>
        <v>Bg-330</v>
      </c>
      <c r="J62" s="536" t="str">
        <f>IFERROR(__xludf.DUMMYFUNCTION("""COMPUTED_VALUE"""),"10 000")</f>
        <v>10 000</v>
      </c>
      <c r="K62" s="537">
        <f>IFERROR(__xludf.DUMMYFUNCTION("""COMPUTED_VALUE"""),46108.0)</f>
        <v>46108</v>
      </c>
      <c r="L62" s="537"/>
      <c r="M62" s="338" t="str">
        <f>IFERROR(__xludf.DUMMYFUNCTION("""COMPUTED_VALUE"""),"Бумага метализированная акрил")</f>
        <v>Бумага метализированная акрил</v>
      </c>
      <c r="N62" s="338" t="str">
        <f>IFERROR(__xludf.DUMMYFUNCTION("""COMPUTED_VALUE"""),"Отгружен")</f>
        <v>Отгружен</v>
      </c>
      <c r="O62" s="537"/>
      <c r="P62" s="338" t="str">
        <f>IFERROR(__xludf.DUMMYFUNCTION("""COMPUTED_VALUE"""),"Паспорт качества, ПРИЛАДКА")</f>
        <v>Паспорт качества, ПРИЛАДКА</v>
      </c>
      <c r="Q62" s="338" t="str">
        <f>IFERROR(__xludf.DUMMYFUNCTION("""COMPUTED_VALUE"""),"""Краснодарский край, Красноармейский р-н, Протичка х, 2000 метров на восток от хутора
 Контактное лицо: Мурзинов Дмитрий, 8-989-267-19-51""")</f>
        <v>"Краснодарский край, Красноармейский р-н, Протичка х, 2000 метров на восток от хутора
 Контактное лицо: Мурзинов Дмитрий, 8-989-267-19-51"</v>
      </c>
      <c r="R62" s="338"/>
      <c r="S62" s="338"/>
      <c r="T62" s="338"/>
      <c r="U62" s="338"/>
      <c r="V62" s="338"/>
      <c r="W62" s="338"/>
      <c r="X62" s="338"/>
      <c r="Y62" s="338"/>
      <c r="Z62" s="338"/>
    </row>
    <row r="63" ht="22.5" customHeight="1">
      <c r="A63" s="528" t="str">
        <f>IFERROR(__xludf.DUMMYFUNCTION("""COMPUTED_VALUE"""),"Ангстрем/Националь")</f>
        <v>Ангстрем/Националь</v>
      </c>
      <c r="B63" s="528"/>
      <c r="C63" s="528" t="str">
        <f>IFERROR(__xludf.DUMMYFUNCTION("""COMPUTED_VALUE"""),"И/Э GRANTE греча 800гр")</f>
        <v>И/Э GRANTE греча 800гр</v>
      </c>
      <c r="D63" s="528">
        <f>IFERROR(__xludf.DUMMYFUNCTION("""COMPUTED_VALUE"""),1291.0)</f>
        <v>1291</v>
      </c>
      <c r="E63" s="528" t="str">
        <f>IFERROR(__xludf.DUMMYFUNCTION("""COMPUTED_VALUE"""),"Шаповалова Юлия")</f>
        <v>Шаповалова Юлия</v>
      </c>
      <c r="F63" s="535" t="str">
        <f>IFERROR(__xludf.DUMMYFUNCTION("""COMPUTED_VALUE"""),"Новая")</f>
        <v>Новая</v>
      </c>
      <c r="G63" s="536" t="str">
        <f>IFERROR(__xludf.DUMMYFUNCTION("""COMPUTED_VALUE"""),"90*90")</f>
        <v>90*90</v>
      </c>
      <c r="H63" s="338" t="str">
        <f>IFERROR(__xludf.DUMMYFUNCTION("""COMPUTED_VALUE"""),"Флексопечать")</f>
        <v>Флексопечать</v>
      </c>
      <c r="I63" s="338" t="str">
        <f>IFERROR(__xludf.DUMMYFUNCTION("""COMPUTED_VALUE"""),"Bg-330")</f>
        <v>Bg-330</v>
      </c>
      <c r="J63" s="536" t="str">
        <f>IFERROR(__xludf.DUMMYFUNCTION("""COMPUTED_VALUE"""),"20 000")</f>
        <v>20 000</v>
      </c>
      <c r="K63" s="537">
        <f>IFERROR(__xludf.DUMMYFUNCTION("""COMPUTED_VALUE"""),46108.0)</f>
        <v>46108</v>
      </c>
      <c r="L63" s="537"/>
      <c r="M63" s="338" t="str">
        <f>IFERROR(__xludf.DUMMYFUNCTION("""COMPUTED_VALUE"""),"Бумага метализированная акрил")</f>
        <v>Бумага метализированная акрил</v>
      </c>
      <c r="N63" s="338" t="str">
        <f>IFERROR(__xludf.DUMMYFUNCTION("""COMPUTED_VALUE"""),"Отгружен")</f>
        <v>Отгружен</v>
      </c>
      <c r="O63" s="537"/>
      <c r="P63" s="338" t="str">
        <f>IFERROR(__xludf.DUMMYFUNCTION("""COMPUTED_VALUE"""),"Паспорт качества, ПРИЛАДКА")</f>
        <v>Паспорт качества, ПРИЛАДКА</v>
      </c>
      <c r="Q63" s="338" t="str">
        <f>IFERROR(__xludf.DUMMYFUNCTION("""COMPUTED_VALUE"""),"""Краснодарский край, Красноармейский р-н, Протичка х, 2000 метров на восток от хутора
 Контактное лицо: Мурзинов Дмитрий, 8-989-267-19-51""")</f>
        <v>"Краснодарский край, Красноармейский р-н, Протичка х, 2000 метров на восток от хутора
 Контактное лицо: Мурзинов Дмитрий, 8-989-267-19-51"</v>
      </c>
      <c r="R63" s="338"/>
      <c r="S63" s="338"/>
      <c r="T63" s="338"/>
      <c r="U63" s="338"/>
      <c r="V63" s="338"/>
      <c r="W63" s="338"/>
      <c r="X63" s="338"/>
      <c r="Y63" s="338"/>
      <c r="Z63" s="338"/>
    </row>
    <row r="64" ht="22.5" customHeight="1">
      <c r="A64" s="528" t="str">
        <f>IFERROR(__xludf.DUMMYFUNCTION("""COMPUTED_VALUE"""),"Ангстрем/Националь")</f>
        <v>Ангстрем/Националь</v>
      </c>
      <c r="B64" s="528"/>
      <c r="C64" s="528" t="str">
        <f>IFERROR(__xludf.DUMMYFUNCTION("""COMPUTED_VALUE"""),"И/Э GRANTE Т/П Крупа гречневая ядрица со стикером 4х3000г")</f>
        <v>И/Э GRANTE Т/П Крупа гречневая ядрица со стикером 4х3000г</v>
      </c>
      <c r="D64" s="528">
        <f>IFERROR(__xludf.DUMMYFUNCTION("""COMPUTED_VALUE"""),1292.0)</f>
        <v>1292</v>
      </c>
      <c r="E64" s="528" t="str">
        <f>IFERROR(__xludf.DUMMYFUNCTION("""COMPUTED_VALUE"""),"Шаповалова Юлия")</f>
        <v>Шаповалова Юлия</v>
      </c>
      <c r="F64" s="535" t="str">
        <f>IFERROR(__xludf.DUMMYFUNCTION("""COMPUTED_VALUE"""),"Новая")</f>
        <v>Новая</v>
      </c>
      <c r="G64" s="536" t="str">
        <f>IFERROR(__xludf.DUMMYFUNCTION("""COMPUTED_VALUE"""),"98*160")</f>
        <v>98*160</v>
      </c>
      <c r="H64" s="338" t="str">
        <f>IFERROR(__xludf.DUMMYFUNCTION("""COMPUTED_VALUE"""),"Флексопечать")</f>
        <v>Флексопечать</v>
      </c>
      <c r="I64" s="338" t="str">
        <f>IFERROR(__xludf.DUMMYFUNCTION("""COMPUTED_VALUE"""),"Bg-330")</f>
        <v>Bg-330</v>
      </c>
      <c r="J64" s="536" t="str">
        <f>IFERROR(__xludf.DUMMYFUNCTION("""COMPUTED_VALUE"""),"15 000")</f>
        <v>15 000</v>
      </c>
      <c r="K64" s="537">
        <f>IFERROR(__xludf.DUMMYFUNCTION("""COMPUTED_VALUE"""),46108.0)</f>
        <v>46108</v>
      </c>
      <c r="L64" s="537"/>
      <c r="M64" s="338" t="str">
        <f>IFERROR(__xludf.DUMMYFUNCTION("""COMPUTED_VALUE"""),"Бумага метализированная акрил")</f>
        <v>Бумага метализированная акрил</v>
      </c>
      <c r="N64" s="338" t="str">
        <f>IFERROR(__xludf.DUMMYFUNCTION("""COMPUTED_VALUE"""),"Отгружен")</f>
        <v>Отгружен</v>
      </c>
      <c r="O64" s="537"/>
      <c r="P64" s="338" t="str">
        <f>IFERROR(__xludf.DUMMYFUNCTION("""COMPUTED_VALUE"""),"Паспорт качества, ПРИЛАДКА")</f>
        <v>Паспорт качества, ПРИЛАДКА</v>
      </c>
      <c r="Q64" s="338" t="str">
        <f>IFERROR(__xludf.DUMMYFUNCTION("""COMPUTED_VALUE"""),"""Краснодарский край, Красноармейский р-н, Протичка х, 2000 метров на восток от хутора
 Контактное лицо: Мурзинов Дмитрий, 8-989-267-19-51""")</f>
        <v>"Краснодарский край, Красноармейский р-н, Протичка х, 2000 метров на восток от хутора
 Контактное лицо: Мурзинов Дмитрий, 8-989-267-19-51"</v>
      </c>
      <c r="R64" s="338"/>
      <c r="S64" s="338"/>
      <c r="T64" s="338"/>
      <c r="U64" s="338"/>
      <c r="V64" s="338"/>
      <c r="W64" s="338"/>
      <c r="X64" s="338"/>
      <c r="Y64" s="338"/>
      <c r="Z64" s="338"/>
    </row>
    <row r="65" ht="22.5" customHeight="1">
      <c r="A65" s="528" t="str">
        <f>IFERROR(__xludf.DUMMYFUNCTION("""COMPUTED_VALUE"""),"Ангстрем/Националь")</f>
        <v>Ангстрем/Националь</v>
      </c>
      <c r="B65" s="528"/>
      <c r="C65" s="528" t="str">
        <f>IFERROR(__xludf.DUMMYFUNCTION("""COMPUTED_VALUE"""),"Клапан")</f>
        <v>Клапан</v>
      </c>
      <c r="D65" s="528">
        <f>IFERROR(__xludf.DUMMYFUNCTION("""COMPUTED_VALUE"""),1401.0)</f>
        <v>1401</v>
      </c>
      <c r="E65" s="528" t="str">
        <f>IFERROR(__xludf.DUMMYFUNCTION("""COMPUTED_VALUE"""),"Шаповалова Юлия")</f>
        <v>Шаповалова Юлия</v>
      </c>
      <c r="F65" s="535" t="str">
        <f>IFERROR(__xludf.DUMMYFUNCTION("""COMPUTED_VALUE"""),"ТЕСТ")</f>
        <v>ТЕСТ</v>
      </c>
      <c r="G65" s="536" t="str">
        <f>IFERROR(__xludf.DUMMYFUNCTION("""COMPUTED_VALUE"""),"70*30")</f>
        <v>70*30</v>
      </c>
      <c r="H65" s="338" t="str">
        <f>IFERROR(__xludf.DUMMYFUNCTION("""COMPUTED_VALUE"""),"Флексопечать")</f>
        <v>Флексопечать</v>
      </c>
      <c r="I65" s="338" t="str">
        <f>IFERROR(__xludf.DUMMYFUNCTION("""COMPUTED_VALUE"""),"Wg-450")</f>
        <v>Wg-450</v>
      </c>
      <c r="J65" s="536" t="str">
        <f>IFERROR(__xludf.DUMMYFUNCTION("""COMPUTED_VALUE"""),"15 000")</f>
        <v>15 000</v>
      </c>
      <c r="K65" s="537">
        <f>IFERROR(__xludf.DUMMYFUNCTION("""COMPUTED_VALUE"""),46108.0)</f>
        <v>46108</v>
      </c>
      <c r="L65" s="537"/>
      <c r="M65" s="338" t="str">
        <f>IFERROR(__xludf.DUMMYFUNCTION("""COMPUTED_VALUE"""),"Пленка PP прозрачная")</f>
        <v>Пленка PP прозрачная</v>
      </c>
      <c r="N65" s="338" t="str">
        <f>IFERROR(__xludf.DUMMYFUNCTION("""COMPUTED_VALUE"""),"Отгружен")</f>
        <v>Отгружен</v>
      </c>
      <c r="O65" s="537"/>
      <c r="P65" s="338" t="str">
        <f>IFERROR(__xludf.DUMMYFUNCTION("""COMPUTED_VALUE"""),"Паспорт качества")</f>
        <v>Паспорт качества</v>
      </c>
      <c r="Q65" s="338" t="str">
        <f>IFERROR(__xludf.DUMMYFUNCTION("""COMPUTED_VALUE"""),"""Краснодарский край, Красноармейский р-н, Протичка х, 2000 метров на восток от хутора
 Контактное лицо: Мурзинов Дмитрий, 8-989-267-19-51""")</f>
        <v>"Краснодарский край, Красноармейский р-н, Протичка х, 2000 метров на восток от хутора
 Контактное лицо: Мурзинов Дмитрий, 8-989-267-19-51"</v>
      </c>
      <c r="R65" s="338"/>
      <c r="S65" s="338"/>
      <c r="T65" s="338"/>
      <c r="U65" s="338"/>
      <c r="V65" s="338"/>
      <c r="W65" s="338"/>
      <c r="X65" s="338"/>
      <c r="Y65" s="338"/>
      <c r="Z65" s="338"/>
    </row>
    <row r="66" ht="22.5" customHeight="1">
      <c r="A66" s="528" t="str">
        <f>IFERROR(__xludf.DUMMYFUNCTION("""COMPUTED_VALUE"""),"ФЭСТ")</f>
        <v>ФЭСТ</v>
      </c>
      <c r="B66" s="528"/>
      <c r="C66" s="528">
        <f>IFERROR(__xludf.DUMMYFUNCTION("""COMPUTED_VALUE"""),0.0)</f>
        <v>0</v>
      </c>
      <c r="D66" s="528">
        <f>IFERROR(__xludf.DUMMYFUNCTION("""COMPUTED_VALUE"""),1294.0)</f>
        <v>1294</v>
      </c>
      <c r="E66" s="528" t="str">
        <f>IFERROR(__xludf.DUMMYFUNCTION("""COMPUTED_VALUE"""),"Баранов Александр")</f>
        <v>Баранов Александр</v>
      </c>
      <c r="F66" s="535" t="str">
        <f>IFERROR(__xludf.DUMMYFUNCTION("""COMPUTED_VALUE"""),"Повтор")</f>
        <v>Повтор</v>
      </c>
      <c r="G66" s="536" t="str">
        <f>IFERROR(__xludf.DUMMYFUNCTION("""COMPUTED_VALUE""")," 82*108")</f>
        <v> 82*108</v>
      </c>
      <c r="H66" s="338" t="str">
        <f>IFERROR(__xludf.DUMMYFUNCTION("""COMPUTED_VALUE"""),"Флексопечать")</f>
        <v>Флексопечать</v>
      </c>
      <c r="I66" s="338" t="str">
        <f>IFERROR(__xludf.DUMMYFUNCTION("""COMPUTED_VALUE"""),"Bg-330")</f>
        <v>Bg-330</v>
      </c>
      <c r="J66" s="536">
        <f>IFERROR(__xludf.DUMMYFUNCTION("""COMPUTED_VALUE"""),40000.0)</f>
        <v>40000</v>
      </c>
      <c r="K66" s="537">
        <f>IFERROR(__xludf.DUMMYFUNCTION("""COMPUTED_VALUE"""),46111.0)</f>
        <v>46111</v>
      </c>
      <c r="L66" s="537"/>
      <c r="M66" s="338" t="str">
        <f>IFERROR(__xludf.DUMMYFUNCTION("""COMPUTED_VALUE"""),"Бумага полуглянец каучук")</f>
        <v>Бумага полуглянец каучук</v>
      </c>
      <c r="N66" s="338" t="str">
        <f>IFERROR(__xludf.DUMMYFUNCTION("""COMPUTED_VALUE"""),"Отгружен")</f>
        <v>Отгружен</v>
      </c>
      <c r="O66" s="537"/>
      <c r="P66" s="338" t="str">
        <f>IFERROR(__xludf.DUMMYFUNCTION("""COMPUTED_VALUE"""),"вырубка поштучно")</f>
        <v>вырубка поштучно</v>
      </c>
      <c r="Q66" s="338"/>
      <c r="R66" s="338"/>
      <c r="S66" s="338"/>
      <c r="T66" s="338"/>
      <c r="U66" s="338"/>
      <c r="V66" s="338"/>
      <c r="W66" s="338"/>
      <c r="X66" s="338"/>
      <c r="Y66" s="338"/>
      <c r="Z66" s="338"/>
    </row>
    <row r="67" ht="22.5" customHeight="1">
      <c r="A67" s="528" t="str">
        <f>IFERROR(__xludf.DUMMYFUNCTION("""COMPUTED_VALUE"""),"Полезнотека")</f>
        <v>Полезнотека</v>
      </c>
      <c r="B67" s="528"/>
      <c r="C67" s="528" t="str">
        <f>IFERROR(__xludf.DUMMYFUNCTION("""COMPUTED_VALUE"""),"лицевая чурчхела")</f>
        <v>лицевая чурчхела</v>
      </c>
      <c r="D67" s="528">
        <f>IFERROR(__xludf.DUMMYFUNCTION("""COMPUTED_VALUE"""),1366.0)</f>
        <v>1366</v>
      </c>
      <c r="E67" s="528" t="str">
        <f>IFERROR(__xludf.DUMMYFUNCTION("""COMPUTED_VALUE"""),"Баранов Александр")</f>
        <v>Баранов Александр</v>
      </c>
      <c r="F67" s="535" t="str">
        <f>IFERROR(__xludf.DUMMYFUNCTION("""COMPUTED_VALUE"""),"Повтор")</f>
        <v>Повтор</v>
      </c>
      <c r="G67" s="536" t="str">
        <f>IFERROR(__xludf.DUMMYFUNCTION("""COMPUTED_VALUE"""),"55*130")</f>
        <v>55*130</v>
      </c>
      <c r="H67" s="338" t="str">
        <f>IFERROR(__xludf.DUMMYFUNCTION("""COMPUTED_VALUE"""),"Флексопечать")</f>
        <v>Флексопечать</v>
      </c>
      <c r="I67" s="338" t="str">
        <f>IFERROR(__xludf.DUMMYFUNCTION("""COMPUTED_VALUE"""),"Gallus-160")</f>
        <v>Gallus-160</v>
      </c>
      <c r="J67" s="536">
        <f>IFERROR(__xludf.DUMMYFUNCTION("""COMPUTED_VALUE"""),40000.0)</f>
        <v>40000</v>
      </c>
      <c r="K67" s="537">
        <f>IFERROR(__xludf.DUMMYFUNCTION("""COMPUTED_VALUE"""),46111.0)</f>
        <v>46111</v>
      </c>
      <c r="L67" s="537"/>
      <c r="M67" s="338" t="str">
        <f>IFERROR(__xludf.DUMMYFUNCTION("""COMPUTED_VALUE"""),"Бумага полуглянец каучук")</f>
        <v>Бумага полуглянец каучук</v>
      </c>
      <c r="N67" s="338" t="str">
        <f>IFERROR(__xludf.DUMMYFUNCTION("""COMPUTED_VALUE"""),"Отгружен")</f>
        <v>Отгружен</v>
      </c>
      <c r="O67" s="537"/>
      <c r="P67" s="338"/>
      <c r="Q67" s="338" t="str">
        <f>IFERROR(__xludf.DUMMYFUNCTION("""COMPUTED_VALUE"""),"Меджик транс , отправка до терминала Владикавказ")</f>
        <v>Меджик транс , отправка до терминала Владикавказ</v>
      </c>
      <c r="R67" s="338"/>
      <c r="S67" s="338"/>
      <c r="T67" s="338"/>
      <c r="U67" s="338"/>
      <c r="V67" s="338"/>
      <c r="W67" s="338"/>
      <c r="X67" s="338"/>
      <c r="Y67" s="338"/>
      <c r="Z67" s="338"/>
    </row>
    <row r="68" ht="22.5" customHeight="1">
      <c r="A68" s="528" t="str">
        <f>IFERROR(__xludf.DUMMYFUNCTION("""COMPUTED_VALUE"""),"Полезнотека")</f>
        <v>Полезнотека</v>
      </c>
      <c r="B68" s="528"/>
      <c r="C68" s="528" t="str">
        <f>IFERROR(__xludf.DUMMYFUNCTION("""COMPUTED_VALUE"""),"оборот чурчхела")</f>
        <v>оборот чурчхела</v>
      </c>
      <c r="D68" s="528"/>
      <c r="E68" s="528" t="str">
        <f>IFERROR(__xludf.DUMMYFUNCTION("""COMPUTED_VALUE"""),"Баранов Александр")</f>
        <v>Баранов Александр</v>
      </c>
      <c r="F68" s="535" t="str">
        <f>IFERROR(__xludf.DUMMYFUNCTION("""COMPUTED_VALUE"""),"Повтор")</f>
        <v>Повтор</v>
      </c>
      <c r="G68" s="536" t="str">
        <f>IFERROR(__xludf.DUMMYFUNCTION("""COMPUTED_VALUE"""),"50*150")</f>
        <v>50*150</v>
      </c>
      <c r="H68" s="338" t="str">
        <f>IFERROR(__xludf.DUMMYFUNCTION("""COMPUTED_VALUE"""),"Флексопечать")</f>
        <v>Флексопечать</v>
      </c>
      <c r="I68" s="338" t="str">
        <f>IFERROR(__xludf.DUMMYFUNCTION("""COMPUTED_VALUE"""),"Gallus-160")</f>
        <v>Gallus-160</v>
      </c>
      <c r="J68" s="536">
        <f>IFERROR(__xludf.DUMMYFUNCTION("""COMPUTED_VALUE"""),40000.0)</f>
        <v>40000</v>
      </c>
      <c r="K68" s="537">
        <f>IFERROR(__xludf.DUMMYFUNCTION("""COMPUTED_VALUE"""),46111.0)</f>
        <v>46111</v>
      </c>
      <c r="L68" s="537"/>
      <c r="M68" s="338" t="str">
        <f>IFERROR(__xludf.DUMMYFUNCTION("""COMPUTED_VALUE"""),"Бумага полуглянец каучук")</f>
        <v>Бумага полуглянец каучук</v>
      </c>
      <c r="N68" s="338" t="str">
        <f>IFERROR(__xludf.DUMMYFUNCTION("""COMPUTED_VALUE"""),"Отгружен")</f>
        <v>Отгружен</v>
      </c>
      <c r="O68" s="537"/>
      <c r="P68" s="338"/>
      <c r="Q68" s="338" t="str">
        <f>IFERROR(__xludf.DUMMYFUNCTION("""COMPUTED_VALUE"""),"Меджик транс , отправка до терминала Владикавказ")</f>
        <v>Меджик транс , отправка до терминала Владикавказ</v>
      </c>
      <c r="R68" s="338"/>
      <c r="S68" s="338"/>
      <c r="T68" s="338"/>
      <c r="U68" s="338"/>
      <c r="V68" s="338"/>
      <c r="W68" s="338"/>
      <c r="X68" s="338"/>
      <c r="Y68" s="338"/>
      <c r="Z68" s="338"/>
    </row>
    <row r="69" ht="22.5" customHeight="1">
      <c r="A69" s="528" t="str">
        <f>IFERROR(__xludf.DUMMYFUNCTION("""COMPUTED_VALUE"""),"Меренга")</f>
        <v>Меренга</v>
      </c>
      <c r="B69" s="528"/>
      <c r="C69" s="528" t="str">
        <f>IFERROR(__xludf.DUMMYFUNCTION("""COMPUTED_VALUE"""),"ВВ ""Торт бенто клубника с днем рождения")</f>
        <v>ВВ "Торт бенто клубника с днем рождения</v>
      </c>
      <c r="D69" s="528">
        <f>IFERROR(__xludf.DUMMYFUNCTION("""COMPUTED_VALUE"""),1313.0)</f>
        <v>1313</v>
      </c>
      <c r="E69" s="528" t="str">
        <f>IFERROR(__xludf.DUMMYFUNCTION("""COMPUTED_VALUE"""),"Римма Лукина")</f>
        <v>Римма Лукина</v>
      </c>
      <c r="F69" s="535" t="str">
        <f>IFERROR(__xludf.DUMMYFUNCTION("""COMPUTED_VALUE"""),"Повтор с изменениями")</f>
        <v>Повтор с изменениями</v>
      </c>
      <c r="G69" s="536" t="str">
        <f>IFERROR(__xludf.DUMMYFUNCTION("""COMPUTED_VALUE"""),"40*295")</f>
        <v>40*295</v>
      </c>
      <c r="H69" s="338" t="str">
        <f>IFERROR(__xludf.DUMMYFUNCTION("""COMPUTED_VALUE"""),"Флексопечать")</f>
        <v>Флексопечать</v>
      </c>
      <c r="I69" s="338"/>
      <c r="J69" s="536">
        <f>IFERROR(__xludf.DUMMYFUNCTION("""COMPUTED_VALUE"""),20000.0)</f>
        <v>20000</v>
      </c>
      <c r="K69" s="537">
        <f>IFERROR(__xludf.DUMMYFUNCTION("""COMPUTED_VALUE"""),46112.0)</f>
        <v>46112</v>
      </c>
      <c r="L69" s="537"/>
      <c r="M69" s="338" t="str">
        <f>IFERROR(__xludf.DUMMYFUNCTION("""COMPUTED_VALUE"""),"Бумага полуглянец акрил")</f>
        <v>Бумага полуглянец акрил</v>
      </c>
      <c r="N69" s="338" t="str">
        <f>IFERROR(__xludf.DUMMYFUNCTION("""COMPUTED_VALUE"""),"Отгружен")</f>
        <v>Отгружен</v>
      </c>
      <c r="O69" s="537"/>
      <c r="P69" s="338" t="str">
        <f>IFERROR(__xludf.DUMMYFUNCTION("""COMPUTED_VALUE"""),"заказ ждут в пятницу")</f>
        <v>заказ ждут в пятницу</v>
      </c>
      <c r="Q69" s="338" t="str">
        <f>IFERROR(__xludf.DUMMYFUNCTION("""COMPUTED_VALUE"""),"г. Москва,  Пермская 1 стр 7-8")</f>
        <v>г. Москва,  Пермская 1 стр 7-8</v>
      </c>
      <c r="R69" s="338"/>
      <c r="S69" s="338"/>
      <c r="T69" s="338"/>
      <c r="U69" s="338"/>
      <c r="V69" s="338"/>
      <c r="W69" s="338"/>
      <c r="X69" s="338"/>
      <c r="Y69" s="338"/>
      <c r="Z69" s="338"/>
    </row>
    <row r="70" ht="22.5" customHeight="1">
      <c r="A70" s="528" t="str">
        <f>IFERROR(__xludf.DUMMYFUNCTION("""COMPUTED_VALUE"""),"ООО ""Дальпромрыба""")</f>
        <v>ООО "Дальпромрыба"</v>
      </c>
      <c r="B70" s="528"/>
      <c r="C70" s="528" t="str">
        <f>IFERROR(__xludf.DUMMYFUNCTION("""COMPUTED_VALUE"""),"Магуро тунец филе шк.6483")</f>
        <v>Магуро тунец филе шк.6483</v>
      </c>
      <c r="D70" s="528">
        <f>IFERROR(__xludf.DUMMYFUNCTION("""COMPUTED_VALUE"""),1500.0)</f>
        <v>1500</v>
      </c>
      <c r="E70" s="528" t="str">
        <f>IFERROR(__xludf.DUMMYFUNCTION("""COMPUTED_VALUE"""),"Власян Владимир")</f>
        <v>Власян Владимир</v>
      </c>
      <c r="F70" s="535" t="str">
        <f>IFERROR(__xludf.DUMMYFUNCTION("""COMPUTED_VALUE"""),"Новая")</f>
        <v>Новая</v>
      </c>
      <c r="G70" s="536" t="str">
        <f>IFERROR(__xludf.DUMMYFUNCTION("""COMPUTED_VALUE"""),"55х160")</f>
        <v>55х160</v>
      </c>
      <c r="H70" s="338" t="str">
        <f>IFERROR(__xludf.DUMMYFUNCTION("""COMPUTED_VALUE"""),"Флексопечать")</f>
        <v>Флексопечать</v>
      </c>
      <c r="I70" s="338" t="str">
        <f>IFERROR(__xludf.DUMMYFUNCTION("""COMPUTED_VALUE"""),"Bg-330")</f>
        <v>Bg-330</v>
      </c>
      <c r="J70" s="536">
        <f>IFERROR(__xludf.DUMMYFUNCTION("""COMPUTED_VALUE"""),200000.0)</f>
        <v>200000</v>
      </c>
      <c r="K70" s="537"/>
      <c r="L70" s="537">
        <f>IFERROR(__xludf.DUMMYFUNCTION("""COMPUTED_VALUE"""),46121.0)</f>
        <v>46121</v>
      </c>
      <c r="M70" s="338" t="str">
        <f>IFERROR(__xludf.DUMMYFUNCTION("""COMPUTED_VALUE"""),"Пленка PP белая акрил")</f>
        <v>Пленка PP белая акрил</v>
      </c>
      <c r="N70" s="338" t="str">
        <f>IFERROR(__xludf.DUMMYFUNCTION("""COMPUTED_VALUE"""),"Отгружен")</f>
        <v>Отгружен</v>
      </c>
      <c r="O70" s="537"/>
      <c r="P70" s="338"/>
      <c r="Q70" s="338"/>
      <c r="R70" s="338"/>
      <c r="S70" s="338"/>
      <c r="T70" s="338"/>
      <c r="U70" s="338"/>
      <c r="V70" s="338"/>
      <c r="W70" s="338"/>
      <c r="X70" s="338"/>
      <c r="Y70" s="338"/>
      <c r="Z70" s="338"/>
    </row>
    <row r="71" ht="22.5" customHeight="1">
      <c r="A71" s="528" t="str">
        <f>IFERROR(__xludf.DUMMYFUNCTION("""COMPUTED_VALUE"""),"ООО""ФэрельГам""")</f>
        <v>ООО"ФэрельГам"</v>
      </c>
      <c r="B71" s="528"/>
      <c r="C71" s="528" t="str">
        <f>IFERROR(__xludf.DUMMYFUNCTION("""COMPUTED_VALUE"""),"470161 Капуста маринованная кисло-сладкая 500 г этик.")</f>
        <v>470161 Капуста маринованная кисло-сладкая 500 г этик.</v>
      </c>
      <c r="D71" s="528">
        <f>IFERROR(__xludf.DUMMYFUNCTION("""COMPUTED_VALUE"""),1447.0)</f>
        <v>1447</v>
      </c>
      <c r="E71" s="528" t="str">
        <f>IFERROR(__xludf.DUMMYFUNCTION("""COMPUTED_VALUE"""),"Баранов Александр")</f>
        <v>Баранов Александр</v>
      </c>
      <c r="F71" s="535" t="str">
        <f>IFERROR(__xludf.DUMMYFUNCTION("""COMPUTED_VALUE"""),"Новая")</f>
        <v>Новая</v>
      </c>
      <c r="G71" s="536" t="str">
        <f>IFERROR(__xludf.DUMMYFUNCTION("""COMPUTED_VALUE"""),"d110")</f>
        <v>d110</v>
      </c>
      <c r="H71" s="338" t="str">
        <f>IFERROR(__xludf.DUMMYFUNCTION("""COMPUTED_VALUE"""),"Флексопечать")</f>
        <v>Флексопечать</v>
      </c>
      <c r="I71" s="338" t="str">
        <f>IFERROR(__xludf.DUMMYFUNCTION("""COMPUTED_VALUE"""),"Wg-450")</f>
        <v>Wg-450</v>
      </c>
      <c r="J71" s="536">
        <f>IFERROR(__xludf.DUMMYFUNCTION("""COMPUTED_VALUE"""),10000.0)</f>
        <v>10000</v>
      </c>
      <c r="K71" s="537">
        <f>IFERROR(__xludf.DUMMYFUNCTION("""COMPUTED_VALUE"""),46112.0)</f>
        <v>46112</v>
      </c>
      <c r="L71" s="537"/>
      <c r="M71" s="338" t="str">
        <f>IFERROR(__xludf.DUMMYFUNCTION("""COMPUTED_VALUE"""),"Пленка PP белая каучук")</f>
        <v>Пленка PP белая каучук</v>
      </c>
      <c r="N71" s="338" t="str">
        <f>IFERROR(__xludf.DUMMYFUNCTION("""COMPUTED_VALUE"""),"Отгружен")</f>
        <v>Отгружен</v>
      </c>
      <c r="O71" s="537"/>
      <c r="P71" s="338"/>
      <c r="Q71" s="338"/>
      <c r="R71" s="338"/>
      <c r="S71" s="338"/>
      <c r="T71" s="338"/>
      <c r="U71" s="338"/>
      <c r="V71" s="338"/>
      <c r="W71" s="338"/>
      <c r="X71" s="338"/>
      <c r="Y71" s="338"/>
      <c r="Z71" s="338"/>
    </row>
    <row r="72" ht="22.5" customHeight="1">
      <c r="A72" s="528" t="str">
        <f>IFERROR(__xludf.DUMMYFUNCTION("""COMPUTED_VALUE"""),"ООО""ФэрельГам""")</f>
        <v>ООО"ФэрельГам"</v>
      </c>
      <c r="B72" s="528"/>
      <c r="C72" s="528" t="str">
        <f>IFERROR(__xludf.DUMMYFUNCTION("""COMPUTED_VALUE"""),"470352 Морская капуста с кунжутом 250 г этик.")</f>
        <v>470352 Морская капуста с кунжутом 250 г этик.</v>
      </c>
      <c r="D72" s="528">
        <f>IFERROR(__xludf.DUMMYFUNCTION("""COMPUTED_VALUE"""),1448.0)</f>
        <v>1448</v>
      </c>
      <c r="E72" s="528" t="str">
        <f>IFERROR(__xludf.DUMMYFUNCTION("""COMPUTED_VALUE"""),"Баранов Александр")</f>
        <v>Баранов Александр</v>
      </c>
      <c r="F72" s="535" t="str">
        <f>IFERROR(__xludf.DUMMYFUNCTION("""COMPUTED_VALUE"""),"Новая")</f>
        <v>Новая</v>
      </c>
      <c r="G72" s="536" t="str">
        <f>IFERROR(__xludf.DUMMYFUNCTION("""COMPUTED_VALUE"""),"d110")</f>
        <v>d110</v>
      </c>
      <c r="H72" s="338" t="str">
        <f>IFERROR(__xludf.DUMMYFUNCTION("""COMPUTED_VALUE"""),"Флексопечать")</f>
        <v>Флексопечать</v>
      </c>
      <c r="I72" s="338" t="str">
        <f>IFERROR(__xludf.DUMMYFUNCTION("""COMPUTED_VALUE"""),"Wg-450")</f>
        <v>Wg-450</v>
      </c>
      <c r="J72" s="536">
        <f>IFERROR(__xludf.DUMMYFUNCTION("""COMPUTED_VALUE"""),10000.0)</f>
        <v>10000</v>
      </c>
      <c r="K72" s="537">
        <f>IFERROR(__xludf.DUMMYFUNCTION("""COMPUTED_VALUE"""),46112.0)</f>
        <v>46112</v>
      </c>
      <c r="L72" s="537"/>
      <c r="M72" s="338" t="str">
        <f>IFERROR(__xludf.DUMMYFUNCTION("""COMPUTED_VALUE"""),"Пленка PP белая каучук")</f>
        <v>Пленка PP белая каучук</v>
      </c>
      <c r="N72" s="338" t="str">
        <f>IFERROR(__xludf.DUMMYFUNCTION("""COMPUTED_VALUE"""),"Отгружен")</f>
        <v>Отгружен</v>
      </c>
      <c r="O72" s="537"/>
      <c r="P72" s="338"/>
      <c r="Q72" s="338"/>
      <c r="R72" s="338"/>
      <c r="S72" s="338"/>
      <c r="T72" s="338"/>
      <c r="U72" s="338"/>
      <c r="V72" s="338"/>
      <c r="W72" s="338"/>
      <c r="X72" s="338"/>
      <c r="Y72" s="338"/>
      <c r="Z72" s="338"/>
    </row>
    <row r="73" ht="22.5" customHeight="1">
      <c r="A73" s="528" t="str">
        <f>IFERROR(__xludf.DUMMYFUNCTION("""COMPUTED_VALUE"""),"ООО""ФэрельГам""")</f>
        <v>ООО"ФэрельГам"</v>
      </c>
      <c r="B73" s="528"/>
      <c r="C73" s="528" t="str">
        <f>IFERROR(__xludf.DUMMYFUNCTION("""COMPUTED_VALUE"""),"470631 Хренодер классический 240 г этик.")</f>
        <v>470631 Хренодер классический 240 г этик.</v>
      </c>
      <c r="D73" s="528">
        <f>IFERROR(__xludf.DUMMYFUNCTION("""COMPUTED_VALUE"""),1502.0)</f>
        <v>1502</v>
      </c>
      <c r="E73" s="528" t="str">
        <f>IFERROR(__xludf.DUMMYFUNCTION("""COMPUTED_VALUE"""),"Баранов Александр")</f>
        <v>Баранов Александр</v>
      </c>
      <c r="F73" s="535" t="str">
        <f>IFERROR(__xludf.DUMMYFUNCTION("""COMPUTED_VALUE"""),"Новая")</f>
        <v>Новая</v>
      </c>
      <c r="G73" s="536" t="str">
        <f>IFERROR(__xludf.DUMMYFUNCTION("""COMPUTED_VALUE"""),"60*160")</f>
        <v>60*160</v>
      </c>
      <c r="H73" s="338" t="str">
        <f>IFERROR(__xludf.DUMMYFUNCTION("""COMPUTED_VALUE"""),"Флексопечать")</f>
        <v>Флексопечать</v>
      </c>
      <c r="I73" s="338" t="str">
        <f>IFERROR(__xludf.DUMMYFUNCTION("""COMPUTED_VALUE"""),"Wg-450")</f>
        <v>Wg-450</v>
      </c>
      <c r="J73" s="536">
        <f>IFERROR(__xludf.DUMMYFUNCTION("""COMPUTED_VALUE"""),40000.0)</f>
        <v>40000</v>
      </c>
      <c r="K73" s="537">
        <f>IFERROR(__xludf.DUMMYFUNCTION("""COMPUTED_VALUE"""),46112.0)</f>
        <v>46112</v>
      </c>
      <c r="L73" s="537"/>
      <c r="M73" s="338" t="str">
        <f>IFERROR(__xludf.DUMMYFUNCTION("""COMPUTED_VALUE"""),"Пленка PP белая каучук")</f>
        <v>Пленка PP белая каучук</v>
      </c>
      <c r="N73" s="338" t="str">
        <f>IFERROR(__xludf.DUMMYFUNCTION("""COMPUTED_VALUE"""),"Отгружен")</f>
        <v>Отгружен</v>
      </c>
      <c r="O73" s="537"/>
      <c r="P73" s="338"/>
      <c r="Q73" s="338"/>
      <c r="R73" s="338"/>
      <c r="S73" s="338"/>
      <c r="T73" s="338"/>
      <c r="U73" s="338"/>
      <c r="V73" s="338"/>
      <c r="W73" s="338"/>
      <c r="X73" s="338"/>
      <c r="Y73" s="338"/>
      <c r="Z73" s="338"/>
    </row>
    <row r="74" ht="22.5" customHeight="1">
      <c r="A74" s="528" t="str">
        <f>IFERROR(__xludf.DUMMYFUNCTION("""COMPUTED_VALUE"""),"ООО""ФэрельГам""")</f>
        <v>ООО"ФэрельГам"</v>
      </c>
      <c r="B74" s="528"/>
      <c r="C74" s="528" t="str">
        <f>IFERROR(__xludf.DUMMYFUNCTION("""COMPUTED_VALUE"""),"470636 Хренодер чесночный 240 г этик. ")</f>
        <v>470636 Хренодер чесночный 240 г этик. </v>
      </c>
      <c r="D74" s="528">
        <f>IFERROR(__xludf.DUMMYFUNCTION("""COMPUTED_VALUE"""),1456.0)</f>
        <v>1456</v>
      </c>
      <c r="E74" s="528" t="str">
        <f>IFERROR(__xludf.DUMMYFUNCTION("""COMPUTED_VALUE"""),"Баранов Александр")</f>
        <v>Баранов Александр</v>
      </c>
      <c r="F74" s="535" t="str">
        <f>IFERROR(__xludf.DUMMYFUNCTION("""COMPUTED_VALUE"""),"Новая")</f>
        <v>Новая</v>
      </c>
      <c r="G74" s="536" t="str">
        <f>IFERROR(__xludf.DUMMYFUNCTION("""COMPUTED_VALUE"""),"60*160")</f>
        <v>60*160</v>
      </c>
      <c r="H74" s="338" t="str">
        <f>IFERROR(__xludf.DUMMYFUNCTION("""COMPUTED_VALUE"""),"Флексопечать")</f>
        <v>Флексопечать</v>
      </c>
      <c r="I74" s="338" t="str">
        <f>IFERROR(__xludf.DUMMYFUNCTION("""COMPUTED_VALUE"""),"Wg-450")</f>
        <v>Wg-450</v>
      </c>
      <c r="J74" s="536">
        <f>IFERROR(__xludf.DUMMYFUNCTION("""COMPUTED_VALUE"""),20000.0)</f>
        <v>20000</v>
      </c>
      <c r="K74" s="537">
        <f>IFERROR(__xludf.DUMMYFUNCTION("""COMPUTED_VALUE"""),46112.0)</f>
        <v>46112</v>
      </c>
      <c r="L74" s="537"/>
      <c r="M74" s="338" t="str">
        <f>IFERROR(__xludf.DUMMYFUNCTION("""COMPUTED_VALUE"""),"Пленка PP белая каучук")</f>
        <v>Пленка PP белая каучук</v>
      </c>
      <c r="N74" s="338" t="str">
        <f>IFERROR(__xludf.DUMMYFUNCTION("""COMPUTED_VALUE"""),"Отгружен")</f>
        <v>Отгружен</v>
      </c>
      <c r="O74" s="537"/>
      <c r="P74" s="338"/>
      <c r="Q74" s="338"/>
      <c r="R74" s="338"/>
      <c r="S74" s="338"/>
      <c r="T74" s="338"/>
      <c r="U74" s="338"/>
      <c r="V74" s="338"/>
      <c r="W74" s="338"/>
      <c r="X74" s="338"/>
      <c r="Y74" s="338"/>
      <c r="Z74" s="338"/>
    </row>
    <row r="75" ht="22.5" customHeight="1">
      <c r="A75" s="528" t="str">
        <f>IFERROR(__xludf.DUMMYFUNCTION("""COMPUTED_VALUE"""),"ООО""ФэрельГам""")</f>
        <v>ООО"ФэрельГам"</v>
      </c>
      <c r="B75" s="528"/>
      <c r="C75" s="528" t="str">
        <f>IFERROR(__xludf.DUMMYFUNCTION("""COMPUTED_VALUE"""),"470549 Соус Сацебели 240 г этик.")</f>
        <v>470549 Соус Сацебели 240 г этик.</v>
      </c>
      <c r="D75" s="528">
        <f>IFERROR(__xludf.DUMMYFUNCTION("""COMPUTED_VALUE"""),1457.0)</f>
        <v>1457</v>
      </c>
      <c r="E75" s="528" t="str">
        <f>IFERROR(__xludf.DUMMYFUNCTION("""COMPUTED_VALUE"""),"Баранов Александр")</f>
        <v>Баранов Александр</v>
      </c>
      <c r="F75" s="535" t="str">
        <f>IFERROR(__xludf.DUMMYFUNCTION("""COMPUTED_VALUE"""),"Новая")</f>
        <v>Новая</v>
      </c>
      <c r="G75" s="536" t="str">
        <f>IFERROR(__xludf.DUMMYFUNCTION("""COMPUTED_VALUE"""),"60*160")</f>
        <v>60*160</v>
      </c>
      <c r="H75" s="338" t="str">
        <f>IFERROR(__xludf.DUMMYFUNCTION("""COMPUTED_VALUE"""),"Флексопечать")</f>
        <v>Флексопечать</v>
      </c>
      <c r="I75" s="338" t="str">
        <f>IFERROR(__xludf.DUMMYFUNCTION("""COMPUTED_VALUE"""),"Wg-450")</f>
        <v>Wg-450</v>
      </c>
      <c r="J75" s="536">
        <f>IFERROR(__xludf.DUMMYFUNCTION("""COMPUTED_VALUE"""),10000.0)</f>
        <v>10000</v>
      </c>
      <c r="K75" s="537">
        <f>IFERROR(__xludf.DUMMYFUNCTION("""COMPUTED_VALUE"""),46112.0)</f>
        <v>46112</v>
      </c>
      <c r="L75" s="537"/>
      <c r="M75" s="338" t="str">
        <f>IFERROR(__xludf.DUMMYFUNCTION("""COMPUTED_VALUE"""),"Пленка PP белая каучук")</f>
        <v>Пленка PP белая каучук</v>
      </c>
      <c r="N75" s="338" t="str">
        <f>IFERROR(__xludf.DUMMYFUNCTION("""COMPUTED_VALUE"""),"Отгружен")</f>
        <v>Отгружен</v>
      </c>
      <c r="O75" s="537"/>
      <c r="P75" s="338"/>
      <c r="Q75" s="338"/>
      <c r="R75" s="338"/>
      <c r="S75" s="338"/>
      <c r="T75" s="338"/>
      <c r="U75" s="338"/>
      <c r="V75" s="338"/>
      <c r="W75" s="338"/>
      <c r="X75" s="338"/>
      <c r="Y75" s="338"/>
      <c r="Z75" s="338"/>
    </row>
    <row r="76" ht="22.5" customHeight="1">
      <c r="A76" s="528" t="str">
        <f>IFERROR(__xludf.DUMMYFUNCTION("""COMPUTED_VALUE"""),"ООО""ФэрельГам""")</f>
        <v>ООО"ФэрельГам"</v>
      </c>
      <c r="B76" s="528"/>
      <c r="C76" s="528" t="str">
        <f>IFERROR(__xludf.DUMMYFUNCTION("""COMPUTED_VALUE"""),"470555 Соус Ткемали из сливы 240 г этик.")</f>
        <v>470555 Соус Ткемали из сливы 240 г этик.</v>
      </c>
      <c r="D76" s="528">
        <f>IFERROR(__xludf.DUMMYFUNCTION("""COMPUTED_VALUE"""),1504.0)</f>
        <v>1504</v>
      </c>
      <c r="E76" s="528" t="str">
        <f>IFERROR(__xludf.DUMMYFUNCTION("""COMPUTED_VALUE"""),"Баранов Александр")</f>
        <v>Баранов Александр</v>
      </c>
      <c r="F76" s="535" t="str">
        <f>IFERROR(__xludf.DUMMYFUNCTION("""COMPUTED_VALUE"""),"Новая")</f>
        <v>Новая</v>
      </c>
      <c r="G76" s="536" t="str">
        <f>IFERROR(__xludf.DUMMYFUNCTION("""COMPUTED_VALUE"""),"60*160")</f>
        <v>60*160</v>
      </c>
      <c r="H76" s="338" t="str">
        <f>IFERROR(__xludf.DUMMYFUNCTION("""COMPUTED_VALUE"""),"Флексопечать")</f>
        <v>Флексопечать</v>
      </c>
      <c r="I76" s="338" t="str">
        <f>IFERROR(__xludf.DUMMYFUNCTION("""COMPUTED_VALUE"""),"Wg-450")</f>
        <v>Wg-450</v>
      </c>
      <c r="J76" s="536">
        <f>IFERROR(__xludf.DUMMYFUNCTION("""COMPUTED_VALUE"""),10000.0)</f>
        <v>10000</v>
      </c>
      <c r="K76" s="537">
        <f>IFERROR(__xludf.DUMMYFUNCTION("""COMPUTED_VALUE"""),46112.0)</f>
        <v>46112</v>
      </c>
      <c r="L76" s="537"/>
      <c r="M76" s="338" t="str">
        <f>IFERROR(__xludf.DUMMYFUNCTION("""COMPUTED_VALUE"""),"Пленка PP белая каучук")</f>
        <v>Пленка PP белая каучук</v>
      </c>
      <c r="N76" s="338" t="str">
        <f>IFERROR(__xludf.DUMMYFUNCTION("""COMPUTED_VALUE"""),"Отгружен")</f>
        <v>Отгружен</v>
      </c>
      <c r="O76" s="537"/>
      <c r="P76" s="338"/>
      <c r="Q76" s="338"/>
      <c r="R76" s="338"/>
      <c r="S76" s="338"/>
      <c r="T76" s="338"/>
      <c r="U76" s="338"/>
      <c r="V76" s="338"/>
      <c r="W76" s="338"/>
      <c r="X76" s="338"/>
      <c r="Y76" s="338"/>
      <c r="Z76" s="338"/>
    </row>
    <row r="77" ht="22.5" customHeight="1">
      <c r="A77" s="528" t="str">
        <f>IFERROR(__xludf.DUMMYFUNCTION("""COMPUTED_VALUE"""),"ООО""ФэрельГам""")</f>
        <v>ООО"ФэрельГам"</v>
      </c>
      <c r="B77" s="528"/>
      <c r="C77" s="528" t="str">
        <f>IFERROR(__xludf.DUMMYFUNCTION("""COMPUTED_VALUE"""),"470543 Соус Азиатский 240 г этик.")</f>
        <v>470543 Соус Азиатский 240 г этик.</v>
      </c>
      <c r="D77" s="528">
        <f>IFERROR(__xludf.DUMMYFUNCTION("""COMPUTED_VALUE"""),1503.0)</f>
        <v>1503</v>
      </c>
      <c r="E77" s="528" t="str">
        <f>IFERROR(__xludf.DUMMYFUNCTION("""COMPUTED_VALUE"""),"Баранов Александр")</f>
        <v>Баранов Александр</v>
      </c>
      <c r="F77" s="535" t="str">
        <f>IFERROR(__xludf.DUMMYFUNCTION("""COMPUTED_VALUE"""),"Новая")</f>
        <v>Новая</v>
      </c>
      <c r="G77" s="536" t="str">
        <f>IFERROR(__xludf.DUMMYFUNCTION("""COMPUTED_VALUE"""),"60*160")</f>
        <v>60*160</v>
      </c>
      <c r="H77" s="338" t="str">
        <f>IFERROR(__xludf.DUMMYFUNCTION("""COMPUTED_VALUE"""),"Флексопечать")</f>
        <v>Флексопечать</v>
      </c>
      <c r="I77" s="338" t="str">
        <f>IFERROR(__xludf.DUMMYFUNCTION("""COMPUTED_VALUE"""),"Wg-450")</f>
        <v>Wg-450</v>
      </c>
      <c r="J77" s="536">
        <f>IFERROR(__xludf.DUMMYFUNCTION("""COMPUTED_VALUE"""),10000.0)</f>
        <v>10000</v>
      </c>
      <c r="K77" s="537">
        <f>IFERROR(__xludf.DUMMYFUNCTION("""COMPUTED_VALUE"""),46112.0)</f>
        <v>46112</v>
      </c>
      <c r="L77" s="537"/>
      <c r="M77" s="338" t="str">
        <f>IFERROR(__xludf.DUMMYFUNCTION("""COMPUTED_VALUE"""),"Пленка PP белая каучук")</f>
        <v>Пленка PP белая каучук</v>
      </c>
      <c r="N77" s="338" t="str">
        <f>IFERROR(__xludf.DUMMYFUNCTION("""COMPUTED_VALUE"""),"Отгружен")</f>
        <v>Отгружен</v>
      </c>
      <c r="O77" s="537"/>
      <c r="P77" s="338"/>
      <c r="Q77" s="338"/>
      <c r="R77" s="338"/>
      <c r="S77" s="338"/>
      <c r="T77" s="338"/>
      <c r="U77" s="338"/>
      <c r="V77" s="338"/>
      <c r="W77" s="338"/>
      <c r="X77" s="338"/>
      <c r="Y77" s="338"/>
      <c r="Z77" s="338"/>
    </row>
    <row r="78" ht="22.5" customHeight="1">
      <c r="A78" s="528" t="str">
        <f>IFERROR(__xludf.DUMMYFUNCTION("""COMPUTED_VALUE"""),"ООО""ФэрельГам""")</f>
        <v>ООО"ФэрельГам"</v>
      </c>
      <c r="B78" s="528"/>
      <c r="C78" s="528" t="str">
        <f>IFERROR(__xludf.DUMMYFUNCTION("""COMPUTED_VALUE"""),"470678 Чеснок белый 200 г В/У этик.")</f>
        <v>470678 Чеснок белый 200 г В/У этик.</v>
      </c>
      <c r="D78" s="528">
        <f>IFERROR(__xludf.DUMMYFUNCTION("""COMPUTED_VALUE"""),1455.0)</f>
        <v>1455</v>
      </c>
      <c r="E78" s="528" t="str">
        <f>IFERROR(__xludf.DUMMYFUNCTION("""COMPUTED_VALUE"""),"Баранов Александр")</f>
        <v>Баранов Александр</v>
      </c>
      <c r="F78" s="535" t="str">
        <f>IFERROR(__xludf.DUMMYFUNCTION("""COMPUTED_VALUE"""),"Новая")</f>
        <v>Новая</v>
      </c>
      <c r="G78" s="536" t="str">
        <f>IFERROR(__xludf.DUMMYFUNCTION("""COMPUTED_VALUE"""),"48*122")</f>
        <v>48*122</v>
      </c>
      <c r="H78" s="338" t="str">
        <f>IFERROR(__xludf.DUMMYFUNCTION("""COMPUTED_VALUE"""),"Флексопечать")</f>
        <v>Флексопечать</v>
      </c>
      <c r="I78" s="338" t="str">
        <f>IFERROR(__xludf.DUMMYFUNCTION("""COMPUTED_VALUE"""),"Wg-450")</f>
        <v>Wg-450</v>
      </c>
      <c r="J78" s="536">
        <f>IFERROR(__xludf.DUMMYFUNCTION("""COMPUTED_VALUE"""),10000.0)</f>
        <v>10000</v>
      </c>
      <c r="K78" s="537">
        <f>IFERROR(__xludf.DUMMYFUNCTION("""COMPUTED_VALUE"""),46112.0)</f>
        <v>46112</v>
      </c>
      <c r="L78" s="537"/>
      <c r="M78" s="338" t="str">
        <f>IFERROR(__xludf.DUMMYFUNCTION("""COMPUTED_VALUE"""),"Пленка PP белая каучук")</f>
        <v>Пленка PP белая каучук</v>
      </c>
      <c r="N78" s="338" t="str">
        <f>IFERROR(__xludf.DUMMYFUNCTION("""COMPUTED_VALUE"""),"Отгружен")</f>
        <v>Отгружен</v>
      </c>
      <c r="O78" s="537"/>
      <c r="P78" s="338"/>
      <c r="Q78" s="338"/>
      <c r="R78" s="338"/>
      <c r="S78" s="338"/>
      <c r="T78" s="338"/>
      <c r="U78" s="338"/>
      <c r="V78" s="338"/>
      <c r="W78" s="338"/>
      <c r="X78" s="338"/>
      <c r="Y78" s="338"/>
      <c r="Z78" s="338"/>
    </row>
    <row r="79" ht="22.5" customHeight="1">
      <c r="A79" s="528" t="str">
        <f>IFERROR(__xludf.DUMMYFUNCTION("""COMPUTED_VALUE"""),"Пульсар")</f>
        <v>Пульсар</v>
      </c>
      <c r="B79" s="528"/>
      <c r="C79" s="528" t="str">
        <f>IFERROR(__xludf.DUMMYFUNCTION("""COMPUTED_VALUE"""),"Моторное масло 5л 5w-30")</f>
        <v>Моторное масло 5л 5w-30</v>
      </c>
      <c r="D79" s="528"/>
      <c r="E79" s="528" t="str">
        <f>IFERROR(__xludf.DUMMYFUNCTION("""COMPUTED_VALUE"""),"Татьяна Денисова")</f>
        <v>Татьяна Денисова</v>
      </c>
      <c r="F79" s="535" t="str">
        <f>IFERROR(__xludf.DUMMYFUNCTION("""COMPUTED_VALUE"""),"ТЕСТ")</f>
        <v>ТЕСТ</v>
      </c>
      <c r="G79" s="536" t="str">
        <f>IFERROR(__xludf.DUMMYFUNCTION("""COMPUTED_VALUE"""),"159*178")</f>
        <v>159*178</v>
      </c>
      <c r="H79" s="338" t="str">
        <f>IFERROR(__xludf.DUMMYFUNCTION("""COMPUTED_VALUE"""),"Цифра+Лазер")</f>
        <v>Цифра+Лазер</v>
      </c>
      <c r="I79" s="338" t="str">
        <f>IFERROR(__xludf.DUMMYFUNCTION("""COMPUTED_VALUE"""),"Labelsmart(ЦПМ)")</f>
        <v>Labelsmart(ЦПМ)</v>
      </c>
      <c r="J79" s="536">
        <f>IFERROR(__xludf.DUMMYFUNCTION("""COMPUTED_VALUE"""),2.0)</f>
        <v>2</v>
      </c>
      <c r="K79" s="537">
        <f>IFERROR(__xludf.DUMMYFUNCTION("""COMPUTED_VALUE"""),46113.0)</f>
        <v>46113</v>
      </c>
      <c r="L79" s="537"/>
      <c r="M79" s="338" t="str">
        <f>IFERROR(__xludf.DUMMYFUNCTION("""COMPUTED_VALUE"""),"Пленка PP белая каучук")</f>
        <v>Пленка PP белая каучук</v>
      </c>
      <c r="N79" s="338" t="str">
        <f>IFERROR(__xludf.DUMMYFUNCTION("""COMPUTED_VALUE"""),"Отгружен")</f>
        <v>Отгружен</v>
      </c>
      <c r="O79" s="537"/>
      <c r="P79" s="338" t="str">
        <f>IFERROR(__xludf.DUMMYFUNCTION("""COMPUTED_VALUE"""),"С этими образцами клиент просит любые образцы с матовой ламинацией (будущий тираж будет с мат лам) ")</f>
        <v>С этими образцами клиент просит любые образцы с матовой ламинацией (будущий тираж будет с мат лам) </v>
      </c>
      <c r="Q79" s="338" t="str">
        <f>IFERROR(__xludf.DUMMYFUNCTION("""COMPUTED_VALUE"""),"БЦ Контакт, Остаповский 5/1с1. Иван +7 (926) 002-49-23")</f>
        <v>БЦ Контакт, Остаповский 5/1с1. Иван +7 (926) 002-49-23</v>
      </c>
      <c r="R79" s="338"/>
      <c r="S79" s="338"/>
      <c r="T79" s="338"/>
      <c r="U79" s="338"/>
      <c r="V79" s="338"/>
      <c r="W79" s="338"/>
      <c r="X79" s="338"/>
      <c r="Y79" s="338"/>
      <c r="Z79" s="338"/>
    </row>
    <row r="80" ht="22.5" customHeight="1">
      <c r="A80" s="528" t="str">
        <f>IFERROR(__xludf.DUMMYFUNCTION("""COMPUTED_VALUE"""),"Пульсар")</f>
        <v>Пульсар</v>
      </c>
      <c r="B80" s="528"/>
      <c r="C80" s="528" t="str">
        <f>IFERROR(__xludf.DUMMYFUNCTION("""COMPUTED_VALUE"""),"Отомоши смазки")</f>
        <v>Отомоши смазки</v>
      </c>
      <c r="D80" s="528"/>
      <c r="E80" s="528" t="str">
        <f>IFERROR(__xludf.DUMMYFUNCTION("""COMPUTED_VALUE"""),"Татьяна Денисова")</f>
        <v>Татьяна Денисова</v>
      </c>
      <c r="F80" s="535" t="str">
        <f>IFERROR(__xludf.DUMMYFUNCTION("""COMPUTED_VALUE"""),"ТЕСТ")</f>
        <v>ТЕСТ</v>
      </c>
      <c r="G80" s="536" t="str">
        <f>IFERROR(__xludf.DUMMYFUNCTION("""COMPUTED_VALUE"""),"175*225 ")</f>
        <v>175*225 </v>
      </c>
      <c r="H80" s="338" t="str">
        <f>IFERROR(__xludf.DUMMYFUNCTION("""COMPUTED_VALUE"""),"Цифра+Лазер")</f>
        <v>Цифра+Лазер</v>
      </c>
      <c r="I80" s="338" t="str">
        <f>IFERROR(__xludf.DUMMYFUNCTION("""COMPUTED_VALUE"""),"Labelsmart(ЦПМ)")</f>
        <v>Labelsmart(ЦПМ)</v>
      </c>
      <c r="J80" s="536">
        <f>IFERROR(__xludf.DUMMYFUNCTION("""COMPUTED_VALUE"""),3.0)</f>
        <v>3</v>
      </c>
      <c r="K80" s="537">
        <f>IFERROR(__xludf.DUMMYFUNCTION("""COMPUTED_VALUE"""),46113.0)</f>
        <v>46113</v>
      </c>
      <c r="L80" s="537"/>
      <c r="M80" s="338" t="str">
        <f>IFERROR(__xludf.DUMMYFUNCTION("""COMPUTED_VALUE"""),"Пленка PP белая каучук")</f>
        <v>Пленка PP белая каучук</v>
      </c>
      <c r="N80" s="338" t="str">
        <f>IFERROR(__xludf.DUMMYFUNCTION("""COMPUTED_VALUE"""),"Отгружен")</f>
        <v>Отгружен</v>
      </c>
      <c r="O80" s="537"/>
      <c r="P80" s="338" t="str">
        <f>IFERROR(__xludf.DUMMYFUNCTION("""COMPUTED_VALUE"""),"С этими образцами клиент просит любые образцы с матовой ламинацией (будущий тираж будет с мат лам) ")</f>
        <v>С этими образцами клиент просит любые образцы с матовой ламинацией (будущий тираж будет с мат лам) </v>
      </c>
      <c r="Q80" s="338" t="str">
        <f>IFERROR(__xludf.DUMMYFUNCTION("""COMPUTED_VALUE"""),"БЦ Контакт, Остаповский 5/1с1. Иван +7 (926) 002-49-23")</f>
        <v>БЦ Контакт, Остаповский 5/1с1. Иван +7 (926) 002-49-23</v>
      </c>
      <c r="R80" s="338"/>
      <c r="S80" s="338"/>
      <c r="T80" s="338"/>
      <c r="U80" s="338"/>
      <c r="V80" s="338"/>
      <c r="W80" s="338"/>
      <c r="X80" s="338"/>
      <c r="Y80" s="338"/>
      <c r="Z80" s="338"/>
    </row>
    <row r="81" ht="22.5" customHeight="1">
      <c r="A81" s="528" t="str">
        <f>IFERROR(__xludf.DUMMYFUNCTION("""COMPUTED_VALUE"""),"Калье")</f>
        <v>Калье</v>
      </c>
      <c r="B81" s="528"/>
      <c r="C81" s="528" t="str">
        <f>IFERROR(__xludf.DUMMYFUNCTION("""COMPUTED_VALUE"""),"Липидная маска-реноватор EXPERT LINE ADRICOCO, 500 мл")</f>
        <v>Липидная маска-реноватор EXPERT LINE ADRICOCO, 500 мл</v>
      </c>
      <c r="D81" s="528" t="str">
        <f>IFERROR(__xludf.DUMMYFUNCTION("""COMPUTED_VALUE"""),"1399/1400")</f>
        <v>1399/1400</v>
      </c>
      <c r="E81" s="528" t="str">
        <f>IFERROR(__xludf.DUMMYFUNCTION("""COMPUTED_VALUE"""),"Татьяна Денисова")</f>
        <v>Татьяна Денисова</v>
      </c>
      <c r="F81" s="535" t="str">
        <f>IFERROR(__xludf.DUMMYFUNCTION("""COMPUTED_VALUE"""),"Повтор с изменениями")</f>
        <v>Повтор с изменениями</v>
      </c>
      <c r="G81" s="536" t="str">
        <f>IFERROR(__xludf.DUMMYFUNCTION("""COMPUTED_VALUE"""),"д=83 / 65*280 ")</f>
        <v>д=83 / 65*280 </v>
      </c>
      <c r="H81" s="338" t="str">
        <f>IFERROR(__xludf.DUMMYFUNCTION("""COMPUTED_VALUE"""),"Флексопечать")</f>
        <v>Флексопечать</v>
      </c>
      <c r="I81" s="338" t="str">
        <f>IFERROR(__xludf.DUMMYFUNCTION("""COMPUTED_VALUE"""),"Bg-330")</f>
        <v>Bg-330</v>
      </c>
      <c r="J81" s="536" t="str">
        <f>IFERROR(__xludf.DUMMYFUNCTION("""COMPUTED_VALUE"""),"30000 комплектов")</f>
        <v>30000 комплектов</v>
      </c>
      <c r="K81" s="537">
        <f>IFERROR(__xludf.DUMMYFUNCTION("""COMPUTED_VALUE"""),46114.0)</f>
        <v>46114</v>
      </c>
      <c r="L81" s="537"/>
      <c r="M81" s="338" t="str">
        <f>IFERROR(__xludf.DUMMYFUNCTION("""COMPUTED_VALUE"""),"Пленка PP белая акрил")</f>
        <v>Пленка PP белая акрил</v>
      </c>
      <c r="N81" s="338" t="str">
        <f>IFERROR(__xludf.DUMMYFUNCTION("""COMPUTED_VALUE"""),"Отгружен")</f>
        <v>Отгружен</v>
      </c>
      <c r="O81" s="537"/>
      <c r="P81" s="338" t="str">
        <f>IFERROR(__xludf.DUMMYFUNCTION("""COMPUTED_VALUE"""),"Приладка заказа как и всегда в раб дни с 8:30 до 17:30. Упаковать бобины в стрейч и коробки")</f>
        <v>Приладка заказа как и всегда в раб дни с 8:30 до 17:30. Упаковать бобины в стрейч и коробки</v>
      </c>
      <c r="Q81" s="338" t="str">
        <f>IFERROR(__xludf.DUMMYFUNCTION("""COMPUTED_VALUE"""),"Сама заказываю ТК")</f>
        <v>Сама заказываю ТК</v>
      </c>
      <c r="R81" s="338"/>
      <c r="S81" s="338"/>
      <c r="T81" s="338"/>
      <c r="U81" s="338"/>
      <c r="V81" s="338"/>
      <c r="W81" s="338"/>
      <c r="X81" s="338"/>
      <c r="Y81" s="338"/>
      <c r="Z81" s="338"/>
    </row>
    <row r="82" ht="22.5" customHeight="1">
      <c r="A82" s="528" t="str">
        <f>IFERROR(__xludf.DUMMYFUNCTION("""COMPUTED_VALUE"""),"Кардинал ЯПД")</f>
        <v>Кардинал ЯПД</v>
      </c>
      <c r="B82" s="528"/>
      <c r="C82" s="528" t="str">
        <f>IFERROR(__xludf.DUMMYFUNCTION("""COMPUTED_VALUE"""),"Буквы ""Щ"", ""М"", ""СК""")</f>
        <v>Буквы "Щ", "М", "СК"</v>
      </c>
      <c r="D82" s="528" t="str">
        <f>IFERROR(__xludf.DUMMYFUNCTION("""COMPUTED_VALUE"""),"1430/1431/1432")</f>
        <v>1430/1431/1432</v>
      </c>
      <c r="E82" s="528" t="str">
        <f>IFERROR(__xludf.DUMMYFUNCTION("""COMPUTED_VALUE"""),"Татьяна Денисова")</f>
        <v>Татьяна Денисова</v>
      </c>
      <c r="F82" s="535" t="str">
        <f>IFERROR(__xludf.DUMMYFUNCTION("""COMPUTED_VALUE"""),"Новая")</f>
        <v>Новая</v>
      </c>
      <c r="G82" s="536" t="str">
        <f>IFERROR(__xludf.DUMMYFUNCTION("""COMPUTED_VALUE"""),"20*20")</f>
        <v>20*20</v>
      </c>
      <c r="H82" s="338" t="str">
        <f>IFERROR(__xludf.DUMMYFUNCTION("""COMPUTED_VALUE"""),"Цифра+Полуротация")</f>
        <v>Цифра+Полуротация</v>
      </c>
      <c r="I82" s="338" t="str">
        <f>IFERROR(__xludf.DUMMYFUNCTION("""COMPUTED_VALUE"""),"Labelsmart(ЦПМ)")</f>
        <v>Labelsmart(ЦПМ)</v>
      </c>
      <c r="J82" s="536">
        <f>IFERROR(__xludf.DUMMYFUNCTION("""COMPUTED_VALUE"""),13000.0)</f>
        <v>13000</v>
      </c>
      <c r="K82" s="537">
        <f>IFERROR(__xludf.DUMMYFUNCTION("""COMPUTED_VALUE"""),46114.0)</f>
        <v>46114</v>
      </c>
      <c r="L82" s="537"/>
      <c r="M82" s="338" t="str">
        <f>IFERROR(__xludf.DUMMYFUNCTION("""COMPUTED_VALUE"""),"Бумага полуглянец акрил")</f>
        <v>Бумага полуглянец акрил</v>
      </c>
      <c r="N82" s="338" t="str">
        <f>IFERROR(__xludf.DUMMYFUNCTION("""COMPUTED_VALUE"""),"Отгружен")</f>
        <v>Отгружен</v>
      </c>
      <c r="O82" s="537"/>
      <c r="P82" s="338" t="str">
        <f>IFERROR(__xludf.DUMMYFUNCTION("""COMPUTED_VALUE"""),"На замотанные бобины снаружи наклеить по одной этикетке, чтобы упакованные различить можно было ")</f>
        <v>На замотанные бобины снаружи наклеить по одной этикетке, чтобы упакованные различить можно было </v>
      </c>
      <c r="Q82" s="338" t="str">
        <f>IFERROR(__xludf.DUMMYFUNCTION("""COMPUTED_VALUE"""),"Самовывоз")</f>
        <v>Самовывоз</v>
      </c>
      <c r="R82" s="338"/>
      <c r="S82" s="338"/>
      <c r="T82" s="338"/>
      <c r="U82" s="338"/>
      <c r="V82" s="338"/>
      <c r="W82" s="338"/>
      <c r="X82" s="338"/>
      <c r="Y82" s="338"/>
      <c r="Z82" s="338"/>
    </row>
    <row r="83" ht="22.5" customHeight="1">
      <c r="A83" s="528" t="str">
        <f>IFERROR(__xludf.DUMMYFUNCTION("""COMPUTED_VALUE"""),"ЮниКруп")</f>
        <v>ЮниКруп</v>
      </c>
      <c r="B83" s="528"/>
      <c r="C83" s="528" t="str">
        <f>IFERROR(__xludf.DUMMYFUNCTION("""COMPUTED_VALUE"""),"Горох шлифованный")</f>
        <v>Горох шлифованный</v>
      </c>
      <c r="D83" s="528">
        <f>IFERROR(__xludf.DUMMYFUNCTION("""COMPUTED_VALUE"""),1449.0)</f>
        <v>1449</v>
      </c>
      <c r="E83" s="528" t="str">
        <f>IFERROR(__xludf.DUMMYFUNCTION("""COMPUTED_VALUE"""),"Шаповалова Юлия")</f>
        <v>Шаповалова Юлия</v>
      </c>
      <c r="F83" s="535" t="str">
        <f>IFERROR(__xludf.DUMMYFUNCTION("""COMPUTED_VALUE"""),"Новая")</f>
        <v>Новая</v>
      </c>
      <c r="G83" s="536" t="str">
        <f>IFERROR(__xludf.DUMMYFUNCTION("""COMPUTED_VALUE"""),"60*45")</f>
        <v>60*45</v>
      </c>
      <c r="H83" s="338" t="str">
        <f>IFERROR(__xludf.DUMMYFUNCTION("""COMPUTED_VALUE"""),"Флексопечать")</f>
        <v>Флексопечать</v>
      </c>
      <c r="I83" s="338" t="str">
        <f>IFERROR(__xludf.DUMMYFUNCTION("""COMPUTED_VALUE"""),"G-160")</f>
        <v>G-160</v>
      </c>
      <c r="J83" s="536">
        <f>IFERROR(__xludf.DUMMYFUNCTION("""COMPUTED_VALUE"""),100000.0)</f>
        <v>100000</v>
      </c>
      <c r="K83" s="537">
        <f>IFERROR(__xludf.DUMMYFUNCTION("""COMPUTED_VALUE"""),46115.0)</f>
        <v>46115</v>
      </c>
      <c r="L83" s="537"/>
      <c r="M83" s="338" t="str">
        <f>IFERROR(__xludf.DUMMYFUNCTION("""COMPUTED_VALUE"""),"Бумага полуглянец акрил")</f>
        <v>Бумага полуглянец акрил</v>
      </c>
      <c r="N83" s="338" t="str">
        <f>IFERROR(__xludf.DUMMYFUNCTION("""COMPUTED_VALUE"""),"Отгружен")</f>
        <v>Отгружен</v>
      </c>
      <c r="O83" s="537"/>
      <c r="P83" s="338" t="str">
        <f>IFERROR(__xludf.DUMMYFUNCTION("""COMPUTED_VALUE"""),"паспорт качества")</f>
        <v>паспорт качества</v>
      </c>
      <c r="Q83" s="338" t="str">
        <f>IFERROR(__xludf.DUMMYFUNCTION("""COMPUTED_VALUE"""),"1-й Спортивный пер., 3, Данков, Липецкая обл., 399852, СДЭК, контакт: 89601413738")</f>
        <v>1-й Спортивный пер., 3, Данков, Липецкая обл., 399852, СДЭК, контакт: 89601413738</v>
      </c>
      <c r="R83" s="338"/>
      <c r="S83" s="338"/>
      <c r="T83" s="338"/>
      <c r="U83" s="338"/>
      <c r="V83" s="338"/>
      <c r="W83" s="338"/>
      <c r="X83" s="338"/>
      <c r="Y83" s="338"/>
      <c r="Z83" s="338"/>
    </row>
    <row r="84" ht="22.5" customHeight="1">
      <c r="A84" s="528" t="str">
        <f>IFERROR(__xludf.DUMMYFUNCTION("""COMPUTED_VALUE"""),"ООО""ФэрельГам""")</f>
        <v>ООО"ФэрельГам"</v>
      </c>
      <c r="B84" s="528"/>
      <c r="C84" s="528" t="str">
        <f>IFERROR(__xludf.DUMMYFUNCTION("""COMPUTED_VALUE"""),"471045 Капуста маринованная Три цитруса 350г")</f>
        <v>471045 Капуста маринованная Три цитруса 350г</v>
      </c>
      <c r="D84" s="528">
        <f>IFERROR(__xludf.DUMMYFUNCTION("""COMPUTED_VALUE"""),1501.0)</f>
        <v>1501</v>
      </c>
      <c r="E84" s="528" t="str">
        <f>IFERROR(__xludf.DUMMYFUNCTION("""COMPUTED_VALUE"""),"Баранов Александр")</f>
        <v>Баранов Александр</v>
      </c>
      <c r="F84" s="535" t="str">
        <f>IFERROR(__xludf.DUMMYFUNCTION("""COMPUTED_VALUE"""),"Новая")</f>
        <v>Новая</v>
      </c>
      <c r="G84" s="536" t="str">
        <f>IFERROR(__xludf.DUMMYFUNCTION("""COMPUTED_VALUE"""),"d99")</f>
        <v>d99</v>
      </c>
      <c r="H84" s="338" t="str">
        <f>IFERROR(__xludf.DUMMYFUNCTION("""COMPUTED_VALUE"""),"Флексопечать")</f>
        <v>Флексопечать</v>
      </c>
      <c r="I84" s="338" t="str">
        <f>IFERROR(__xludf.DUMMYFUNCTION("""COMPUTED_VALUE"""),"Wg-450")</f>
        <v>Wg-450</v>
      </c>
      <c r="J84" s="536">
        <f>IFERROR(__xludf.DUMMYFUNCTION("""COMPUTED_VALUE"""),20000.0)</f>
        <v>20000</v>
      </c>
      <c r="K84" s="537">
        <f>IFERROR(__xludf.DUMMYFUNCTION("""COMPUTED_VALUE"""),46115.0)</f>
        <v>46115</v>
      </c>
      <c r="L84" s="537"/>
      <c r="M84" s="338" t="str">
        <f>IFERROR(__xludf.DUMMYFUNCTION("""COMPUTED_VALUE"""),"Пленка PP белая каучук")</f>
        <v>Пленка PP белая каучук</v>
      </c>
      <c r="N84" s="338" t="str">
        <f>IFERROR(__xludf.DUMMYFUNCTION("""COMPUTED_VALUE"""),"Отгружен")</f>
        <v>Отгружен</v>
      </c>
      <c r="O84" s="537"/>
      <c r="P84" s="338"/>
      <c r="Q84" s="338"/>
      <c r="R84" s="338"/>
      <c r="S84" s="338"/>
      <c r="T84" s="338"/>
      <c r="U84" s="338"/>
      <c r="V84" s="338"/>
      <c r="W84" s="338"/>
      <c r="X84" s="338"/>
      <c r="Y84" s="338"/>
      <c r="Z84" s="338"/>
    </row>
    <row r="85" ht="22.5" customHeight="1">
      <c r="A85" s="528" t="str">
        <f>IFERROR(__xludf.DUMMYFUNCTION("""COMPUTED_VALUE"""),"ФЭСТ")</f>
        <v>ФЭСТ</v>
      </c>
      <c r="B85" s="528"/>
      <c r="C85" s="528" t="str">
        <f>IFERROR(__xludf.DUMMYFUNCTION("""COMPUTED_VALUE"""),"Аптечка у водителя ")</f>
        <v>Аптечка у водителя </v>
      </c>
      <c r="D85" s="528">
        <f>IFERROR(__xludf.DUMMYFUNCTION("""COMPUTED_VALUE"""),1485.0)</f>
        <v>1485</v>
      </c>
      <c r="E85" s="528" t="str">
        <f>IFERROR(__xludf.DUMMYFUNCTION("""COMPUTED_VALUE"""),"Баранов Александр")</f>
        <v>Баранов Александр</v>
      </c>
      <c r="F85" s="535" t="str">
        <f>IFERROR(__xludf.DUMMYFUNCTION("""COMPUTED_VALUE"""),"Новая")</f>
        <v>Новая</v>
      </c>
      <c r="G85" s="536" t="str">
        <f>IFERROR(__xludf.DUMMYFUNCTION("""COMPUTED_VALUE"""),"70*99")</f>
        <v>70*99</v>
      </c>
      <c r="H85" s="338" t="str">
        <f>IFERROR(__xludf.DUMMYFUNCTION("""COMPUTED_VALUE"""),"Флексопечать")</f>
        <v>Флексопечать</v>
      </c>
      <c r="I85" s="338" t="str">
        <f>IFERROR(__xludf.DUMMYFUNCTION("""COMPUTED_VALUE"""),"Bg-330")</f>
        <v>Bg-330</v>
      </c>
      <c r="J85" s="536">
        <f>IFERROR(__xludf.DUMMYFUNCTION("""COMPUTED_VALUE"""),100000.0)</f>
        <v>100000</v>
      </c>
      <c r="K85" s="537">
        <f>IFERROR(__xludf.DUMMYFUNCTION("""COMPUTED_VALUE"""),46118.0)</f>
        <v>46118</v>
      </c>
      <c r="L85" s="537"/>
      <c r="M85" s="338" t="str">
        <f>IFERROR(__xludf.DUMMYFUNCTION("""COMPUTED_VALUE"""),"Пленка PP белая акрил")</f>
        <v>Пленка PP белая акрил</v>
      </c>
      <c r="N85" s="338" t="str">
        <f>IFERROR(__xludf.DUMMYFUNCTION("""COMPUTED_VALUE"""),"Отгружен")</f>
        <v>Отгружен</v>
      </c>
      <c r="O85" s="537"/>
      <c r="P85" s="338" t="str">
        <f>IFERROR(__xludf.DUMMYFUNCTION("""COMPUTED_VALUE"""),"ВЫРУБКА !!!")</f>
        <v>ВЫРУБКА !!!</v>
      </c>
      <c r="Q85" s="338" t="str">
        <f>IFERROR(__xludf.DUMMYFUNCTION("""COMPUTED_VALUE"""),"деловые линии г.Кострома")</f>
        <v>деловые линии г.Кострома</v>
      </c>
      <c r="R85" s="338"/>
      <c r="S85" s="338"/>
      <c r="T85" s="338"/>
      <c r="U85" s="338"/>
      <c r="V85" s="338"/>
      <c r="W85" s="338"/>
      <c r="X85" s="338"/>
      <c r="Y85" s="338"/>
      <c r="Z85" s="338"/>
    </row>
    <row r="86" ht="22.5" customHeight="1">
      <c r="A86" s="528" t="str">
        <f>IFERROR(__xludf.DUMMYFUNCTION("""COMPUTED_VALUE"""),"Берекет")</f>
        <v>Берекет</v>
      </c>
      <c r="B86" s="528"/>
      <c r="C86" s="528" t="str">
        <f>IFERROR(__xludf.DUMMYFUNCTION("""COMPUTED_VALUE"""),"Сладости 5 видов")</f>
        <v>Сладости 5 видов</v>
      </c>
      <c r="D86" s="528" t="str">
        <f>IFERROR(__xludf.DUMMYFUNCTION("""COMPUTED_VALUE"""),"1514-1519")</f>
        <v>1514-1519</v>
      </c>
      <c r="E86" s="528" t="str">
        <f>IFERROR(__xludf.DUMMYFUNCTION("""COMPUTED_VALUE"""),"Баранов Александр")</f>
        <v>Баранов Александр</v>
      </c>
      <c r="F86" s="535" t="str">
        <f>IFERROR(__xludf.DUMMYFUNCTION("""COMPUTED_VALUE"""),"Новая")</f>
        <v>Новая</v>
      </c>
      <c r="G86" s="536" t="str">
        <f>IFERROR(__xludf.DUMMYFUNCTION("""COMPUTED_VALUE"""),"50*80/40*80")</f>
        <v>50*80/40*80</v>
      </c>
      <c r="H86" s="338" t="str">
        <f>IFERROR(__xludf.DUMMYFUNCTION("""COMPUTED_VALUE"""),"Цифра+Полуротация")</f>
        <v>Цифра+Полуротация</v>
      </c>
      <c r="I86" s="338" t="str">
        <f>IFERROR(__xludf.DUMMYFUNCTION("""COMPUTED_VALUE"""),"LS(ЦПМ)")</f>
        <v>LS(ЦПМ)</v>
      </c>
      <c r="J86" s="536">
        <f>IFERROR(__xludf.DUMMYFUNCTION("""COMPUTED_VALUE"""),30050.0)</f>
        <v>30050</v>
      </c>
      <c r="K86" s="537">
        <f>IFERROR(__xludf.DUMMYFUNCTION("""COMPUTED_VALUE"""),46119.0)</f>
        <v>46119</v>
      </c>
      <c r="L86" s="537"/>
      <c r="M86" s="338" t="str">
        <f>IFERROR(__xludf.DUMMYFUNCTION("""COMPUTED_VALUE"""),"Бумага полуглянец акрил")</f>
        <v>Бумага полуглянец акрил</v>
      </c>
      <c r="N86" s="338" t="str">
        <f>IFERROR(__xludf.DUMMYFUNCTION("""COMPUTED_VALUE"""),"Отгружен")</f>
        <v>Отгружен</v>
      </c>
      <c r="O86" s="537"/>
      <c r="P86" s="338" t="str">
        <f>IFERROR(__xludf.DUMMYFUNCTION("""COMPUTED_VALUE""")," РОТАЦИЯ / НАКЛЕЙКА АВТО ")</f>
        <v> РОТАЦИЯ / НАКЛЕЙКА АВТО </v>
      </c>
      <c r="Q86" s="338"/>
      <c r="R86" s="338"/>
      <c r="S86" s="338"/>
      <c r="T86" s="338"/>
      <c r="U86" s="338"/>
      <c r="V86" s="338"/>
      <c r="W86" s="338"/>
      <c r="X86" s="338"/>
      <c r="Y86" s="338"/>
      <c r="Z86" s="338"/>
    </row>
    <row r="87" ht="22.5" customHeight="1">
      <c r="A87" s="528" t="str">
        <f>IFERROR(__xludf.DUMMYFUNCTION("""COMPUTED_VALUE"""),"Спайс Спайс")</f>
        <v>Спайс Спайс</v>
      </c>
      <c r="B87" s="528"/>
      <c r="C87" s="528" t="str">
        <f>IFERROR(__xludf.DUMMYFUNCTION("""COMPUTED_VALUE"""),"Этикетка Альфа Ингредиенты")</f>
        <v>Этикетка Альфа Ингредиенты</v>
      </c>
      <c r="D87" s="528">
        <f>IFERROR(__xludf.DUMMYFUNCTION("""COMPUTED_VALUE"""),1527.0)</f>
        <v>1527</v>
      </c>
      <c r="E87" s="528" t="str">
        <f>IFERROR(__xludf.DUMMYFUNCTION("""COMPUTED_VALUE"""),"Шаповалова Юлия")</f>
        <v>Шаповалова Юлия</v>
      </c>
      <c r="F87" s="535" t="str">
        <f>IFERROR(__xludf.DUMMYFUNCTION("""COMPUTED_VALUE"""),"Новая")</f>
        <v>Новая</v>
      </c>
      <c r="G87" s="536" t="str">
        <f>IFERROR(__xludf.DUMMYFUNCTION("""COMPUTED_VALUE"""),"115*150")</f>
        <v>115*150</v>
      </c>
      <c r="H87" s="338" t="str">
        <f>IFERROR(__xludf.DUMMYFUNCTION("""COMPUTED_VALUE"""),"Флексопечать")</f>
        <v>Флексопечать</v>
      </c>
      <c r="I87" s="338" t="str">
        <f>IFERROR(__xludf.DUMMYFUNCTION("""COMPUTED_VALUE"""),"Bg-330")</f>
        <v>Bg-330</v>
      </c>
      <c r="J87" s="536">
        <f>IFERROR(__xludf.DUMMYFUNCTION("""COMPUTED_VALUE"""),8000.0)</f>
        <v>8000</v>
      </c>
      <c r="K87" s="537">
        <f>IFERROR(__xludf.DUMMYFUNCTION("""COMPUTED_VALUE"""),46121.0)</f>
        <v>46121</v>
      </c>
      <c r="L87" s="537"/>
      <c r="M87" s="338" t="str">
        <f>IFERROR(__xludf.DUMMYFUNCTION("""COMPUTED_VALUE"""),"Бумага полуглянец каучук")</f>
        <v>Бумага полуглянец каучук</v>
      </c>
      <c r="N87" s="338" t="str">
        <f>IFERROR(__xludf.DUMMYFUNCTION("""COMPUTED_VALUE"""),"Отгружен")</f>
        <v>Отгружен</v>
      </c>
      <c r="O87" s="537"/>
      <c r="P87" s="338" t="str">
        <f>IFERROR(__xludf.DUMMYFUNCTION("""COMPUTED_VALUE"""),"Передать оригинал договора")</f>
        <v>Передать оригинал договора</v>
      </c>
      <c r="Q87" s="338" t="str">
        <f>IFERROR(__xludf.DUMMYFUNCTION("""COMPUTED_VALUE"""),"Москва, ул. Ижорская, д. 7, тел. 8-926-230-92-17")</f>
        <v>Москва, ул. Ижорская, д. 7, тел. 8-926-230-92-17</v>
      </c>
      <c r="R87" s="338"/>
      <c r="S87" s="338"/>
      <c r="T87" s="338"/>
      <c r="U87" s="338"/>
      <c r="V87" s="338"/>
      <c r="W87" s="338"/>
      <c r="X87" s="338"/>
      <c r="Y87" s="338"/>
      <c r="Z87" s="338"/>
    </row>
    <row r="88" ht="22.5" customHeight="1">
      <c r="A88" s="528" t="str">
        <f>IFERROR(__xludf.DUMMYFUNCTION("""COMPUTED_VALUE"""),"РБЕ")</f>
        <v>РБЕ</v>
      </c>
      <c r="B88" s="528"/>
      <c r="C88" s="528" t="str">
        <f>IFERROR(__xludf.DUMMYFUNCTION("""COMPUTED_VALUE"""),"тестовые стикеры")</f>
        <v>тестовые стикеры</v>
      </c>
      <c r="D88" s="528"/>
      <c r="E88" s="528" t="str">
        <f>IFERROR(__xludf.DUMMYFUNCTION("""COMPUTED_VALUE"""),"Римма Лукина")</f>
        <v>Римма Лукина</v>
      </c>
      <c r="F88" s="535" t="str">
        <f>IFERROR(__xludf.DUMMYFUNCTION("""COMPUTED_VALUE"""),"ТЕСТ")</f>
        <v>ТЕСТ</v>
      </c>
      <c r="G88" s="536"/>
      <c r="H88" s="338" t="str">
        <f>IFERROR(__xludf.DUMMYFUNCTION("""COMPUTED_VALUE"""),"Цифра+Лазер")</f>
        <v>Цифра+Лазер</v>
      </c>
      <c r="I88" s="338"/>
      <c r="J88" s="536">
        <f>IFERROR(__xludf.DUMMYFUNCTION("""COMPUTED_VALUE"""),20.0)</f>
        <v>20</v>
      </c>
      <c r="K88" s="537">
        <f>IFERROR(__xludf.DUMMYFUNCTION("""COMPUTED_VALUE"""),46121.0)</f>
        <v>46121</v>
      </c>
      <c r="L88" s="537"/>
      <c r="M88" s="338" t="str">
        <f>IFERROR(__xludf.DUMMYFUNCTION("""COMPUTED_VALUE"""),"Пленка PP белая каучук")</f>
        <v>Пленка PP белая каучук</v>
      </c>
      <c r="N88" s="338" t="str">
        <f>IFERROR(__xludf.DUMMYFUNCTION("""COMPUTED_VALUE"""),"Отгружен")</f>
        <v>Отгружен</v>
      </c>
      <c r="O88" s="537"/>
      <c r="P88" s="338" t="str">
        <f>IFERROR(__xludf.DUMMYFUNCTION("""COMPUTED_VALUE"""),"наклейка ручная, расположение как нам удобно")</f>
        <v>наклейка ручная, расположение как нам удобно</v>
      </c>
      <c r="Q88" s="338"/>
      <c r="R88" s="338"/>
      <c r="S88" s="338"/>
      <c r="T88" s="338"/>
      <c r="U88" s="338"/>
      <c r="V88" s="338"/>
      <c r="W88" s="338"/>
      <c r="X88" s="338"/>
      <c r="Y88" s="338"/>
      <c r="Z88" s="338"/>
    </row>
    <row r="89" ht="22.5" customHeight="1">
      <c r="A89" s="528" t="str">
        <f>IFERROR(__xludf.DUMMYFUNCTION("""COMPUTED_VALUE"""),"Кимберли ")</f>
        <v>Кимберли </v>
      </c>
      <c r="B89" s="528"/>
      <c r="C89" s="528" t="str">
        <f>IFERROR(__xludf.DUMMYFUNCTION("""COMPUTED_VALUE"""),"61284789 Наклейка на палету самоклеющаяся А5 АЛ")</f>
        <v>61284789 Наклейка на палету самоклеющаяся А5 АЛ</v>
      </c>
      <c r="D89" s="528">
        <f>IFERROR(__xludf.DUMMYFUNCTION("""COMPUTED_VALUE"""),1606.0)</f>
        <v>1606</v>
      </c>
      <c r="E89" s="528" t="str">
        <f>IFERROR(__xludf.DUMMYFUNCTION("""COMPUTED_VALUE"""),"Римма Лукина")</f>
        <v>Римма Лукина</v>
      </c>
      <c r="F89" s="535" t="str">
        <f>IFERROR(__xludf.DUMMYFUNCTION("""COMPUTED_VALUE"""),"Новая")</f>
        <v>Новая</v>
      </c>
      <c r="G89" s="536" t="str">
        <f>IFERROR(__xludf.DUMMYFUNCTION("""COMPUTED_VALUE"""),"148*210")</f>
        <v>148*210</v>
      </c>
      <c r="H89" s="338"/>
      <c r="I89" s="338"/>
      <c r="J89" s="536">
        <f>IFERROR(__xludf.DUMMYFUNCTION("""COMPUTED_VALUE"""),50400.0)</f>
        <v>50400</v>
      </c>
      <c r="K89" s="537">
        <f>IFERROR(__xludf.DUMMYFUNCTION("""COMPUTED_VALUE"""),46121.0)</f>
        <v>46121</v>
      </c>
      <c r="L89" s="537"/>
      <c r="M89" s="338" t="str">
        <f>IFERROR(__xludf.DUMMYFUNCTION("""COMPUTED_VALUE"""),"Бумага полуглянец акрил")</f>
        <v>Бумага полуглянец акрил</v>
      </c>
      <c r="N89" s="338" t="str">
        <f>IFERROR(__xludf.DUMMYFUNCTION("""COMPUTED_VALUE"""),"Отгружен")</f>
        <v>Отгружен</v>
      </c>
      <c r="O89" s="537"/>
      <c r="P89" s="338" t="str">
        <f>IFERROR(__xludf.DUMMYFUNCTION("""COMPUTED_VALUE"""),"в четверг прислать вес и  количество паллет для заказа  транспорта")</f>
        <v>в четверг прислать вес и  количество паллет для заказа  транспорта</v>
      </c>
      <c r="Q89" s="338" t="str">
        <f>IFERROR(__xludf.DUMMYFUNCTION("""COMPUTED_VALUE"""),"СДЭК")</f>
        <v>СДЭК</v>
      </c>
      <c r="R89" s="338"/>
      <c r="S89" s="338"/>
      <c r="T89" s="338"/>
      <c r="U89" s="338"/>
      <c r="V89" s="338"/>
      <c r="W89" s="338"/>
      <c r="X89" s="338"/>
      <c r="Y89" s="338"/>
      <c r="Z89" s="338"/>
    </row>
    <row r="90" ht="22.5" customHeight="1">
      <c r="A90" s="528" t="str">
        <f>IFERROR(__xludf.DUMMYFUNCTION("""COMPUTED_VALUE"""),"Кимберли ")</f>
        <v>Кимберли </v>
      </c>
      <c r="B90" s="528"/>
      <c r="C90" s="528" t="str">
        <f>IFERROR(__xludf.DUMMYFUNCTION("""COMPUTED_VALUE"""),"61284496
T3 OD XPAD Накл/пакет S3 Jumbo 58x2")</f>
        <v>61284496
T3 OD XPAD Накл/пакет S3 Jumbo 58x2</v>
      </c>
      <c r="D90" s="528">
        <f>IFERROR(__xludf.DUMMYFUNCTION("""COMPUTED_VALUE"""),1607.0)</f>
        <v>1607</v>
      </c>
      <c r="E90" s="528" t="str">
        <f>IFERROR(__xludf.DUMMYFUNCTION("""COMPUTED_VALUE"""),"Римма Лукина")</f>
        <v>Римма Лукина</v>
      </c>
      <c r="F90" s="535" t="str">
        <f>IFERROR(__xludf.DUMMYFUNCTION("""COMPUTED_VALUE"""),"Повтор")</f>
        <v>Повтор</v>
      </c>
      <c r="G90" s="536" t="str">
        <f>IFERROR(__xludf.DUMMYFUNCTION("""COMPUTED_VALUE"""),"55*55")</f>
        <v>55*55</v>
      </c>
      <c r="H90" s="338"/>
      <c r="I90" s="338"/>
      <c r="J90" s="536">
        <f>IFERROR(__xludf.DUMMYFUNCTION("""COMPUTED_VALUE"""),7500.0)</f>
        <v>7500</v>
      </c>
      <c r="K90" s="537">
        <f>IFERROR(__xludf.DUMMYFUNCTION("""COMPUTED_VALUE"""),46121.0)</f>
        <v>46121</v>
      </c>
      <c r="L90" s="537"/>
      <c r="M90" s="338" t="str">
        <f>IFERROR(__xludf.DUMMYFUNCTION("""COMPUTED_VALUE"""),"Бумага полуглянец акрил")</f>
        <v>Бумага полуглянец акрил</v>
      </c>
      <c r="N90" s="338" t="str">
        <f>IFERROR(__xludf.DUMMYFUNCTION("""COMPUTED_VALUE"""),"Отгружен")</f>
        <v>Отгружен</v>
      </c>
      <c r="O90" s="537"/>
      <c r="P90" s="338" t="str">
        <f>IFERROR(__xludf.DUMMYFUNCTION("""COMPUTED_VALUE"""),"в четверг прислать вес и  количество паллет для заказа  транспорта")</f>
        <v>в четверг прислать вес и  количество паллет для заказа  транспорта</v>
      </c>
      <c r="Q90" s="338" t="str">
        <f>IFERROR(__xludf.DUMMYFUNCTION("""COMPUTED_VALUE"""),"СДЭК")</f>
        <v>СДЭК</v>
      </c>
      <c r="R90" s="338"/>
      <c r="S90" s="338"/>
      <c r="T90" s="338"/>
      <c r="U90" s="338"/>
      <c r="V90" s="338"/>
      <c r="W90" s="338"/>
      <c r="X90" s="338"/>
      <c r="Y90" s="338"/>
      <c r="Z90" s="338"/>
    </row>
    <row r="91" ht="22.5" customHeight="1">
      <c r="A91" s="528" t="str">
        <f>IFERROR(__xludf.DUMMYFUNCTION("""COMPUTED_VALUE"""),"Кимберли ")</f>
        <v>Кимберли </v>
      </c>
      <c r="B91" s="528"/>
      <c r="C91" s="528" t="str">
        <f>IFERROR(__xludf.DUMMYFUNCTION("""COMPUTED_VALUE"""),"61284497
T3 OD XPAD Накл/пакет S5 Jumbo 42x4")</f>
        <v>61284497
T3 OD XPAD Накл/пакет S5 Jumbo 42x4</v>
      </c>
      <c r="D91" s="528">
        <f>IFERROR(__xludf.DUMMYFUNCTION("""COMPUTED_VALUE"""),1608.0)</f>
        <v>1608</v>
      </c>
      <c r="E91" s="528" t="str">
        <f>IFERROR(__xludf.DUMMYFUNCTION("""COMPUTED_VALUE"""),"Римма Лукина")</f>
        <v>Римма Лукина</v>
      </c>
      <c r="F91" s="535" t="str">
        <f>IFERROR(__xludf.DUMMYFUNCTION("""COMPUTED_VALUE"""),"Повтор")</f>
        <v>Повтор</v>
      </c>
      <c r="G91" s="536" t="str">
        <f>IFERROR(__xludf.DUMMYFUNCTION("""COMPUTED_VALUE"""),"55*55")</f>
        <v>55*55</v>
      </c>
      <c r="H91" s="338"/>
      <c r="I91" s="338"/>
      <c r="J91" s="536">
        <f>IFERROR(__xludf.DUMMYFUNCTION("""COMPUTED_VALUE"""),7500.0)</f>
        <v>7500</v>
      </c>
      <c r="K91" s="537">
        <f>IFERROR(__xludf.DUMMYFUNCTION("""COMPUTED_VALUE"""),46121.0)</f>
        <v>46121</v>
      </c>
      <c r="L91" s="537"/>
      <c r="M91" s="338" t="str">
        <f>IFERROR(__xludf.DUMMYFUNCTION("""COMPUTED_VALUE"""),"Бумага полуглянец акрил")</f>
        <v>Бумага полуглянец акрил</v>
      </c>
      <c r="N91" s="338" t="str">
        <f>IFERROR(__xludf.DUMMYFUNCTION("""COMPUTED_VALUE"""),"Отгружен")</f>
        <v>Отгружен</v>
      </c>
      <c r="O91" s="537"/>
      <c r="P91" s="338" t="str">
        <f>IFERROR(__xludf.DUMMYFUNCTION("""COMPUTED_VALUE"""),"в четверг прислать вес и  количество паллет для заказа  транспорта")</f>
        <v>в четверг прислать вес и  количество паллет для заказа  транспорта</v>
      </c>
      <c r="Q91" s="338" t="str">
        <f>IFERROR(__xludf.DUMMYFUNCTION("""COMPUTED_VALUE"""),"СДЭК")</f>
        <v>СДЭК</v>
      </c>
      <c r="R91" s="338"/>
      <c r="S91" s="338"/>
      <c r="T91" s="338"/>
      <c r="U91" s="338"/>
      <c r="V91" s="338"/>
      <c r="W91" s="338"/>
      <c r="X91" s="338"/>
      <c r="Y91" s="338"/>
      <c r="Z91" s="338"/>
    </row>
    <row r="92" ht="22.5" customHeight="1">
      <c r="A92" s="528" t="str">
        <f>IFERROR(__xludf.DUMMYFUNCTION("""COMPUTED_VALUE"""),"Кимберли ")</f>
        <v>Кимберли </v>
      </c>
      <c r="B92" s="528"/>
      <c r="C92" s="528" t="str">
        <f>IFERROR(__xludf.DUMMYFUNCTION("""COMPUTED_VALUE"""),"61284567
УК ЧЗ Накл/пакет S5 Giga 64x4 Дев")</f>
        <v>61284567
УК ЧЗ Накл/пакет S5 Giga 64x4 Дев</v>
      </c>
      <c r="D92" s="528">
        <f>IFERROR(__xludf.DUMMYFUNCTION("""COMPUTED_VALUE"""),1610.0)</f>
        <v>1610</v>
      </c>
      <c r="E92" s="528" t="str">
        <f>IFERROR(__xludf.DUMMYFUNCTION("""COMPUTED_VALUE"""),"Римма Лукина")</f>
        <v>Римма Лукина</v>
      </c>
      <c r="F92" s="535" t="str">
        <f>IFERROR(__xludf.DUMMYFUNCTION("""COMPUTED_VALUE"""),"Повтор")</f>
        <v>Повтор</v>
      </c>
      <c r="G92" s="536" t="str">
        <f>IFERROR(__xludf.DUMMYFUNCTION("""COMPUTED_VALUE"""),"55*55")</f>
        <v>55*55</v>
      </c>
      <c r="H92" s="338"/>
      <c r="I92" s="338"/>
      <c r="J92" s="536">
        <f>IFERROR(__xludf.DUMMYFUNCTION("""COMPUTED_VALUE"""),10000.0)</f>
        <v>10000</v>
      </c>
      <c r="K92" s="537">
        <f>IFERROR(__xludf.DUMMYFUNCTION("""COMPUTED_VALUE"""),46121.0)</f>
        <v>46121</v>
      </c>
      <c r="L92" s="537"/>
      <c r="M92" s="338" t="str">
        <f>IFERROR(__xludf.DUMMYFUNCTION("""COMPUTED_VALUE"""),"Бумага полуглянец акрил")</f>
        <v>Бумага полуглянец акрил</v>
      </c>
      <c r="N92" s="338" t="str">
        <f>IFERROR(__xludf.DUMMYFUNCTION("""COMPUTED_VALUE"""),"Отгружен")</f>
        <v>Отгружен</v>
      </c>
      <c r="O92" s="537"/>
      <c r="P92" s="338" t="str">
        <f>IFERROR(__xludf.DUMMYFUNCTION("""COMPUTED_VALUE"""),"в четверг прислать вес и  количество паллет для заказа  транспорта")</f>
        <v>в четверг прислать вес и  количество паллет для заказа  транспорта</v>
      </c>
      <c r="Q92" s="338" t="str">
        <f>IFERROR(__xludf.DUMMYFUNCTION("""COMPUTED_VALUE"""),"СДЭК")</f>
        <v>СДЭК</v>
      </c>
      <c r="R92" s="338"/>
      <c r="S92" s="338"/>
      <c r="T92" s="338"/>
      <c r="U92" s="338"/>
      <c r="V92" s="338"/>
      <c r="W92" s="338"/>
      <c r="X92" s="338"/>
      <c r="Y92" s="338"/>
      <c r="Z92" s="338"/>
    </row>
    <row r="93" ht="22.5" customHeight="1">
      <c r="A93" s="528" t="str">
        <f>IFERROR(__xludf.DUMMYFUNCTION("""COMPUTED_VALUE"""),"Кимберли ")</f>
        <v>Кимберли </v>
      </c>
      <c r="B93" s="528"/>
      <c r="C93" s="528" t="str">
        <f>IFERROR(__xludf.DUMMYFUNCTION("""COMPUTED_VALUE"""),"61284581УК ЧЗ Накл/пакет S5 Giga 64x4 Мал")</f>
        <v>61284581УК ЧЗ Накл/пакет S5 Giga 64x4 Мал</v>
      </c>
      <c r="D93" s="528">
        <f>IFERROR(__xludf.DUMMYFUNCTION("""COMPUTED_VALUE"""),1609.0)</f>
        <v>1609</v>
      </c>
      <c r="E93" s="528" t="str">
        <f>IFERROR(__xludf.DUMMYFUNCTION("""COMPUTED_VALUE"""),"Римма Лукина")</f>
        <v>Римма Лукина</v>
      </c>
      <c r="F93" s="535" t="str">
        <f>IFERROR(__xludf.DUMMYFUNCTION("""COMPUTED_VALUE"""),"Повтор")</f>
        <v>Повтор</v>
      </c>
      <c r="G93" s="536" t="str">
        <f>IFERROR(__xludf.DUMMYFUNCTION("""COMPUTED_VALUE"""),"55*55")</f>
        <v>55*55</v>
      </c>
      <c r="H93" s="338"/>
      <c r="I93" s="338"/>
      <c r="J93" s="536">
        <f>IFERROR(__xludf.DUMMYFUNCTION("""COMPUTED_VALUE"""),12500.0)</f>
        <v>12500</v>
      </c>
      <c r="K93" s="537">
        <f>IFERROR(__xludf.DUMMYFUNCTION("""COMPUTED_VALUE"""),46121.0)</f>
        <v>46121</v>
      </c>
      <c r="L93" s="537"/>
      <c r="M93" s="338" t="str">
        <f>IFERROR(__xludf.DUMMYFUNCTION("""COMPUTED_VALUE"""),"Бумага полуглянец акрил")</f>
        <v>Бумага полуглянец акрил</v>
      </c>
      <c r="N93" s="338" t="str">
        <f>IFERROR(__xludf.DUMMYFUNCTION("""COMPUTED_VALUE"""),"Отгружен")</f>
        <v>Отгружен</v>
      </c>
      <c r="O93" s="537"/>
      <c r="P93" s="338" t="str">
        <f>IFERROR(__xludf.DUMMYFUNCTION("""COMPUTED_VALUE"""),"в четверг прислать вес и  количество паллет для заказа  транспорта")</f>
        <v>в четверг прислать вес и  количество паллет для заказа  транспорта</v>
      </c>
      <c r="Q93" s="338" t="str">
        <f>IFERROR(__xludf.DUMMYFUNCTION("""COMPUTED_VALUE"""),"СДЭК")</f>
        <v>СДЭК</v>
      </c>
      <c r="R93" s="338"/>
      <c r="S93" s="338"/>
      <c r="T93" s="338"/>
      <c r="U93" s="338"/>
      <c r="V93" s="338"/>
      <c r="W93" s="338"/>
      <c r="X93" s="338"/>
      <c r="Y93" s="338"/>
      <c r="Z93" s="338"/>
    </row>
    <row r="94" ht="22.5" customHeight="1">
      <c r="A94" s="528" t="str">
        <f>IFERROR(__xludf.DUMMYFUNCTION("""COMPUTED_VALUE"""),"Берекет")</f>
        <v>Берекет</v>
      </c>
      <c r="B94" s="528"/>
      <c r="C94" s="528" t="str">
        <f>IFERROR(__xludf.DUMMYFUNCTION("""COMPUTED_VALUE"""),"значок Халяль")</f>
        <v>значок Халяль</v>
      </c>
      <c r="D94" s="528">
        <f>IFERROR(__xludf.DUMMYFUNCTION("""COMPUTED_VALUE"""),1542.0)</f>
        <v>1542</v>
      </c>
      <c r="E94" s="528" t="str">
        <f>IFERROR(__xludf.DUMMYFUNCTION("""COMPUTED_VALUE"""),"Баранов Александр")</f>
        <v>Баранов Александр</v>
      </c>
      <c r="F94" s="535" t="str">
        <f>IFERROR(__xludf.DUMMYFUNCTION("""COMPUTED_VALUE"""),"Новая")</f>
        <v>Новая</v>
      </c>
      <c r="G94" s="536" t="str">
        <f>IFERROR(__xludf.DUMMYFUNCTION("""COMPUTED_VALUE"""),"30*30")</f>
        <v>30*30</v>
      </c>
      <c r="H94" s="338" t="str">
        <f>IFERROR(__xludf.DUMMYFUNCTION("""COMPUTED_VALUE"""),"Цифра+Полуротация")</f>
        <v>Цифра+Полуротация</v>
      </c>
      <c r="I94" s="338" t="str">
        <f>IFERROR(__xludf.DUMMYFUNCTION("""COMPUTED_VALUE"""),"LS(ЦПМ)")</f>
        <v>LS(ЦПМ)</v>
      </c>
      <c r="J94" s="536">
        <f>IFERROR(__xludf.DUMMYFUNCTION("""COMPUTED_VALUE"""),5000.0)</f>
        <v>5000</v>
      </c>
      <c r="K94" s="537">
        <f>IFERROR(__xludf.DUMMYFUNCTION("""COMPUTED_VALUE"""),46121.0)</f>
        <v>46121</v>
      </c>
      <c r="L94" s="537"/>
      <c r="M94" s="338" t="str">
        <f>IFERROR(__xludf.DUMMYFUNCTION("""COMPUTED_VALUE"""),"Бумага полуглянец акрил")</f>
        <v>Бумага полуглянец акрил</v>
      </c>
      <c r="N94" s="338" t="str">
        <f>IFERROR(__xludf.DUMMYFUNCTION("""COMPUTED_VALUE"""),"Отгружен")</f>
        <v>Отгружен</v>
      </c>
      <c r="O94" s="537"/>
      <c r="P94" s="338"/>
      <c r="Q94" s="338" t="str">
        <f>IFERROR(__xludf.DUMMYFUNCTION("""COMPUTED_VALUE"""),"до терминала ДЛ ( Пенза )")</f>
        <v>до терминала ДЛ ( Пенза )</v>
      </c>
      <c r="R94" s="338"/>
      <c r="S94" s="338"/>
      <c r="T94" s="338"/>
      <c r="U94" s="338"/>
      <c r="V94" s="338"/>
      <c r="W94" s="338"/>
      <c r="X94" s="338"/>
      <c r="Y94" s="338"/>
      <c r="Z94" s="338"/>
    </row>
    <row r="95" ht="22.5" customHeight="1">
      <c r="A95" s="528" t="str">
        <f>IFERROR(__xludf.DUMMYFUNCTION("""COMPUTED_VALUE"""),"     
ООО""ФэрельГам""")</f>
        <v>     
ООО"ФэрельГам"</v>
      </c>
      <c r="B95" s="528"/>
      <c r="C95" s="528" t="str">
        <f>IFERROR(__xludf.DUMMYFUNCTION("""COMPUTED_VALUE"""),"470214 Капуста по-московски 500 г этик.")</f>
        <v>470214 Капуста по-московски 500 г этик.</v>
      </c>
      <c r="D95" s="528">
        <f>IFERROR(__xludf.DUMMYFUNCTION("""COMPUTED_VALUE"""),1555.0)</f>
        <v>1555</v>
      </c>
      <c r="E95" s="528" t="str">
        <f>IFERROR(__xludf.DUMMYFUNCTION("""COMPUTED_VALUE"""),"Баранов Александр")</f>
        <v>Баранов Александр</v>
      </c>
      <c r="F95" s="535" t="str">
        <f>IFERROR(__xludf.DUMMYFUNCTION("""COMPUTED_VALUE"""),"Повтор")</f>
        <v>Повтор</v>
      </c>
      <c r="G95" s="536" t="str">
        <f>IFERROR(__xludf.DUMMYFUNCTION("""COMPUTED_VALUE"""),"д110")</f>
        <v>д110</v>
      </c>
      <c r="H95" s="338" t="str">
        <f>IFERROR(__xludf.DUMMYFUNCTION("""COMPUTED_VALUE"""),"Флексопечать")</f>
        <v>Флексопечать</v>
      </c>
      <c r="I95" s="338" t="str">
        <f>IFERROR(__xludf.DUMMYFUNCTION("""COMPUTED_VALUE"""),"Wg-450")</f>
        <v>Wg-450</v>
      </c>
      <c r="J95" s="536">
        <f>IFERROR(__xludf.DUMMYFUNCTION("""COMPUTED_VALUE"""),10000.0)</f>
        <v>10000</v>
      </c>
      <c r="K95" s="537">
        <f>IFERROR(__xludf.DUMMYFUNCTION("""COMPUTED_VALUE"""),46121.0)</f>
        <v>46121</v>
      </c>
      <c r="L95" s="537"/>
      <c r="M95" s="338" t="str">
        <f>IFERROR(__xludf.DUMMYFUNCTION("""COMPUTED_VALUE"""),"Пленка PP белая каучук")</f>
        <v>Пленка PP белая каучук</v>
      </c>
      <c r="N95" s="338" t="str">
        <f>IFERROR(__xludf.DUMMYFUNCTION("""COMPUTED_VALUE"""),"Отгружен")</f>
        <v>Отгружен</v>
      </c>
      <c r="O95" s="537"/>
      <c r="P95" s="338" t="str">
        <f>IFERROR(__xludf.DUMMYFUNCTION("""COMPUTED_VALUE"""),"МАКЕТ ДЕЛАЛ ИГОРЬ")</f>
        <v>МАКЕТ ДЕЛАЛ ИГОРЬ</v>
      </c>
      <c r="Q95" s="338"/>
      <c r="R95" s="338"/>
      <c r="S95" s="338"/>
      <c r="T95" s="338"/>
      <c r="U95" s="338"/>
      <c r="V95" s="338"/>
      <c r="W95" s="338"/>
      <c r="X95" s="338"/>
      <c r="Y95" s="338"/>
      <c r="Z95" s="338"/>
    </row>
    <row r="96" ht="22.5" customHeight="1">
      <c r="A96" s="528" t="str">
        <f>IFERROR(__xludf.DUMMYFUNCTION("""COMPUTED_VALUE"""),"ООО""ФэрельГам""")</f>
        <v>ООО"ФэрельГам"</v>
      </c>
      <c r="B96" s="528"/>
      <c r="C96" s="528" t="str">
        <f>IFERROR(__xludf.DUMMYFUNCTION("""COMPUTED_VALUE"""),"470435 Огурцы соленые корнишоны 500 г этик.")</f>
        <v>470435 Огурцы соленые корнишоны 500 г этик.</v>
      </c>
      <c r="D96" s="528">
        <f>IFERROR(__xludf.DUMMYFUNCTION("""COMPUTED_VALUE"""),1551.0)</f>
        <v>1551</v>
      </c>
      <c r="E96" s="528" t="str">
        <f>IFERROR(__xludf.DUMMYFUNCTION("""COMPUTED_VALUE"""),"Баранов Александр")</f>
        <v>Баранов Александр</v>
      </c>
      <c r="F96" s="535" t="str">
        <f>IFERROR(__xludf.DUMMYFUNCTION("""COMPUTED_VALUE"""),"Повтор")</f>
        <v>Повтор</v>
      </c>
      <c r="G96" s="536" t="str">
        <f>IFERROR(__xludf.DUMMYFUNCTION("""COMPUTED_VALUE"""),"д110")</f>
        <v>д110</v>
      </c>
      <c r="H96" s="338" t="str">
        <f>IFERROR(__xludf.DUMMYFUNCTION("""COMPUTED_VALUE"""),"Флексопечать")</f>
        <v>Флексопечать</v>
      </c>
      <c r="I96" s="338" t="str">
        <f>IFERROR(__xludf.DUMMYFUNCTION("""COMPUTED_VALUE"""),"Wg-450")</f>
        <v>Wg-450</v>
      </c>
      <c r="J96" s="536">
        <f>IFERROR(__xludf.DUMMYFUNCTION("""COMPUTED_VALUE"""),50000.0)</f>
        <v>50000</v>
      </c>
      <c r="K96" s="537">
        <f>IFERROR(__xludf.DUMMYFUNCTION("""COMPUTED_VALUE"""),46121.0)</f>
        <v>46121</v>
      </c>
      <c r="L96" s="537"/>
      <c r="M96" s="338" t="str">
        <f>IFERROR(__xludf.DUMMYFUNCTION("""COMPUTED_VALUE"""),"Пленка PP белая каучук")</f>
        <v>Пленка PP белая каучук</v>
      </c>
      <c r="N96" s="338" t="str">
        <f>IFERROR(__xludf.DUMMYFUNCTION("""COMPUTED_VALUE"""),"Отгружен")</f>
        <v>Отгружен</v>
      </c>
      <c r="O96" s="537"/>
      <c r="P96" s="338"/>
      <c r="Q96" s="338"/>
      <c r="R96" s="338"/>
      <c r="S96" s="338"/>
      <c r="T96" s="338"/>
      <c r="U96" s="338"/>
      <c r="V96" s="338"/>
      <c r="W96" s="338"/>
      <c r="X96" s="338"/>
      <c r="Y96" s="338"/>
      <c r="Z96" s="338"/>
    </row>
    <row r="97" ht="22.5" customHeight="1">
      <c r="A97" s="528" t="str">
        <f>IFERROR(__xludf.DUMMYFUNCTION("""COMPUTED_VALUE"""),"ООО""ФэрельГам""")</f>
        <v>ООО"ФэрельГам"</v>
      </c>
      <c r="B97" s="528"/>
      <c r="C97" s="528" t="str">
        <f>IFERROR(__xludf.DUMMYFUNCTION("""COMPUTED_VALUE"""),"470217 Капуста по-московски 800 г этик.")</f>
        <v>470217 Капуста по-московски 800 г этик.</v>
      </c>
      <c r="D97" s="528">
        <f>IFERROR(__xludf.DUMMYFUNCTION("""COMPUTED_VALUE"""),1554.0)</f>
        <v>1554</v>
      </c>
      <c r="E97" s="528" t="str">
        <f>IFERROR(__xludf.DUMMYFUNCTION("""COMPUTED_VALUE"""),"Баранов Александр")</f>
        <v>Баранов Александр</v>
      </c>
      <c r="F97" s="535" t="str">
        <f>IFERROR(__xludf.DUMMYFUNCTION("""COMPUTED_VALUE"""),"Повтор")</f>
        <v>Повтор</v>
      </c>
      <c r="G97" s="536" t="str">
        <f>IFERROR(__xludf.DUMMYFUNCTION("""COMPUTED_VALUE"""),"д110")</f>
        <v>д110</v>
      </c>
      <c r="H97" s="338" t="str">
        <f>IFERROR(__xludf.DUMMYFUNCTION("""COMPUTED_VALUE"""),"Флексопечать")</f>
        <v>Флексопечать</v>
      </c>
      <c r="I97" s="338" t="str">
        <f>IFERROR(__xludf.DUMMYFUNCTION("""COMPUTED_VALUE"""),"Wg-450")</f>
        <v>Wg-450</v>
      </c>
      <c r="J97" s="536">
        <f>IFERROR(__xludf.DUMMYFUNCTION("""COMPUTED_VALUE"""),20000.0)</f>
        <v>20000</v>
      </c>
      <c r="K97" s="537">
        <f>IFERROR(__xludf.DUMMYFUNCTION("""COMPUTED_VALUE"""),46121.0)</f>
        <v>46121</v>
      </c>
      <c r="L97" s="537"/>
      <c r="M97" s="338" t="str">
        <f>IFERROR(__xludf.DUMMYFUNCTION("""COMPUTED_VALUE"""),"Пленка PP белая каучук")</f>
        <v>Пленка PP белая каучук</v>
      </c>
      <c r="N97" s="338" t="str">
        <f>IFERROR(__xludf.DUMMYFUNCTION("""COMPUTED_VALUE"""),"Отгружен")</f>
        <v>Отгружен</v>
      </c>
      <c r="O97" s="537"/>
      <c r="P97" s="338" t="str">
        <f>IFERROR(__xludf.DUMMYFUNCTION("""COMPUTED_VALUE"""),"МАКЕТ ДЕЛАЛ ИГОРЬ")</f>
        <v>МАКЕТ ДЕЛАЛ ИГОРЬ</v>
      </c>
      <c r="Q97" s="338"/>
      <c r="R97" s="338"/>
      <c r="S97" s="338"/>
      <c r="T97" s="338"/>
      <c r="U97" s="338"/>
      <c r="V97" s="338"/>
      <c r="W97" s="338"/>
      <c r="X97" s="338"/>
      <c r="Y97" s="338"/>
      <c r="Z97" s="338"/>
    </row>
    <row r="98" ht="22.5" customHeight="1">
      <c r="A98" s="528" t="str">
        <f>IFERROR(__xludf.DUMMYFUNCTION("""COMPUTED_VALUE"""),"     
ООО""ФэрельГам""")</f>
        <v>     
ООО"ФэрельГам"</v>
      </c>
      <c r="B98" s="528"/>
      <c r="C98" s="528" t="str">
        <f>IFERROR(__xludf.DUMMYFUNCTION("""COMPUTED_VALUE"""),"470757 Капуста квашеная с морковью 700 г Чижик этик.")</f>
        <v>470757 Капуста квашеная с морковью 700 г Чижик этик.</v>
      </c>
      <c r="D98" s="528">
        <f>IFERROR(__xludf.DUMMYFUNCTION("""COMPUTED_VALUE"""),1544.0)</f>
        <v>1544</v>
      </c>
      <c r="E98" s="528" t="str">
        <f>IFERROR(__xludf.DUMMYFUNCTION("""COMPUTED_VALUE"""),"Баранов Александр")</f>
        <v>Баранов Александр</v>
      </c>
      <c r="F98" s="535" t="str">
        <f>IFERROR(__xludf.DUMMYFUNCTION("""COMPUTED_VALUE"""),"Повтор")</f>
        <v>Повтор</v>
      </c>
      <c r="G98" s="536" t="str">
        <f>IFERROR(__xludf.DUMMYFUNCTION("""COMPUTED_VALUE"""),"д110")</f>
        <v>д110</v>
      </c>
      <c r="H98" s="338" t="str">
        <f>IFERROR(__xludf.DUMMYFUNCTION("""COMPUTED_VALUE"""),"Флексопечать")</f>
        <v>Флексопечать</v>
      </c>
      <c r="I98" s="338" t="str">
        <f>IFERROR(__xludf.DUMMYFUNCTION("""COMPUTED_VALUE"""),"Wg-450")</f>
        <v>Wg-450</v>
      </c>
      <c r="J98" s="536">
        <f>IFERROR(__xludf.DUMMYFUNCTION("""COMPUTED_VALUE"""),400000.0)</f>
        <v>400000</v>
      </c>
      <c r="K98" s="537">
        <f>IFERROR(__xludf.DUMMYFUNCTION("""COMPUTED_VALUE"""),46121.0)</f>
        <v>46121</v>
      </c>
      <c r="L98" s="537"/>
      <c r="M98" s="338" t="str">
        <f>IFERROR(__xludf.DUMMYFUNCTION("""COMPUTED_VALUE"""),"Пленка PP белая каучук")</f>
        <v>Пленка PP белая каучук</v>
      </c>
      <c r="N98" s="338" t="str">
        <f>IFERROR(__xludf.DUMMYFUNCTION("""COMPUTED_VALUE"""),"Отгружен")</f>
        <v>Отгружен</v>
      </c>
      <c r="O98" s="537"/>
      <c r="P98" s="338" t="str">
        <f>IFERROR(__xludf.DUMMYFUNCTION("""COMPUTED_VALUE"""),"В ПЕЧАТИ")</f>
        <v>В ПЕЧАТИ</v>
      </c>
      <c r="Q98" s="338"/>
      <c r="R98" s="338"/>
      <c r="S98" s="338"/>
      <c r="T98" s="338"/>
      <c r="U98" s="338"/>
      <c r="V98" s="338"/>
      <c r="W98" s="338"/>
      <c r="X98" s="338"/>
      <c r="Y98" s="338"/>
      <c r="Z98" s="338"/>
    </row>
    <row r="99" ht="22.5" customHeight="1">
      <c r="A99" s="528" t="str">
        <f>IFERROR(__xludf.DUMMYFUNCTION("""COMPUTED_VALUE"""),"ООО""ФэрельГам""")</f>
        <v>ООО"ФэрельГам"</v>
      </c>
      <c r="B99" s="528"/>
      <c r="C99" s="528" t="str">
        <f>IFERROR(__xludf.DUMMYFUNCTION("""COMPUTED_VALUE"""),"450351 Огурцы соленые 1000 г global village этик.")</f>
        <v>450351 Огурцы соленые 1000 г global village этик.</v>
      </c>
      <c r="D99" s="528">
        <f>IFERROR(__xludf.DUMMYFUNCTION("""COMPUTED_VALUE"""),1549.0)</f>
        <v>1549</v>
      </c>
      <c r="E99" s="528" t="str">
        <f>IFERROR(__xludf.DUMMYFUNCTION("""COMPUTED_VALUE"""),"Баранов Александр")</f>
        <v>Баранов Александр</v>
      </c>
      <c r="F99" s="535" t="str">
        <f>IFERROR(__xludf.DUMMYFUNCTION("""COMPUTED_VALUE"""),"Повтор")</f>
        <v>Повтор</v>
      </c>
      <c r="G99" s="536" t="str">
        <f>IFERROR(__xludf.DUMMYFUNCTION("""COMPUTED_VALUE"""),"Д99")</f>
        <v>Д99</v>
      </c>
      <c r="H99" s="338" t="str">
        <f>IFERROR(__xludf.DUMMYFUNCTION("""COMPUTED_VALUE"""),"Флексопечать")</f>
        <v>Флексопечать</v>
      </c>
      <c r="I99" s="338" t="str">
        <f>IFERROR(__xludf.DUMMYFUNCTION("""COMPUTED_VALUE"""),"Wg-450")</f>
        <v>Wg-450</v>
      </c>
      <c r="J99" s="536">
        <f>IFERROR(__xludf.DUMMYFUNCTION("""COMPUTED_VALUE"""),100000.0)</f>
        <v>100000</v>
      </c>
      <c r="K99" s="537">
        <f>IFERROR(__xludf.DUMMYFUNCTION("""COMPUTED_VALUE"""),46121.0)</f>
        <v>46121</v>
      </c>
      <c r="L99" s="537"/>
      <c r="M99" s="338" t="str">
        <f>IFERROR(__xludf.DUMMYFUNCTION("""COMPUTED_VALUE"""),"Пленка PP белая каучук")</f>
        <v>Пленка PP белая каучук</v>
      </c>
      <c r="N99" s="338" t="str">
        <f>IFERROR(__xludf.DUMMYFUNCTION("""COMPUTED_VALUE"""),"Отгружен")</f>
        <v>Отгружен</v>
      </c>
      <c r="O99" s="537"/>
      <c r="P99" s="338"/>
      <c r="Q99" s="338"/>
      <c r="R99" s="338"/>
      <c r="S99" s="338"/>
      <c r="T99" s="338"/>
      <c r="U99" s="338"/>
      <c r="V99" s="338"/>
      <c r="W99" s="338"/>
      <c r="X99" s="338"/>
      <c r="Y99" s="338"/>
      <c r="Z99" s="338"/>
    </row>
    <row r="100" ht="22.5" customHeight="1">
      <c r="A100" s="528" t="str">
        <f>IFERROR(__xludf.DUMMYFUNCTION("""COMPUTED_VALUE"""),"ООО""ФэрельГам""")</f>
        <v>ООО"ФэрельГам"</v>
      </c>
      <c r="B100" s="528"/>
      <c r="C100" s="528" t="str">
        <f>IFERROR(__xludf.DUMMYFUNCTION("""COMPUTED_VALUE"""),"470634 Хренодер классический 400 г на Бутылку (Магнит) этик.")</f>
        <v>470634 Хренодер классический 400 г на Бутылку (Магнит) этик.</v>
      </c>
      <c r="D100" s="528">
        <f>IFERROR(__xludf.DUMMYFUNCTION("""COMPUTED_VALUE"""),1550.0)</f>
        <v>1550</v>
      </c>
      <c r="E100" s="528" t="str">
        <f>IFERROR(__xludf.DUMMYFUNCTION("""COMPUTED_VALUE"""),"Баранов Александр")</f>
        <v>Баранов Александр</v>
      </c>
      <c r="F100" s="535" t="str">
        <f>IFERROR(__xludf.DUMMYFUNCTION("""COMPUTED_VALUE"""),"Повтор")</f>
        <v>Повтор</v>
      </c>
      <c r="G100" s="536" t="str">
        <f>IFERROR(__xludf.DUMMYFUNCTION("""COMPUTED_VALUE"""),"65*180")</f>
        <v>65*180</v>
      </c>
      <c r="H100" s="338" t="str">
        <f>IFERROR(__xludf.DUMMYFUNCTION("""COMPUTED_VALUE"""),"Флексопечать")</f>
        <v>Флексопечать</v>
      </c>
      <c r="I100" s="338" t="str">
        <f>IFERROR(__xludf.DUMMYFUNCTION("""COMPUTED_VALUE"""),"Wg-450")</f>
        <v>Wg-450</v>
      </c>
      <c r="J100" s="536">
        <f>IFERROR(__xludf.DUMMYFUNCTION("""COMPUTED_VALUE"""),50000.0)</f>
        <v>50000</v>
      </c>
      <c r="K100" s="537">
        <f>IFERROR(__xludf.DUMMYFUNCTION("""COMPUTED_VALUE"""),46121.0)</f>
        <v>46121</v>
      </c>
      <c r="L100" s="537"/>
      <c r="M100" s="338" t="str">
        <f>IFERROR(__xludf.DUMMYFUNCTION("""COMPUTED_VALUE"""),"Пленка PP белая каучук")</f>
        <v>Пленка PP белая каучук</v>
      </c>
      <c r="N100" s="338" t="str">
        <f>IFERROR(__xludf.DUMMYFUNCTION("""COMPUTED_VALUE"""),"Отгружен")</f>
        <v>Отгружен</v>
      </c>
      <c r="O100" s="537"/>
      <c r="P100" s="338" t="str">
        <f>IFERROR(__xludf.DUMMYFUNCTION("""COMPUTED_VALUE"""),"согласован")</f>
        <v>согласован</v>
      </c>
      <c r="Q100" s="338"/>
      <c r="R100" s="338"/>
      <c r="S100" s="338"/>
      <c r="T100" s="338"/>
      <c r="U100" s="338"/>
      <c r="V100" s="338"/>
      <c r="W100" s="338"/>
      <c r="X100" s="338"/>
      <c r="Y100" s="338"/>
      <c r="Z100" s="338"/>
    </row>
    <row r="101" ht="22.5" customHeight="1">
      <c r="A101" s="528" t="str">
        <f>IFERROR(__xludf.DUMMYFUNCTION("""COMPUTED_VALUE"""),"ООО""ФэрельГам""")</f>
        <v>ООО"ФэрельГам"</v>
      </c>
      <c r="B101" s="528"/>
      <c r="C101" s="528" t="str">
        <f>IFERROR(__xludf.DUMMYFUNCTION("""COMPUTED_VALUE"""),"470789 Салат Морковь по-корейски 200 г Магнит этик.")</f>
        <v>470789 Салат Морковь по-корейски 200 г Магнит этик.</v>
      </c>
      <c r="D101" s="528">
        <f>IFERROR(__xludf.DUMMYFUNCTION("""COMPUTED_VALUE"""),1567.0)</f>
        <v>1567</v>
      </c>
      <c r="E101" s="528" t="str">
        <f>IFERROR(__xludf.DUMMYFUNCTION("""COMPUTED_VALUE"""),"Баранов Александр")</f>
        <v>Баранов Александр</v>
      </c>
      <c r="F101" s="535" t="str">
        <f>IFERROR(__xludf.DUMMYFUNCTION("""COMPUTED_VALUE"""),"Новая")</f>
        <v>Новая</v>
      </c>
      <c r="G101" s="536" t="str">
        <f>IFERROR(__xludf.DUMMYFUNCTION("""COMPUTED_VALUE"""),"д110")</f>
        <v>д110</v>
      </c>
      <c r="H101" s="338" t="str">
        <f>IFERROR(__xludf.DUMMYFUNCTION("""COMPUTED_VALUE"""),"Флексопечать")</f>
        <v>Флексопечать</v>
      </c>
      <c r="I101" s="338" t="str">
        <f>IFERROR(__xludf.DUMMYFUNCTION("""COMPUTED_VALUE"""),"Wg-450")</f>
        <v>Wg-450</v>
      </c>
      <c r="J101" s="536">
        <f>IFERROR(__xludf.DUMMYFUNCTION("""COMPUTED_VALUE"""),100000.0)</f>
        <v>100000</v>
      </c>
      <c r="K101" s="537">
        <f>IFERROR(__xludf.DUMMYFUNCTION("""COMPUTED_VALUE"""),46121.0)</f>
        <v>46121</v>
      </c>
      <c r="L101" s="537"/>
      <c r="M101" s="338" t="str">
        <f>IFERROR(__xludf.DUMMYFUNCTION("""COMPUTED_VALUE"""),"Пленка PP белая каучук")</f>
        <v>Пленка PP белая каучук</v>
      </c>
      <c r="N101" s="338" t="str">
        <f>IFERROR(__xludf.DUMMYFUNCTION("""COMPUTED_VALUE"""),"Отгружен")</f>
        <v>Отгружен</v>
      </c>
      <c r="O101" s="537"/>
      <c r="P101" s="338" t="str">
        <f>IFERROR(__xludf.DUMMYFUNCTION("""COMPUTED_VALUE"""),"согласован")</f>
        <v>согласован</v>
      </c>
      <c r="Q101" s="338"/>
      <c r="R101" s="338"/>
      <c r="S101" s="338"/>
      <c r="T101" s="338"/>
      <c r="U101" s="338"/>
      <c r="V101" s="338"/>
      <c r="W101" s="338"/>
      <c r="X101" s="338"/>
      <c r="Y101" s="338"/>
      <c r="Z101" s="338"/>
    </row>
    <row r="102" ht="22.5" customHeight="1">
      <c r="A102" s="528" t="str">
        <f>IFERROR(__xludf.DUMMYFUNCTION("""COMPUTED_VALUE"""),"ООО""ФэрельГам""")</f>
        <v>ООО"ФэрельГам"</v>
      </c>
      <c r="B102" s="528"/>
      <c r="C102" s="528" t="str">
        <f>IFERROR(__xludf.DUMMYFUNCTION("""COMPUTED_VALUE"""),"470137 Капуста квашеная с морковью 500 г (Магнит) этик.")</f>
        <v>470137 Капуста квашеная с морковью 500 г (Магнит) этик.</v>
      </c>
      <c r="D102" s="528">
        <f>IFERROR(__xludf.DUMMYFUNCTION("""COMPUTED_VALUE"""),1545.0)</f>
        <v>1545</v>
      </c>
      <c r="E102" s="528" t="str">
        <f>IFERROR(__xludf.DUMMYFUNCTION("""COMPUTED_VALUE"""),"Баранов Александр")</f>
        <v>Баранов Александр</v>
      </c>
      <c r="F102" s="535" t="str">
        <f>IFERROR(__xludf.DUMMYFUNCTION("""COMPUTED_VALUE"""),"Повтор с изменениями")</f>
        <v>Повтор с изменениями</v>
      </c>
      <c r="G102" s="536" t="str">
        <f>IFERROR(__xludf.DUMMYFUNCTION("""COMPUTED_VALUE"""),"д110")</f>
        <v>д110</v>
      </c>
      <c r="H102" s="338" t="str">
        <f>IFERROR(__xludf.DUMMYFUNCTION("""COMPUTED_VALUE"""),"Флексопечать")</f>
        <v>Флексопечать</v>
      </c>
      <c r="I102" s="338" t="str">
        <f>IFERROR(__xludf.DUMMYFUNCTION("""COMPUTED_VALUE"""),"Wg-450")</f>
        <v>Wg-450</v>
      </c>
      <c r="J102" s="536">
        <f>IFERROR(__xludf.DUMMYFUNCTION("""COMPUTED_VALUE"""),350000.0)</f>
        <v>350000</v>
      </c>
      <c r="K102" s="537">
        <f>IFERROR(__xludf.DUMMYFUNCTION("""COMPUTED_VALUE"""),46121.0)</f>
        <v>46121</v>
      </c>
      <c r="L102" s="537"/>
      <c r="M102" s="338" t="str">
        <f>IFERROR(__xludf.DUMMYFUNCTION("""COMPUTED_VALUE"""),"Пленка PP белая каучук")</f>
        <v>Пленка PP белая каучук</v>
      </c>
      <c r="N102" s="338" t="str">
        <f>IFERROR(__xludf.DUMMYFUNCTION("""COMPUTED_VALUE"""),"Отгружен")</f>
        <v>Отгружен</v>
      </c>
      <c r="O102" s="537"/>
      <c r="P102" s="338" t="str">
        <f>IFERROR(__xludf.DUMMYFUNCTION("""COMPUTED_VALUE"""),"ПРАВКИ Е211 , ОТРПАВИЛИ , ЖДЕМ формы")</f>
        <v>ПРАВКИ Е211 , ОТРПАВИЛИ , ЖДЕМ формы</v>
      </c>
      <c r="Q102" s="338"/>
      <c r="R102" s="338"/>
      <c r="S102" s="338"/>
      <c r="T102" s="338"/>
      <c r="U102" s="338"/>
      <c r="V102" s="338"/>
      <c r="W102" s="338"/>
      <c r="X102" s="338"/>
      <c r="Y102" s="338"/>
      <c r="Z102" s="338"/>
    </row>
    <row r="103" ht="22.5" customHeight="1">
      <c r="A103" s="528" t="str">
        <f>IFERROR(__xludf.DUMMYFUNCTION("""COMPUTED_VALUE"""),"     
ООО""ФэрельГам""")</f>
        <v>     
ООО"ФэрельГам"</v>
      </c>
      <c r="B103" s="528"/>
      <c r="C103" s="528" t="str">
        <f>IFERROR(__xludf.DUMMYFUNCTION("""COMPUTED_VALUE"""),"470564 Спаржа по-корейски 300 г этик.")</f>
        <v>470564 Спаржа по-корейски 300 г этик.</v>
      </c>
      <c r="D103" s="528">
        <f>IFERROR(__xludf.DUMMYFUNCTION("""COMPUTED_VALUE"""),1562.0)</f>
        <v>1562</v>
      </c>
      <c r="E103" s="528" t="str">
        <f>IFERROR(__xludf.DUMMYFUNCTION("""COMPUTED_VALUE"""),"Баранов Александр")</f>
        <v>Баранов Александр</v>
      </c>
      <c r="F103" s="535" t="str">
        <f>IFERROR(__xludf.DUMMYFUNCTION("""COMPUTED_VALUE"""),"Повтор")</f>
        <v>Повтор</v>
      </c>
      <c r="G103" s="536" t="str">
        <f>IFERROR(__xludf.DUMMYFUNCTION("""COMPUTED_VALUE"""),"д110")</f>
        <v>д110</v>
      </c>
      <c r="H103" s="338" t="str">
        <f>IFERROR(__xludf.DUMMYFUNCTION("""COMPUTED_VALUE"""),"Флексопечать")</f>
        <v>Флексопечать</v>
      </c>
      <c r="I103" s="338" t="str">
        <f>IFERROR(__xludf.DUMMYFUNCTION("""COMPUTED_VALUE"""),"Wg-450")</f>
        <v>Wg-450</v>
      </c>
      <c r="J103" s="536">
        <f>IFERROR(__xludf.DUMMYFUNCTION("""COMPUTED_VALUE"""),10000.0)</f>
        <v>10000</v>
      </c>
      <c r="K103" s="537">
        <f>IFERROR(__xludf.DUMMYFUNCTION("""COMPUTED_VALUE"""),46121.0)</f>
        <v>46121</v>
      </c>
      <c r="L103" s="537"/>
      <c r="M103" s="338" t="str">
        <f>IFERROR(__xludf.DUMMYFUNCTION("""COMPUTED_VALUE"""),"Пленка PP белая каучук")</f>
        <v>Пленка PP белая каучук</v>
      </c>
      <c r="N103" s="338" t="str">
        <f>IFERROR(__xludf.DUMMYFUNCTION("""COMPUTED_VALUE"""),"Отгружен")</f>
        <v>Отгружен</v>
      </c>
      <c r="O103" s="537"/>
      <c r="P103" s="338"/>
      <c r="Q103" s="338"/>
      <c r="R103" s="338"/>
      <c r="S103" s="338"/>
      <c r="T103" s="338"/>
      <c r="U103" s="338"/>
      <c r="V103" s="338"/>
      <c r="W103" s="338"/>
      <c r="X103" s="338"/>
      <c r="Y103" s="338"/>
      <c r="Z103" s="338"/>
    </row>
    <row r="104" ht="22.5" customHeight="1">
      <c r="A104" s="528" t="str">
        <f>IFERROR(__xludf.DUMMYFUNCTION("""COMPUTED_VALUE"""),"ООО""ФэрельГам""")</f>
        <v>ООО"ФэрельГам"</v>
      </c>
      <c r="B104" s="528"/>
      <c r="C104" s="528" t="str">
        <f>IFERROR(__xludf.DUMMYFUNCTION("""COMPUTED_VALUE"""),"450358 Капуста квашеная с морковью 250 Global Village Этик д95 ")</f>
        <v>450358 Капуста квашеная с морковью 250 Global Village Этик д95 </v>
      </c>
      <c r="D104" s="528">
        <f>IFERROR(__xludf.DUMMYFUNCTION("""COMPUTED_VALUE"""),1566.0)</f>
        <v>1566</v>
      </c>
      <c r="E104" s="528" t="str">
        <f>IFERROR(__xludf.DUMMYFUNCTION("""COMPUTED_VALUE"""),"Баранов Александр")</f>
        <v>Баранов Александр</v>
      </c>
      <c r="F104" s="535" t="str">
        <f>IFERROR(__xludf.DUMMYFUNCTION("""COMPUTED_VALUE"""),"Новая")</f>
        <v>Новая</v>
      </c>
      <c r="G104" s="536" t="str">
        <f>IFERROR(__xludf.DUMMYFUNCTION("""COMPUTED_VALUE"""),"д95")</f>
        <v>д95</v>
      </c>
      <c r="H104" s="338" t="str">
        <f>IFERROR(__xludf.DUMMYFUNCTION("""COMPUTED_VALUE"""),"Флексопечать")</f>
        <v>Флексопечать</v>
      </c>
      <c r="I104" s="338" t="str">
        <f>IFERROR(__xludf.DUMMYFUNCTION("""COMPUTED_VALUE"""),"Wg-450")</f>
        <v>Wg-450</v>
      </c>
      <c r="J104" s="536">
        <f>IFERROR(__xludf.DUMMYFUNCTION("""COMPUTED_VALUE"""),150000.0)</f>
        <v>150000</v>
      </c>
      <c r="K104" s="537">
        <f>IFERROR(__xludf.DUMMYFUNCTION("""COMPUTED_VALUE"""),46121.0)</f>
        <v>46121</v>
      </c>
      <c r="L104" s="537"/>
      <c r="M104" s="338" t="str">
        <f>IFERROR(__xludf.DUMMYFUNCTION("""COMPUTED_VALUE"""),"Пленка PP белая каучук")</f>
        <v>Пленка PP белая каучук</v>
      </c>
      <c r="N104" s="338" t="str">
        <f>IFERROR(__xludf.DUMMYFUNCTION("""COMPUTED_VALUE"""),"Отгружен")</f>
        <v>Отгружен</v>
      </c>
      <c r="O104" s="537"/>
      <c r="P104" s="338"/>
      <c r="Q104" s="338"/>
      <c r="R104" s="338"/>
      <c r="S104" s="338"/>
      <c r="T104" s="338"/>
      <c r="U104" s="338"/>
      <c r="V104" s="338"/>
      <c r="W104" s="338"/>
      <c r="X104" s="338"/>
      <c r="Y104" s="338"/>
      <c r="Z104" s="338"/>
    </row>
    <row r="105" ht="22.5" customHeight="1">
      <c r="A105" s="528" t="str">
        <f>IFERROR(__xludf.DUMMYFUNCTION("""COMPUTED_VALUE"""),"ООО""ФэрельГам""")</f>
        <v>ООО"ФэрельГам"</v>
      </c>
      <c r="B105" s="528"/>
      <c r="C105" s="528" t="str">
        <f>IFERROR(__xludf.DUMMYFUNCTION("""COMPUTED_VALUE"""),"450357 Капуста квашеная с морковью 900 Круглое лето Этик д95")</f>
        <v>450357 Капуста квашеная с морковью 900 Круглое лето Этик д95</v>
      </c>
      <c r="D105" s="528">
        <f>IFERROR(__xludf.DUMMYFUNCTION("""COMPUTED_VALUE"""),1563.0)</f>
        <v>1563</v>
      </c>
      <c r="E105" s="528" t="str">
        <f>IFERROR(__xludf.DUMMYFUNCTION("""COMPUTED_VALUE"""),"Баранов Александр")</f>
        <v>Баранов Александр</v>
      </c>
      <c r="F105" s="535" t="str">
        <f>IFERROR(__xludf.DUMMYFUNCTION("""COMPUTED_VALUE"""),"Новая")</f>
        <v>Новая</v>
      </c>
      <c r="G105" s="536" t="str">
        <f>IFERROR(__xludf.DUMMYFUNCTION("""COMPUTED_VALUE"""),"д95")</f>
        <v>д95</v>
      </c>
      <c r="H105" s="338" t="str">
        <f>IFERROR(__xludf.DUMMYFUNCTION("""COMPUTED_VALUE"""),"Флексопечать")</f>
        <v>Флексопечать</v>
      </c>
      <c r="I105" s="338" t="str">
        <f>IFERROR(__xludf.DUMMYFUNCTION("""COMPUTED_VALUE"""),"Wg-450")</f>
        <v>Wg-450</v>
      </c>
      <c r="J105" s="536">
        <f>IFERROR(__xludf.DUMMYFUNCTION("""COMPUTED_VALUE"""),100000.0)</f>
        <v>100000</v>
      </c>
      <c r="K105" s="537">
        <f>IFERROR(__xludf.DUMMYFUNCTION("""COMPUTED_VALUE"""),46121.0)</f>
        <v>46121</v>
      </c>
      <c r="L105" s="537"/>
      <c r="M105" s="338" t="str">
        <f>IFERROR(__xludf.DUMMYFUNCTION("""COMPUTED_VALUE"""),"Пленка PP белая каучук")</f>
        <v>Пленка PP белая каучук</v>
      </c>
      <c r="N105" s="338" t="str">
        <f>IFERROR(__xludf.DUMMYFUNCTION("""COMPUTED_VALUE"""),"Отгружен")</f>
        <v>Отгружен</v>
      </c>
      <c r="O105" s="537"/>
      <c r="P105" s="338"/>
      <c r="Q105" s="338"/>
      <c r="R105" s="338"/>
      <c r="S105" s="338"/>
      <c r="T105" s="338"/>
      <c r="U105" s="338"/>
      <c r="V105" s="338"/>
      <c r="W105" s="338"/>
      <c r="X105" s="338"/>
      <c r="Y105" s="338"/>
      <c r="Z105" s="338"/>
    </row>
    <row r="106" ht="22.5" customHeight="1">
      <c r="A106" s="528" t="str">
        <f>IFERROR(__xludf.DUMMYFUNCTION("""COMPUTED_VALUE"""),"ООО""ФэрельГам""")</f>
        <v>ООО"ФэрельГам"</v>
      </c>
      <c r="B106" s="528"/>
      <c r="C106" s="528" t="str">
        <f>IFERROR(__xludf.DUMMYFUNCTION("""COMPUTED_VALUE"""),"470860 Сыр чечил ассорти 150 г Магнолия 100*70 этик")</f>
        <v>470860 Сыр чечил ассорти 150 г Магнолия 100*70 этик</v>
      </c>
      <c r="D106" s="528">
        <f>IFERROR(__xludf.DUMMYFUNCTION("""COMPUTED_VALUE"""),1591.0)</f>
        <v>1591</v>
      </c>
      <c r="E106" s="528" t="str">
        <f>IFERROR(__xludf.DUMMYFUNCTION("""COMPUTED_VALUE"""),"Баранов Александр")</f>
        <v>Баранов Александр</v>
      </c>
      <c r="F106" s="535" t="str">
        <f>IFERROR(__xludf.DUMMYFUNCTION("""COMPUTED_VALUE"""),"Новая")</f>
        <v>Новая</v>
      </c>
      <c r="G106" s="536" t="str">
        <f>IFERROR(__xludf.DUMMYFUNCTION("""COMPUTED_VALUE"""),"70*100")</f>
        <v>70*100</v>
      </c>
      <c r="H106" s="338" t="str">
        <f>IFERROR(__xludf.DUMMYFUNCTION("""COMPUTED_VALUE"""),"Флексопечать")</f>
        <v>Флексопечать</v>
      </c>
      <c r="I106" s="338" t="str">
        <f>IFERROR(__xludf.DUMMYFUNCTION("""COMPUTED_VALUE"""),"G-200")</f>
        <v>G-200</v>
      </c>
      <c r="J106" s="536">
        <f>IFERROR(__xludf.DUMMYFUNCTION("""COMPUTED_VALUE"""),10000.0)</f>
        <v>10000</v>
      </c>
      <c r="K106" s="537">
        <f>IFERROR(__xludf.DUMMYFUNCTION("""COMPUTED_VALUE"""),46122.0)</f>
        <v>46122</v>
      </c>
      <c r="L106" s="537"/>
      <c r="M106" s="338" t="str">
        <f>IFERROR(__xludf.DUMMYFUNCTION("""COMPUTED_VALUE"""),"Пленка PP белая каучук")</f>
        <v>Пленка PP белая каучук</v>
      </c>
      <c r="N106" s="338" t="str">
        <f>IFERROR(__xludf.DUMMYFUNCTION("""COMPUTED_VALUE"""),"Отгружен")</f>
        <v>Отгружен</v>
      </c>
      <c r="O106" s="537"/>
      <c r="P106" s="338" t="str">
        <f>IFERROR(__xludf.DUMMYFUNCTION("""COMPUTED_VALUE"""),"ДТ")</f>
        <v>ДТ</v>
      </c>
      <c r="Q106" s="338"/>
      <c r="R106" s="338"/>
      <c r="S106" s="338"/>
      <c r="T106" s="338"/>
      <c r="U106" s="338"/>
      <c r="V106" s="338"/>
      <c r="W106" s="338"/>
      <c r="X106" s="338"/>
      <c r="Y106" s="338"/>
      <c r="Z106" s="338"/>
    </row>
    <row r="107" ht="22.5" customHeight="1">
      <c r="A107" s="528" t="str">
        <f>IFERROR(__xludf.DUMMYFUNCTION("""COMPUTED_VALUE"""),"ООО""ФэрельГам""")</f>
        <v>ООО"ФэрельГам"</v>
      </c>
      <c r="B107" s="528"/>
      <c r="C107" s="528" t="str">
        <f>IFERROR(__xludf.DUMMYFUNCTION("""COMPUTED_VALUE"""),"470356 Напиток Рассол капустный 240 г этик.")</f>
        <v>470356 Напиток Рассол капустный 240 г этик.</v>
      </c>
      <c r="D107" s="528">
        <f>IFERROR(__xludf.DUMMYFUNCTION("""COMPUTED_VALUE"""),1592.0)</f>
        <v>1592</v>
      </c>
      <c r="E107" s="528" t="str">
        <f>IFERROR(__xludf.DUMMYFUNCTION("""COMPUTED_VALUE"""),"Баранов Александр")</f>
        <v>Баранов Александр</v>
      </c>
      <c r="F107" s="535" t="str">
        <f>IFERROR(__xludf.DUMMYFUNCTION("""COMPUTED_VALUE"""),"Новая")</f>
        <v>Новая</v>
      </c>
      <c r="G107" s="536" t="str">
        <f>IFERROR(__xludf.DUMMYFUNCTION("""COMPUTED_VALUE"""),"60*160")</f>
        <v>60*160</v>
      </c>
      <c r="H107" s="338" t="str">
        <f>IFERROR(__xludf.DUMMYFUNCTION("""COMPUTED_VALUE"""),"Флексопечать")</f>
        <v>Флексопечать</v>
      </c>
      <c r="I107" s="338" t="str">
        <f>IFERROR(__xludf.DUMMYFUNCTION("""COMPUTED_VALUE"""),"Wg-450")</f>
        <v>Wg-450</v>
      </c>
      <c r="J107" s="536">
        <f>IFERROR(__xludf.DUMMYFUNCTION("""COMPUTED_VALUE"""),10000.0)</f>
        <v>10000</v>
      </c>
      <c r="K107" s="537">
        <f>IFERROR(__xludf.DUMMYFUNCTION("""COMPUTED_VALUE"""),46121.0)</f>
        <v>46121</v>
      </c>
      <c r="L107" s="537"/>
      <c r="M107" s="338" t="str">
        <f>IFERROR(__xludf.DUMMYFUNCTION("""COMPUTED_VALUE"""),"Пленка PP белая каучук")</f>
        <v>Пленка PP белая каучук</v>
      </c>
      <c r="N107" s="338" t="str">
        <f>IFERROR(__xludf.DUMMYFUNCTION("""COMPUTED_VALUE"""),"Отгружен")</f>
        <v>Отгружен</v>
      </c>
      <c r="O107" s="537"/>
      <c r="P107" s="338"/>
      <c r="Q107" s="338"/>
      <c r="R107" s="338"/>
      <c r="S107" s="338"/>
      <c r="T107" s="338"/>
      <c r="U107" s="338"/>
      <c r="V107" s="338"/>
      <c r="W107" s="338"/>
      <c r="X107" s="338"/>
      <c r="Y107" s="338"/>
      <c r="Z107" s="338"/>
    </row>
    <row r="108" ht="22.5" customHeight="1">
      <c r="A108" s="528" t="str">
        <f>IFERROR(__xludf.DUMMYFUNCTION("""COMPUTED_VALUE"""),"ООО""ФэрельГам""")</f>
        <v>ООО"ФэрельГам"</v>
      </c>
      <c r="B108" s="528"/>
      <c r="C108" s="528" t="str">
        <f>IFERROR(__xludf.DUMMYFUNCTION("""COMPUTED_VALUE"""),"470859 Сыр чечил 150 г Магнолия 100*70 этик.")</f>
        <v>470859 Сыр чечил 150 г Магнолия 100*70 этик.</v>
      </c>
      <c r="D108" s="528">
        <f>IFERROR(__xludf.DUMMYFUNCTION("""COMPUTED_VALUE"""),1590.0)</f>
        <v>1590</v>
      </c>
      <c r="E108" s="528" t="str">
        <f>IFERROR(__xludf.DUMMYFUNCTION("""COMPUTED_VALUE"""),"Баранов Александр")</f>
        <v>Баранов Александр</v>
      </c>
      <c r="F108" s="535" t="str">
        <f>IFERROR(__xludf.DUMMYFUNCTION("""COMPUTED_VALUE"""),"Новая")</f>
        <v>Новая</v>
      </c>
      <c r="G108" s="536" t="str">
        <f>IFERROR(__xludf.DUMMYFUNCTION("""COMPUTED_VALUE"""),"70*100")</f>
        <v>70*100</v>
      </c>
      <c r="H108" s="338" t="str">
        <f>IFERROR(__xludf.DUMMYFUNCTION("""COMPUTED_VALUE"""),"Флексопечать")</f>
        <v>Флексопечать</v>
      </c>
      <c r="I108" s="338" t="str">
        <f>IFERROR(__xludf.DUMMYFUNCTION("""COMPUTED_VALUE"""),"G-200")</f>
        <v>G-200</v>
      </c>
      <c r="J108" s="536">
        <f>IFERROR(__xludf.DUMMYFUNCTION("""COMPUTED_VALUE"""),10000.0)</f>
        <v>10000</v>
      </c>
      <c r="K108" s="537">
        <f>IFERROR(__xludf.DUMMYFUNCTION("""COMPUTED_VALUE"""),46122.0)</f>
        <v>46122</v>
      </c>
      <c r="L108" s="537"/>
      <c r="M108" s="338" t="str">
        <f>IFERROR(__xludf.DUMMYFUNCTION("""COMPUTED_VALUE"""),"Пленка PP белая каучук")</f>
        <v>Пленка PP белая каучук</v>
      </c>
      <c r="N108" s="338" t="str">
        <f>IFERROR(__xludf.DUMMYFUNCTION("""COMPUTED_VALUE"""),"Отгружен")</f>
        <v>Отгружен</v>
      </c>
      <c r="O108" s="537"/>
      <c r="P108" s="338" t="str">
        <f>IFERROR(__xludf.DUMMYFUNCTION("""COMPUTED_VALUE"""),"ДТ")</f>
        <v>ДТ</v>
      </c>
      <c r="Q108" s="338"/>
      <c r="R108" s="338"/>
      <c r="S108" s="338"/>
      <c r="T108" s="338"/>
      <c r="U108" s="338"/>
      <c r="V108" s="338"/>
      <c r="W108" s="338"/>
      <c r="X108" s="338"/>
      <c r="Y108" s="338"/>
      <c r="Z108" s="338"/>
    </row>
    <row r="109" ht="22.5" customHeight="1">
      <c r="A109" s="528" t="str">
        <f>IFERROR(__xludf.DUMMYFUNCTION("""COMPUTED_VALUE"""),"ООО""ФэрельГам""")</f>
        <v>ООО"ФэрельГам"</v>
      </c>
      <c r="B109" s="528"/>
      <c r="C109" s="528" t="str">
        <f>IFERROR(__xludf.DUMMYFUNCTION("""COMPUTED_VALUE"""),"470821 Капуста квашеная с клюквой 500 г (Global village)")</f>
        <v>470821 Капуста квашеная с клюквой 500 г (Global village)</v>
      </c>
      <c r="D109" s="528">
        <f>IFERROR(__xludf.DUMMYFUNCTION("""COMPUTED_VALUE"""),1588.0)</f>
        <v>1588</v>
      </c>
      <c r="E109" s="528" t="str">
        <f>IFERROR(__xludf.DUMMYFUNCTION("""COMPUTED_VALUE"""),"Баранов Александр")</f>
        <v>Баранов Александр</v>
      </c>
      <c r="F109" s="535" t="str">
        <f>IFERROR(__xludf.DUMMYFUNCTION("""COMPUTED_VALUE"""),"Новая")</f>
        <v>Новая</v>
      </c>
      <c r="G109" s="536">
        <f>IFERROR(__xludf.DUMMYFUNCTION("""COMPUTED_VALUE"""),99.0)</f>
        <v>99</v>
      </c>
      <c r="H109" s="338" t="str">
        <f>IFERROR(__xludf.DUMMYFUNCTION("""COMPUTED_VALUE"""),"Флексопечать")</f>
        <v>Флексопечать</v>
      </c>
      <c r="I109" s="338" t="str">
        <f>IFERROR(__xludf.DUMMYFUNCTION("""COMPUTED_VALUE"""),"Wg-450")</f>
        <v>Wg-450</v>
      </c>
      <c r="J109" s="536">
        <f>IFERROR(__xludf.DUMMYFUNCTION("""COMPUTED_VALUE"""),300000.0)</f>
        <v>300000</v>
      </c>
      <c r="K109" s="537">
        <f>IFERROR(__xludf.DUMMYFUNCTION("""COMPUTED_VALUE"""),46121.0)</f>
        <v>46121</v>
      </c>
      <c r="L109" s="537"/>
      <c r="M109" s="338" t="str">
        <f>IFERROR(__xludf.DUMMYFUNCTION("""COMPUTED_VALUE"""),"Пленка PP белая каучук")</f>
        <v>Пленка PP белая каучук</v>
      </c>
      <c r="N109" s="338" t="str">
        <f>IFERROR(__xludf.DUMMYFUNCTION("""COMPUTED_VALUE"""),"Отгружен")</f>
        <v>Отгружен</v>
      </c>
      <c r="O109" s="537"/>
      <c r="P109" s="338"/>
      <c r="Q109" s="338"/>
      <c r="R109" s="338"/>
      <c r="S109" s="338"/>
      <c r="T109" s="338"/>
      <c r="U109" s="338"/>
      <c r="V109" s="338"/>
      <c r="W109" s="338"/>
      <c r="X109" s="338"/>
      <c r="Y109" s="338"/>
      <c r="Z109" s="338"/>
    </row>
    <row r="110" ht="22.5" customHeight="1">
      <c r="A110" s="528" t="str">
        <f>IFERROR(__xludf.DUMMYFUNCTION("""COMPUTED_VALUE"""),"     
ООО""ФэрельГам""")</f>
        <v>     
ООО"ФэрельГам"</v>
      </c>
      <c r="B110" s="528"/>
      <c r="C110" s="528" t="str">
        <f>IFERROR(__xludf.DUMMYFUNCTION("""COMPUTED_VALUE"""),"470113 Имбирь маринованный 250 г этик.")</f>
        <v>470113 Имбирь маринованный 250 г этик.</v>
      </c>
      <c r="D110" s="528">
        <f>IFERROR(__xludf.DUMMYFUNCTION("""COMPUTED_VALUE"""),1598.0)</f>
        <v>1598</v>
      </c>
      <c r="E110" s="528" t="str">
        <f>IFERROR(__xludf.DUMMYFUNCTION("""COMPUTED_VALUE"""),"Баранов Александр")</f>
        <v>Баранов Александр</v>
      </c>
      <c r="F110" s="535" t="str">
        <f>IFERROR(__xludf.DUMMYFUNCTION("""COMPUTED_VALUE"""),"Новая")</f>
        <v>Новая</v>
      </c>
      <c r="G110" s="536" t="str">
        <f>IFERROR(__xludf.DUMMYFUNCTION("""COMPUTED_VALUE"""),"д75")</f>
        <v>д75</v>
      </c>
      <c r="H110" s="338" t="str">
        <f>IFERROR(__xludf.DUMMYFUNCTION("""COMPUTED_VALUE"""),"Флексопечать")</f>
        <v>Флексопечать</v>
      </c>
      <c r="I110" s="338" t="str">
        <f>IFERROR(__xludf.DUMMYFUNCTION("""COMPUTED_VALUE"""),"Wg-450")</f>
        <v>Wg-450</v>
      </c>
      <c r="J110" s="536">
        <f>IFERROR(__xludf.DUMMYFUNCTION("""COMPUTED_VALUE"""),20000.0)</f>
        <v>20000</v>
      </c>
      <c r="K110" s="537">
        <f>IFERROR(__xludf.DUMMYFUNCTION("""COMPUTED_VALUE"""),46121.0)</f>
        <v>46121</v>
      </c>
      <c r="L110" s="537"/>
      <c r="M110" s="338" t="str">
        <f>IFERROR(__xludf.DUMMYFUNCTION("""COMPUTED_VALUE"""),"Пленка PP белая каучук")</f>
        <v>Пленка PP белая каучук</v>
      </c>
      <c r="N110" s="338" t="str">
        <f>IFERROR(__xludf.DUMMYFUNCTION("""COMPUTED_VALUE"""),"Отгружен")</f>
        <v>Отгружен</v>
      </c>
      <c r="O110" s="537"/>
      <c r="P110" s="338" t="str">
        <f>IFERROR(__xludf.DUMMYFUNCTION("""COMPUTED_VALUE"""),"СОГЛАСОВАН")</f>
        <v>СОГЛАСОВАН</v>
      </c>
      <c r="Q110" s="338"/>
      <c r="R110" s="338"/>
      <c r="S110" s="338"/>
      <c r="T110" s="338"/>
      <c r="U110" s="338"/>
      <c r="V110" s="338"/>
      <c r="W110" s="338"/>
      <c r="X110" s="338"/>
      <c r="Y110" s="338"/>
      <c r="Z110" s="338"/>
    </row>
    <row r="111" ht="22.5" customHeight="1">
      <c r="A111" s="528" t="str">
        <f>IFERROR(__xludf.DUMMYFUNCTION("""COMPUTED_VALUE"""),"ООО""ФэрельГам""")</f>
        <v>ООО"ФэрельГам"</v>
      </c>
      <c r="B111" s="528"/>
      <c r="C111" s="528" t="str">
        <f>IFERROR(__xludf.DUMMYFUNCTION("""COMPUTED_VALUE"""),"470403 Огурцы соленые 1000 г этик.")</f>
        <v>470403 Огурцы соленые 1000 г этик.</v>
      </c>
      <c r="D111" s="528">
        <f>IFERROR(__xludf.DUMMYFUNCTION("""COMPUTED_VALUE"""),1642.0)</f>
        <v>1642</v>
      </c>
      <c r="E111" s="528" t="str">
        <f>IFERROR(__xludf.DUMMYFUNCTION("""COMPUTED_VALUE"""),"Баранов Александр")</f>
        <v>Баранов Александр</v>
      </c>
      <c r="F111" s="535" t="str">
        <f>IFERROR(__xludf.DUMMYFUNCTION("""COMPUTED_VALUE"""),"Новая")</f>
        <v>Новая</v>
      </c>
      <c r="G111" s="536" t="str">
        <f>IFERROR(__xludf.DUMMYFUNCTION("""COMPUTED_VALUE"""),"д110")</f>
        <v>д110</v>
      </c>
      <c r="H111" s="338" t="str">
        <f>IFERROR(__xludf.DUMMYFUNCTION("""COMPUTED_VALUE"""),"Флексопечать")</f>
        <v>Флексопечать</v>
      </c>
      <c r="I111" s="338" t="str">
        <f>IFERROR(__xludf.DUMMYFUNCTION("""COMPUTED_VALUE"""),"Wg-450")</f>
        <v>Wg-450</v>
      </c>
      <c r="J111" s="536">
        <f>IFERROR(__xludf.DUMMYFUNCTION("""COMPUTED_VALUE"""),30000.0)</f>
        <v>30000</v>
      </c>
      <c r="K111" s="537">
        <f>IFERROR(__xludf.DUMMYFUNCTION("""COMPUTED_VALUE"""),46121.0)</f>
        <v>46121</v>
      </c>
      <c r="L111" s="537"/>
      <c r="M111" s="338" t="str">
        <f>IFERROR(__xludf.DUMMYFUNCTION("""COMPUTED_VALUE"""),"Пленка PP белая каучук")</f>
        <v>Пленка PP белая каучук</v>
      </c>
      <c r="N111" s="338" t="str">
        <f>IFERROR(__xludf.DUMMYFUNCTION("""COMPUTED_VALUE"""),"Отгружен")</f>
        <v>Отгружен</v>
      </c>
      <c r="O111" s="537"/>
      <c r="P111" s="338"/>
      <c r="Q111" s="338"/>
      <c r="R111" s="338"/>
      <c r="S111" s="338"/>
      <c r="T111" s="338"/>
      <c r="U111" s="338"/>
      <c r="V111" s="338"/>
      <c r="W111" s="338"/>
      <c r="X111" s="338"/>
      <c r="Y111" s="338"/>
      <c r="Z111" s="338"/>
    </row>
    <row r="112" ht="22.5" customHeight="1">
      <c r="A112" s="528" t="str">
        <f>IFERROR(__xludf.DUMMYFUNCTION("""COMPUTED_VALUE"""),"ООО""ФэрельГам""")</f>
        <v>ООО"ФэрельГам"</v>
      </c>
      <c r="B112" s="528"/>
      <c r="C112" s="528" t="str">
        <f>IFERROR(__xludf.DUMMYFUNCTION("""COMPUTED_VALUE"""),"470171 Капуста маринованная с морковью 500 г этик.")</f>
        <v>470171 Капуста маринованная с морковью 500 г этик.</v>
      </c>
      <c r="D112" s="528">
        <f>IFERROR(__xludf.DUMMYFUNCTION("""COMPUTED_VALUE"""),1612.0)</f>
        <v>1612</v>
      </c>
      <c r="E112" s="528" t="str">
        <f>IFERROR(__xludf.DUMMYFUNCTION("""COMPUTED_VALUE"""),"Баранов Александр")</f>
        <v>Баранов Александр</v>
      </c>
      <c r="F112" s="535" t="str">
        <f>IFERROR(__xludf.DUMMYFUNCTION("""COMPUTED_VALUE"""),"Новая")</f>
        <v>Новая</v>
      </c>
      <c r="G112" s="536" t="str">
        <f>IFERROR(__xludf.DUMMYFUNCTION("""COMPUTED_VALUE"""),"д110")</f>
        <v>д110</v>
      </c>
      <c r="H112" s="338" t="str">
        <f>IFERROR(__xludf.DUMMYFUNCTION("""COMPUTED_VALUE"""),"Флексопечать")</f>
        <v>Флексопечать</v>
      </c>
      <c r="I112" s="338" t="str">
        <f>IFERROR(__xludf.DUMMYFUNCTION("""COMPUTED_VALUE"""),"Wg-450")</f>
        <v>Wg-450</v>
      </c>
      <c r="J112" s="536">
        <f>IFERROR(__xludf.DUMMYFUNCTION("""COMPUTED_VALUE"""),10000.0)</f>
        <v>10000</v>
      </c>
      <c r="K112" s="537">
        <f>IFERROR(__xludf.DUMMYFUNCTION("""COMPUTED_VALUE"""),46121.0)</f>
        <v>46121</v>
      </c>
      <c r="L112" s="537"/>
      <c r="M112" s="338" t="str">
        <f>IFERROR(__xludf.DUMMYFUNCTION("""COMPUTED_VALUE"""),"Пленка PP белая каучук")</f>
        <v>Пленка PP белая каучук</v>
      </c>
      <c r="N112" s="338" t="str">
        <f>IFERROR(__xludf.DUMMYFUNCTION("""COMPUTED_VALUE"""),"Отгружен")</f>
        <v>Отгружен</v>
      </c>
      <c r="O112" s="537"/>
      <c r="P112" s="338"/>
      <c r="Q112" s="338"/>
      <c r="R112" s="338"/>
      <c r="S112" s="338"/>
      <c r="T112" s="338"/>
      <c r="U112" s="338"/>
      <c r="V112" s="338"/>
      <c r="W112" s="338"/>
      <c r="X112" s="338"/>
      <c r="Y112" s="338"/>
      <c r="Z112" s="338"/>
    </row>
    <row r="113" ht="22.5" customHeight="1">
      <c r="A113" s="528" t="str">
        <f>IFERROR(__xludf.DUMMYFUNCTION("""COMPUTED_VALUE"""),"ООО""ФэрельГам""")</f>
        <v>ООО"ФэрельГам"</v>
      </c>
      <c r="B113" s="528"/>
      <c r="C113" s="528" t="str">
        <f>IFERROR(__xludf.DUMMYFUNCTION("""COMPUTED_VALUE"""),"470464 Перец соленый острый 500 г этик.")</f>
        <v>470464 Перец соленый острый 500 г этик.</v>
      </c>
      <c r="D113" s="528">
        <f>IFERROR(__xludf.DUMMYFUNCTION("""COMPUTED_VALUE"""),1643.0)</f>
        <v>1643</v>
      </c>
      <c r="E113" s="528" t="str">
        <f>IFERROR(__xludf.DUMMYFUNCTION("""COMPUTED_VALUE"""),"Баранов Александр")</f>
        <v>Баранов Александр</v>
      </c>
      <c r="F113" s="535" t="str">
        <f>IFERROR(__xludf.DUMMYFUNCTION("""COMPUTED_VALUE"""),"Новая")</f>
        <v>Новая</v>
      </c>
      <c r="G113" s="536" t="str">
        <f>IFERROR(__xludf.DUMMYFUNCTION("""COMPUTED_VALUE"""),"д110")</f>
        <v>д110</v>
      </c>
      <c r="H113" s="338" t="str">
        <f>IFERROR(__xludf.DUMMYFUNCTION("""COMPUTED_VALUE"""),"Флексопечать")</f>
        <v>Флексопечать</v>
      </c>
      <c r="I113" s="338" t="str">
        <f>IFERROR(__xludf.DUMMYFUNCTION("""COMPUTED_VALUE"""),"Wg-450")</f>
        <v>Wg-450</v>
      </c>
      <c r="J113" s="536">
        <f>IFERROR(__xludf.DUMMYFUNCTION("""COMPUTED_VALUE"""),20000.0)</f>
        <v>20000</v>
      </c>
      <c r="K113" s="537">
        <f>IFERROR(__xludf.DUMMYFUNCTION("""COMPUTED_VALUE"""),46121.0)</f>
        <v>46121</v>
      </c>
      <c r="L113" s="537"/>
      <c r="M113" s="338" t="str">
        <f>IFERROR(__xludf.DUMMYFUNCTION("""COMPUTED_VALUE"""),"Пленка PP белая каучук")</f>
        <v>Пленка PP белая каучук</v>
      </c>
      <c r="N113" s="338" t="str">
        <f>IFERROR(__xludf.DUMMYFUNCTION("""COMPUTED_VALUE"""),"Отгружен")</f>
        <v>Отгружен</v>
      </c>
      <c r="O113" s="537"/>
      <c r="P113" s="338"/>
      <c r="Q113" s="338"/>
      <c r="R113" s="338"/>
      <c r="S113" s="338"/>
      <c r="T113" s="338"/>
      <c r="U113" s="338"/>
      <c r="V113" s="338"/>
      <c r="W113" s="338"/>
      <c r="X113" s="338"/>
      <c r="Y113" s="338"/>
      <c r="Z113" s="338"/>
    </row>
    <row r="114" ht="22.5" customHeight="1">
      <c r="A114" s="528" t="str">
        <f>IFERROR(__xludf.DUMMYFUNCTION("""COMPUTED_VALUE"""),"ООО""ФэрельГам""")</f>
        <v>ООО"ФэрельГам"</v>
      </c>
      <c r="B114" s="528"/>
      <c r="C114" s="528" t="str">
        <f>IFERROR(__xludf.DUMMYFUNCTION("""COMPUTED_VALUE"""),"470813 Морковь по-корейски 300 г (Green vitamin) этик.")</f>
        <v>470813 Морковь по-корейски 300 г (Green vitamin) этик.</v>
      </c>
      <c r="D114" s="528">
        <f>IFERROR(__xludf.DUMMYFUNCTION("""COMPUTED_VALUE"""),1596.0)</f>
        <v>1596</v>
      </c>
      <c r="E114" s="528" t="str">
        <f>IFERROR(__xludf.DUMMYFUNCTION("""COMPUTED_VALUE"""),"Баранов Александр")</f>
        <v>Баранов Александр</v>
      </c>
      <c r="F114" s="535" t="str">
        <f>IFERROR(__xludf.DUMMYFUNCTION("""COMPUTED_VALUE"""),"Новая")</f>
        <v>Новая</v>
      </c>
      <c r="G114" s="536" t="str">
        <f>IFERROR(__xludf.DUMMYFUNCTION("""COMPUTED_VALUE"""),"д110")</f>
        <v>д110</v>
      </c>
      <c r="H114" s="338" t="str">
        <f>IFERROR(__xludf.DUMMYFUNCTION("""COMPUTED_VALUE"""),"Флексопечать")</f>
        <v>Флексопечать</v>
      </c>
      <c r="I114" s="338" t="str">
        <f>IFERROR(__xludf.DUMMYFUNCTION("""COMPUTED_VALUE"""),"Wg-450")</f>
        <v>Wg-450</v>
      </c>
      <c r="J114" s="536">
        <f>IFERROR(__xludf.DUMMYFUNCTION("""COMPUTED_VALUE"""),100000.0)</f>
        <v>100000</v>
      </c>
      <c r="K114" s="537">
        <f>IFERROR(__xludf.DUMMYFUNCTION("""COMPUTED_VALUE"""),46122.0)</f>
        <v>46122</v>
      </c>
      <c r="L114" s="537"/>
      <c r="M114" s="338" t="str">
        <f>IFERROR(__xludf.DUMMYFUNCTION("""COMPUTED_VALUE"""),"Пленка PP белая каучук")</f>
        <v>Пленка PP белая каучук</v>
      </c>
      <c r="N114" s="338" t="str">
        <f>IFERROR(__xludf.DUMMYFUNCTION("""COMPUTED_VALUE"""),"Отгружен")</f>
        <v>Отгружен</v>
      </c>
      <c r="O114" s="537"/>
      <c r="P114" s="338"/>
      <c r="Q114" s="338"/>
      <c r="R114" s="338"/>
      <c r="S114" s="338"/>
      <c r="T114" s="338"/>
      <c r="U114" s="338"/>
      <c r="V114" s="338"/>
      <c r="W114" s="338"/>
      <c r="X114" s="338"/>
      <c r="Y114" s="338"/>
      <c r="Z114" s="338"/>
    </row>
    <row r="115" ht="22.5" customHeight="1">
      <c r="A115" s="528" t="str">
        <f>IFERROR(__xludf.DUMMYFUNCTION("""COMPUTED_VALUE"""),"ООО""ФэрельГам""")</f>
        <v>ООО"ФэрельГам"</v>
      </c>
      <c r="B115" s="528"/>
      <c r="C115" s="528" t="str">
        <f>IFERROR(__xludf.DUMMYFUNCTION("""COMPUTED_VALUE"""),"470816 Капуста квашеная сладкая 500 г (Green vitamin) этик.")</f>
        <v>470816 Капуста квашеная сладкая 500 г (Green vitamin) этик.</v>
      </c>
      <c r="D115" s="528">
        <f>IFERROR(__xludf.DUMMYFUNCTION("""COMPUTED_VALUE"""),1597.0)</f>
        <v>1597</v>
      </c>
      <c r="E115" s="528" t="str">
        <f>IFERROR(__xludf.DUMMYFUNCTION("""COMPUTED_VALUE"""),"Баранов Александр")</f>
        <v>Баранов Александр</v>
      </c>
      <c r="F115" s="535" t="str">
        <f>IFERROR(__xludf.DUMMYFUNCTION("""COMPUTED_VALUE"""),"Новая")</f>
        <v>Новая</v>
      </c>
      <c r="G115" s="536" t="str">
        <f>IFERROR(__xludf.DUMMYFUNCTION("""COMPUTED_VALUE"""),"д110")</f>
        <v>д110</v>
      </c>
      <c r="H115" s="338" t="str">
        <f>IFERROR(__xludf.DUMMYFUNCTION("""COMPUTED_VALUE"""),"Флексопечать")</f>
        <v>Флексопечать</v>
      </c>
      <c r="I115" s="338" t="str">
        <f>IFERROR(__xludf.DUMMYFUNCTION("""COMPUTED_VALUE"""),"Wg-450")</f>
        <v>Wg-450</v>
      </c>
      <c r="J115" s="536">
        <f>IFERROR(__xludf.DUMMYFUNCTION("""COMPUTED_VALUE"""),40000.0)</f>
        <v>40000</v>
      </c>
      <c r="K115" s="537">
        <f>IFERROR(__xludf.DUMMYFUNCTION("""COMPUTED_VALUE"""),46122.0)</f>
        <v>46122</v>
      </c>
      <c r="L115" s="537"/>
      <c r="M115" s="338" t="str">
        <f>IFERROR(__xludf.DUMMYFUNCTION("""COMPUTED_VALUE"""),"Пленка PP белая каучук")</f>
        <v>Пленка PP белая каучук</v>
      </c>
      <c r="N115" s="338" t="str">
        <f>IFERROR(__xludf.DUMMYFUNCTION("""COMPUTED_VALUE"""),"Отгружен")</f>
        <v>Отгружен</v>
      </c>
      <c r="O115" s="537"/>
      <c r="P115" s="338"/>
      <c r="Q115" s="338"/>
      <c r="R115" s="338"/>
      <c r="S115" s="338"/>
      <c r="T115" s="338"/>
      <c r="U115" s="338"/>
      <c r="V115" s="338"/>
      <c r="W115" s="338"/>
      <c r="X115" s="338"/>
      <c r="Y115" s="338"/>
      <c r="Z115" s="338"/>
    </row>
    <row r="116" ht="22.5" customHeight="1">
      <c r="A116" s="528" t="str">
        <f>IFERROR(__xludf.DUMMYFUNCTION("""COMPUTED_VALUE"""),"ООО""ФэрельГам""")</f>
        <v>ООО"ФэрельГам"</v>
      </c>
      <c r="B116" s="528"/>
      <c r="C116" s="528" t="str">
        <f>IFERROR(__xludf.DUMMYFUNCTION("""COMPUTED_VALUE"""),"470529 Салат Фунчоза по-корейски 300 г этик.")</f>
        <v>470529 Салат Фунчоза по-корейски 300 г этик.</v>
      </c>
      <c r="D116" s="528">
        <f>IFERROR(__xludf.DUMMYFUNCTION("""COMPUTED_VALUE"""),1672.0)</f>
        <v>1672</v>
      </c>
      <c r="E116" s="528" t="str">
        <f>IFERROR(__xludf.DUMMYFUNCTION("""COMPUTED_VALUE"""),"Баранов Александр")</f>
        <v>Баранов Александр</v>
      </c>
      <c r="F116" s="535" t="str">
        <f>IFERROR(__xludf.DUMMYFUNCTION("""COMPUTED_VALUE"""),"Новая")</f>
        <v>Новая</v>
      </c>
      <c r="G116" s="536" t="str">
        <f>IFERROR(__xludf.DUMMYFUNCTION("""COMPUTED_VALUE"""),"д110")</f>
        <v>д110</v>
      </c>
      <c r="H116" s="338" t="str">
        <f>IFERROR(__xludf.DUMMYFUNCTION("""COMPUTED_VALUE"""),"Флексопечать")</f>
        <v>Флексопечать</v>
      </c>
      <c r="I116" s="338" t="str">
        <f>IFERROR(__xludf.DUMMYFUNCTION("""COMPUTED_VALUE"""),"Wg-450")</f>
        <v>Wg-450</v>
      </c>
      <c r="J116" s="536">
        <f>IFERROR(__xludf.DUMMYFUNCTION("""COMPUTED_VALUE"""),10000.0)</f>
        <v>10000</v>
      </c>
      <c r="K116" s="537">
        <f>IFERROR(__xludf.DUMMYFUNCTION("""COMPUTED_VALUE"""),46121.0)</f>
        <v>46121</v>
      </c>
      <c r="L116" s="537"/>
      <c r="M116" s="338" t="str">
        <f>IFERROR(__xludf.DUMMYFUNCTION("""COMPUTED_VALUE"""),"Пленка PP белая каучук")</f>
        <v>Пленка PP белая каучук</v>
      </c>
      <c r="N116" s="338" t="str">
        <f>IFERROR(__xludf.DUMMYFUNCTION("""COMPUTED_VALUE"""),"Отгружен")</f>
        <v>Отгружен</v>
      </c>
      <c r="O116" s="537"/>
      <c r="P116" s="338" t="str">
        <f>IFERROR(__xludf.DUMMYFUNCTION("""COMPUTED_VALUE"""),"СОГЛАСОВАН")</f>
        <v>СОГЛАСОВАН</v>
      </c>
      <c r="Q116" s="338"/>
      <c r="R116" s="338"/>
      <c r="S116" s="338"/>
      <c r="T116" s="338"/>
      <c r="U116" s="338"/>
      <c r="V116" s="338"/>
      <c r="W116" s="338"/>
      <c r="X116" s="338"/>
      <c r="Y116" s="338"/>
      <c r="Z116" s="338"/>
    </row>
    <row r="117" ht="22.5" customHeight="1">
      <c r="A117" s="528" t="str">
        <f>IFERROR(__xludf.DUMMYFUNCTION("""COMPUTED_VALUE"""),"ООО""ФэрельГам""")</f>
        <v>ООО"ФэрельГам"</v>
      </c>
      <c r="B117" s="528"/>
      <c r="C117" s="528" t="str">
        <f>IFERROR(__xludf.DUMMYFUNCTION("""COMPUTED_VALUE"""),"470765 Салат Морковь по-корейски 150 г. этик .")</f>
        <v>470765 Салат Морковь по-корейски 150 г. этик .</v>
      </c>
      <c r="D117" s="528">
        <f>IFERROR(__xludf.DUMMYFUNCTION("""COMPUTED_VALUE"""),1702.0)</f>
        <v>1702</v>
      </c>
      <c r="E117" s="528" t="str">
        <f>IFERROR(__xludf.DUMMYFUNCTION("""COMPUTED_VALUE"""),"Баранов Александр")</f>
        <v>Баранов Александр</v>
      </c>
      <c r="F117" s="535" t="str">
        <f>IFERROR(__xludf.DUMMYFUNCTION("""COMPUTED_VALUE"""),"Новая")</f>
        <v>Новая</v>
      </c>
      <c r="G117" s="536" t="str">
        <f>IFERROR(__xludf.DUMMYFUNCTION("""COMPUTED_VALUE"""),"д110")</f>
        <v>д110</v>
      </c>
      <c r="H117" s="338" t="str">
        <f>IFERROR(__xludf.DUMMYFUNCTION("""COMPUTED_VALUE"""),"Флексопечать")</f>
        <v>Флексопечать</v>
      </c>
      <c r="I117" s="338" t="str">
        <f>IFERROR(__xludf.DUMMYFUNCTION("""COMPUTED_VALUE"""),"Wg-450")</f>
        <v>Wg-450</v>
      </c>
      <c r="J117" s="536">
        <f>IFERROR(__xludf.DUMMYFUNCTION("""COMPUTED_VALUE"""),30000.0)</f>
        <v>30000</v>
      </c>
      <c r="K117" s="537">
        <f>IFERROR(__xludf.DUMMYFUNCTION("""COMPUTED_VALUE"""),46121.0)</f>
        <v>46121</v>
      </c>
      <c r="L117" s="537"/>
      <c r="M117" s="338" t="str">
        <f>IFERROR(__xludf.DUMMYFUNCTION("""COMPUTED_VALUE"""),"Пленка PP белая каучук")</f>
        <v>Пленка PP белая каучук</v>
      </c>
      <c r="N117" s="338" t="str">
        <f>IFERROR(__xludf.DUMMYFUNCTION("""COMPUTED_VALUE"""),"Отгружен")</f>
        <v>Отгружен</v>
      </c>
      <c r="O117" s="537"/>
      <c r="P117" s="338" t="str">
        <f>IFERROR(__xludf.DUMMYFUNCTION("""COMPUTED_VALUE"""),"СОГЛАСОВАН")</f>
        <v>СОГЛАСОВАН</v>
      </c>
      <c r="Q117" s="338"/>
      <c r="R117" s="338"/>
      <c r="S117" s="338"/>
      <c r="T117" s="338"/>
      <c r="U117" s="338"/>
      <c r="V117" s="338"/>
      <c r="W117" s="338"/>
      <c r="X117" s="338"/>
      <c r="Y117" s="338"/>
      <c r="Z117" s="338"/>
    </row>
    <row r="118" ht="22.5" customHeight="1">
      <c r="A118" s="528" t="str">
        <f>IFERROR(__xludf.DUMMYFUNCTION("""COMPUTED_VALUE"""),"ООО""ФэрельГам""")</f>
        <v>ООО"ФэрельГам"</v>
      </c>
      <c r="B118" s="528"/>
      <c r="C118" s="528" t="str">
        <f>IFERROR(__xludf.DUMMYFUNCTION("""COMPUTED_VALUE"""),"470405 Огурцы соленые 300 г в/у (Магнит) этик.")</f>
        <v>470405 Огурцы соленые 300 г в/у (Магнит) этик.</v>
      </c>
      <c r="D118" s="528">
        <f>IFERROR(__xludf.DUMMYFUNCTION("""COMPUTED_VALUE"""),1593.0)</f>
        <v>1593</v>
      </c>
      <c r="E118" s="528" t="str">
        <f>IFERROR(__xludf.DUMMYFUNCTION("""COMPUTED_VALUE"""),"Баранов Александр")</f>
        <v>Баранов Александр</v>
      </c>
      <c r="F118" s="535" t="str">
        <f>IFERROR(__xludf.DUMMYFUNCTION("""COMPUTED_VALUE"""),"Новая")</f>
        <v>Новая</v>
      </c>
      <c r="G118" s="536" t="str">
        <f>IFERROR(__xludf.DUMMYFUNCTION("""COMPUTED_VALUE"""),"52*120")</f>
        <v>52*120</v>
      </c>
      <c r="H118" s="338" t="str">
        <f>IFERROR(__xludf.DUMMYFUNCTION("""COMPUTED_VALUE"""),"Флексопечать")</f>
        <v>Флексопечать</v>
      </c>
      <c r="I118" s="338" t="str">
        <f>IFERROR(__xludf.DUMMYFUNCTION("""COMPUTED_VALUE"""),"Wg-450")</f>
        <v>Wg-450</v>
      </c>
      <c r="J118" s="536">
        <f>IFERROR(__xludf.DUMMYFUNCTION("""COMPUTED_VALUE"""),50000.0)</f>
        <v>50000</v>
      </c>
      <c r="K118" s="537">
        <f>IFERROR(__xludf.DUMMYFUNCTION("""COMPUTED_VALUE"""),46121.0)</f>
        <v>46121</v>
      </c>
      <c r="L118" s="537"/>
      <c r="M118" s="338" t="str">
        <f>IFERROR(__xludf.DUMMYFUNCTION("""COMPUTED_VALUE"""),"Пленка PP белая каучук")</f>
        <v>Пленка PP белая каучук</v>
      </c>
      <c r="N118" s="338" t="str">
        <f>IFERROR(__xludf.DUMMYFUNCTION("""COMPUTED_VALUE"""),"Отгружен")</f>
        <v>Отгружен</v>
      </c>
      <c r="O118" s="537"/>
      <c r="P118" s="338" t="str">
        <f>IFERROR(__xludf.DUMMYFUNCTION("""COMPUTED_VALUE"""),"СОГЛАСОВАН")</f>
        <v>СОГЛАСОВАН</v>
      </c>
      <c r="Q118" s="338"/>
      <c r="R118" s="338"/>
      <c r="S118" s="338"/>
      <c r="T118" s="338"/>
      <c r="U118" s="338"/>
      <c r="V118" s="338"/>
      <c r="W118" s="338"/>
      <c r="X118" s="338"/>
      <c r="Y118" s="338"/>
      <c r="Z118" s="338"/>
    </row>
    <row r="119" ht="22.5" customHeight="1">
      <c r="A119" s="528" t="str">
        <f>IFERROR(__xludf.DUMMYFUNCTION("""COMPUTED_VALUE"""),"     
ООО""ФэрельГам""")</f>
        <v>     
ООО"ФэрельГам"</v>
      </c>
      <c r="B119" s="528"/>
      <c r="C119" s="528" t="str">
        <f>IFERROR(__xludf.DUMMYFUNCTION("""COMPUTED_VALUE"""),"470747 Чизолини Чечил этик")</f>
        <v>470747 Чизолини Чечил этик</v>
      </c>
      <c r="D119" s="528">
        <f>IFERROR(__xludf.DUMMYFUNCTION("""COMPUTED_VALUE"""),1655.0)</f>
        <v>1655</v>
      </c>
      <c r="E119" s="528" t="str">
        <f>IFERROR(__xludf.DUMMYFUNCTION("""COMPUTED_VALUE"""),"Баранов Александр")</f>
        <v>Баранов Александр</v>
      </c>
      <c r="F119" s="535" t="str">
        <f>IFERROR(__xludf.DUMMYFUNCTION("""COMPUTED_VALUE"""),"Новая")</f>
        <v>Новая</v>
      </c>
      <c r="G119" s="536" t="str">
        <f>IFERROR(__xludf.DUMMYFUNCTION("""COMPUTED_VALUE"""),"55*75")</f>
        <v>55*75</v>
      </c>
      <c r="H119" s="338" t="str">
        <f>IFERROR(__xludf.DUMMYFUNCTION("""COMPUTED_VALUE"""),"Флексопечать")</f>
        <v>Флексопечать</v>
      </c>
      <c r="I119" s="338" t="str">
        <f>IFERROR(__xludf.DUMMYFUNCTION("""COMPUTED_VALUE"""),"Wg-450")</f>
        <v>Wg-450</v>
      </c>
      <c r="J119" s="536">
        <f>IFERROR(__xludf.DUMMYFUNCTION("""COMPUTED_VALUE"""),100000.0)</f>
        <v>100000</v>
      </c>
      <c r="K119" s="537">
        <f>IFERROR(__xludf.DUMMYFUNCTION("""COMPUTED_VALUE"""),46121.0)</f>
        <v>46121</v>
      </c>
      <c r="L119" s="537"/>
      <c r="M119" s="338" t="str">
        <f>IFERROR(__xludf.DUMMYFUNCTION("""COMPUTED_VALUE"""),"Пленка PP белая каучук")</f>
        <v>Пленка PP белая каучук</v>
      </c>
      <c r="N119" s="338" t="str">
        <f>IFERROR(__xludf.DUMMYFUNCTION("""COMPUTED_VALUE"""),"Отгружен")</f>
        <v>Отгружен</v>
      </c>
      <c r="O119" s="537"/>
      <c r="P119" s="338" t="str">
        <f>IFERROR(__xludf.DUMMYFUNCTION("""COMPUTED_VALUE"""),"СОГЛАСОВАН")</f>
        <v>СОГЛАСОВАН</v>
      </c>
      <c r="Q119" s="338"/>
      <c r="R119" s="338"/>
      <c r="S119" s="338"/>
      <c r="T119" s="338"/>
      <c r="U119" s="338"/>
      <c r="V119" s="338"/>
      <c r="W119" s="338"/>
      <c r="X119" s="338"/>
      <c r="Y119" s="338"/>
      <c r="Z119" s="338"/>
    </row>
    <row r="120" ht="22.5" customHeight="1">
      <c r="A120" s="528" t="str">
        <f>IFERROR(__xludf.DUMMYFUNCTION("""COMPUTED_VALUE"""),"     
ООО""ФэрельГам""")</f>
        <v>     
ООО"ФэрельГам"</v>
      </c>
      <c r="B120" s="528"/>
      <c r="C120" s="528" t="str">
        <f>IFERROR(__xludf.DUMMYFUNCTION("""COMPUTED_VALUE""")," 470261 Капуста с морковью по-корейски 300 г этик.")</f>
        <v> 470261 Капуста с морковью по-корейски 300 г этик.</v>
      </c>
      <c r="D120" s="528">
        <f>IFERROR(__xludf.DUMMYFUNCTION("""COMPUTED_VALUE"""),1673.0)</f>
        <v>1673</v>
      </c>
      <c r="E120" s="528" t="str">
        <f>IFERROR(__xludf.DUMMYFUNCTION("""COMPUTED_VALUE"""),"Баранов Александр")</f>
        <v>Баранов Александр</v>
      </c>
      <c r="F120" s="535" t="str">
        <f>IFERROR(__xludf.DUMMYFUNCTION("""COMPUTED_VALUE"""),"Новая")</f>
        <v>Новая</v>
      </c>
      <c r="G120" s="536" t="str">
        <f>IFERROR(__xludf.DUMMYFUNCTION("""COMPUTED_VALUE"""),"д110")</f>
        <v>д110</v>
      </c>
      <c r="H120" s="338" t="str">
        <f>IFERROR(__xludf.DUMMYFUNCTION("""COMPUTED_VALUE"""),"Флексопечать")</f>
        <v>Флексопечать</v>
      </c>
      <c r="I120" s="338" t="str">
        <f>IFERROR(__xludf.DUMMYFUNCTION("""COMPUTED_VALUE"""),"Wg-450")</f>
        <v>Wg-450</v>
      </c>
      <c r="J120" s="536">
        <f>IFERROR(__xludf.DUMMYFUNCTION("""COMPUTED_VALUE"""),50000.0)</f>
        <v>50000</v>
      </c>
      <c r="K120" s="537">
        <f>IFERROR(__xludf.DUMMYFUNCTION("""COMPUTED_VALUE"""),46121.0)</f>
        <v>46121</v>
      </c>
      <c r="L120" s="537"/>
      <c r="M120" s="338" t="str">
        <f>IFERROR(__xludf.DUMMYFUNCTION("""COMPUTED_VALUE"""),"Пленка PP белая каучук")</f>
        <v>Пленка PP белая каучук</v>
      </c>
      <c r="N120" s="338" t="str">
        <f>IFERROR(__xludf.DUMMYFUNCTION("""COMPUTED_VALUE"""),"Отгружен")</f>
        <v>Отгружен</v>
      </c>
      <c r="O120" s="537"/>
      <c r="P120" s="338" t="str">
        <f>IFERROR(__xludf.DUMMYFUNCTION("""COMPUTED_VALUE"""),"СОГЛАСОВАН")</f>
        <v>СОГЛАСОВАН</v>
      </c>
      <c r="Q120" s="338"/>
      <c r="R120" s="338"/>
      <c r="S120" s="338"/>
      <c r="T120" s="338"/>
      <c r="U120" s="338"/>
      <c r="V120" s="338"/>
      <c r="W120" s="338"/>
      <c r="X120" s="338"/>
      <c r="Y120" s="338"/>
      <c r="Z120" s="338"/>
    </row>
    <row r="121" ht="22.5" customHeight="1">
      <c r="A121" s="528" t="str">
        <f>IFERROR(__xludf.DUMMYFUNCTION("""COMPUTED_VALUE"""),"ООО""ФэрельГам""")</f>
        <v>ООО"ФэрельГам"</v>
      </c>
      <c r="B121" s="528"/>
      <c r="C121" s="528" t="str">
        <f>IFERROR(__xludf.DUMMYFUNCTION("""COMPUTED_VALUE"""),"470225 Капуста с клюквой 500 г (Глобус) этик.")</f>
        <v>470225 Капуста с клюквой 500 г (Глобус) этик.</v>
      </c>
      <c r="D121" s="528">
        <f>IFERROR(__xludf.DUMMYFUNCTION("""COMPUTED_VALUE"""),1703.0)</f>
        <v>1703</v>
      </c>
      <c r="E121" s="528" t="str">
        <f>IFERROR(__xludf.DUMMYFUNCTION("""COMPUTED_VALUE"""),"Баранов Александр")</f>
        <v>Баранов Александр</v>
      </c>
      <c r="F121" s="535" t="str">
        <f>IFERROR(__xludf.DUMMYFUNCTION("""COMPUTED_VALUE"""),"Новая")</f>
        <v>Новая</v>
      </c>
      <c r="G121" s="536" t="str">
        <f>IFERROR(__xludf.DUMMYFUNCTION("""COMPUTED_VALUE"""),"д108")</f>
        <v>д108</v>
      </c>
      <c r="H121" s="338" t="str">
        <f>IFERROR(__xludf.DUMMYFUNCTION("""COMPUTED_VALUE"""),"Флексопечать")</f>
        <v>Флексопечать</v>
      </c>
      <c r="I121" s="338" t="str">
        <f>IFERROR(__xludf.DUMMYFUNCTION("""COMPUTED_VALUE"""),"Bg-330")</f>
        <v>Bg-330</v>
      </c>
      <c r="J121" s="536">
        <f>IFERROR(__xludf.DUMMYFUNCTION("""COMPUTED_VALUE"""),10000.0)</f>
        <v>10000</v>
      </c>
      <c r="K121" s="537">
        <f>IFERROR(__xludf.DUMMYFUNCTION("""COMPUTED_VALUE"""),46122.0)</f>
        <v>46122</v>
      </c>
      <c r="L121" s="537"/>
      <c r="M121" s="338" t="str">
        <f>IFERROR(__xludf.DUMMYFUNCTION("""COMPUTED_VALUE"""),"Пленка PP белая каучук")</f>
        <v>Пленка PP белая каучук</v>
      </c>
      <c r="N121" s="338" t="str">
        <f>IFERROR(__xludf.DUMMYFUNCTION("""COMPUTED_VALUE"""),"Отгружен")</f>
        <v>Отгружен</v>
      </c>
      <c r="O121" s="537"/>
      <c r="P121" s="338" t="str">
        <f>IFERROR(__xludf.DUMMYFUNCTION("""COMPUTED_VALUE"""),"СОГЛАСОВАН")</f>
        <v>СОГЛАСОВАН</v>
      </c>
      <c r="Q121" s="338"/>
      <c r="R121" s="338"/>
      <c r="S121" s="338"/>
      <c r="T121" s="338"/>
      <c r="U121" s="338"/>
      <c r="V121" s="338"/>
      <c r="W121" s="338"/>
      <c r="X121" s="338"/>
      <c r="Y121" s="338"/>
      <c r="Z121" s="338"/>
    </row>
    <row r="122" ht="22.5" customHeight="1">
      <c r="A122" s="528" t="str">
        <f>IFERROR(__xludf.DUMMYFUNCTION("""COMPUTED_VALUE"""),"ООО""ФэрельГам""")</f>
        <v>ООО"ФэрельГам"</v>
      </c>
      <c r="B122" s="528"/>
      <c r="C122" s="528" t="str">
        <f>IFERROR(__xludf.DUMMYFUNCTION("""COMPUTED_VALUE""")," 470339 Морковь по-корейски 300 г этик.")</f>
        <v> 470339 Морковь по-корейски 300 г этик.</v>
      </c>
      <c r="D122" s="528">
        <f>IFERROR(__xludf.DUMMYFUNCTION("""COMPUTED_VALUE"""),1716.0)</f>
        <v>1716</v>
      </c>
      <c r="E122" s="528" t="str">
        <f>IFERROR(__xludf.DUMMYFUNCTION("""COMPUTED_VALUE"""),"Баранов Александр")</f>
        <v>Баранов Александр</v>
      </c>
      <c r="F122" s="535" t="str">
        <f>IFERROR(__xludf.DUMMYFUNCTION("""COMPUTED_VALUE"""),"Новая")</f>
        <v>Новая</v>
      </c>
      <c r="G122" s="536" t="str">
        <f>IFERROR(__xludf.DUMMYFUNCTION("""COMPUTED_VALUE"""),"д110")</f>
        <v>д110</v>
      </c>
      <c r="H122" s="338" t="str">
        <f>IFERROR(__xludf.DUMMYFUNCTION("""COMPUTED_VALUE"""),"Флексопечать")</f>
        <v>Флексопечать</v>
      </c>
      <c r="I122" s="338" t="str">
        <f>IFERROR(__xludf.DUMMYFUNCTION("""COMPUTED_VALUE"""),"Wg-450")</f>
        <v>Wg-450</v>
      </c>
      <c r="J122" s="536">
        <f>IFERROR(__xludf.DUMMYFUNCTION("""COMPUTED_VALUE"""),50000.0)</f>
        <v>50000</v>
      </c>
      <c r="K122" s="537">
        <f>IFERROR(__xludf.DUMMYFUNCTION("""COMPUTED_VALUE"""),46121.0)</f>
        <v>46121</v>
      </c>
      <c r="L122" s="537"/>
      <c r="M122" s="338" t="str">
        <f>IFERROR(__xludf.DUMMYFUNCTION("""COMPUTED_VALUE"""),"Пленка PP белая каучук")</f>
        <v>Пленка PP белая каучук</v>
      </c>
      <c r="N122" s="338" t="str">
        <f>IFERROR(__xludf.DUMMYFUNCTION("""COMPUTED_VALUE"""),"Отгружен")</f>
        <v>Отгружен</v>
      </c>
      <c r="O122" s="537"/>
      <c r="P122" s="338" t="str">
        <f>IFERROR(__xludf.DUMMYFUNCTION("""COMPUTED_VALUE"""),"СОГЛАСОВАН")</f>
        <v>СОГЛАСОВАН</v>
      </c>
      <c r="Q122" s="338"/>
      <c r="R122" s="338"/>
      <c r="S122" s="338"/>
      <c r="T122" s="338"/>
      <c r="U122" s="338"/>
      <c r="V122" s="338"/>
      <c r="W122" s="338"/>
      <c r="X122" s="338"/>
      <c r="Y122" s="338"/>
      <c r="Z122" s="338"/>
    </row>
    <row r="123" ht="22.5" customHeight="1">
      <c r="A123" s="528" t="str">
        <f>IFERROR(__xludf.DUMMYFUNCTION("""COMPUTED_VALUE"""),"ООО""ФэрельГам""")</f>
        <v>ООО"ФэрельГам"</v>
      </c>
      <c r="B123" s="528"/>
      <c r="C123" s="528" t="str">
        <f>IFERROR(__xludf.DUMMYFUNCTION("""COMPUTED_VALUE"""),"470827 Грибы соленые Застольные 250 г этик.")</f>
        <v>470827 Грибы соленые Застольные 250 г этик.</v>
      </c>
      <c r="D123" s="528">
        <f>IFERROR(__xludf.DUMMYFUNCTION("""COMPUTED_VALUE"""),1705.0)</f>
        <v>1705</v>
      </c>
      <c r="E123" s="528" t="str">
        <f>IFERROR(__xludf.DUMMYFUNCTION("""COMPUTED_VALUE"""),"Баранов Александр")</f>
        <v>Баранов Александр</v>
      </c>
      <c r="F123" s="535" t="str">
        <f>IFERROR(__xludf.DUMMYFUNCTION("""COMPUTED_VALUE"""),"Новая")</f>
        <v>Новая</v>
      </c>
      <c r="G123" s="536" t="str">
        <f>IFERROR(__xludf.DUMMYFUNCTION("""COMPUTED_VALUE"""),"д80")</f>
        <v>д80</v>
      </c>
      <c r="H123" s="338" t="str">
        <f>IFERROR(__xludf.DUMMYFUNCTION("""COMPUTED_VALUE"""),"Флексопечать")</f>
        <v>Флексопечать</v>
      </c>
      <c r="I123" s="338" t="str">
        <f>IFERROR(__xludf.DUMMYFUNCTION("""COMPUTED_VALUE"""),"Wg-450")</f>
        <v>Wg-450</v>
      </c>
      <c r="J123" s="536">
        <f>IFERROR(__xludf.DUMMYFUNCTION("""COMPUTED_VALUE"""),10000.0)</f>
        <v>10000</v>
      </c>
      <c r="K123" s="537">
        <f>IFERROR(__xludf.DUMMYFUNCTION("""COMPUTED_VALUE"""),46121.0)</f>
        <v>46121</v>
      </c>
      <c r="L123" s="537"/>
      <c r="M123" s="338" t="str">
        <f>IFERROR(__xludf.DUMMYFUNCTION("""COMPUTED_VALUE"""),"Пленка PP белая каучук")</f>
        <v>Пленка PP белая каучук</v>
      </c>
      <c r="N123" s="338" t="str">
        <f>IFERROR(__xludf.DUMMYFUNCTION("""COMPUTED_VALUE"""),"Отгружен")</f>
        <v>Отгружен</v>
      </c>
      <c r="O123" s="537"/>
      <c r="P123" s="338" t="str">
        <f>IFERROR(__xludf.DUMMYFUNCTION("""COMPUTED_VALUE"""),"СОГЛАСОВАН")</f>
        <v>СОГЛАСОВАН</v>
      </c>
      <c r="Q123" s="338"/>
      <c r="R123" s="338"/>
      <c r="S123" s="338"/>
      <c r="T123" s="338"/>
      <c r="U123" s="338"/>
      <c r="V123" s="338"/>
      <c r="W123" s="338"/>
      <c r="X123" s="338"/>
      <c r="Y123" s="338"/>
      <c r="Z123" s="338"/>
    </row>
    <row r="124" ht="22.5" customHeight="1">
      <c r="A124" s="528" t="str">
        <f>IFERROR(__xludf.DUMMYFUNCTION("""COMPUTED_VALUE"""),"РЗК Ресурс")</f>
        <v>РЗК Ресурс</v>
      </c>
      <c r="B124" s="528"/>
      <c r="C124" s="528" t="str">
        <f>IFERROR(__xludf.DUMMYFUNCTION("""COMPUTED_VALUE"""),"Пустышка")</f>
        <v>Пустышка</v>
      </c>
      <c r="D124" s="528">
        <f>IFERROR(__xludf.DUMMYFUNCTION("""COMPUTED_VALUE"""),1736.0)</f>
        <v>1736</v>
      </c>
      <c r="E124" s="528" t="str">
        <f>IFERROR(__xludf.DUMMYFUNCTION("""COMPUTED_VALUE"""),"Шаповалова Юлия")</f>
        <v>Шаповалова Юлия</v>
      </c>
      <c r="F124" s="535" t="str">
        <f>IFERROR(__xludf.DUMMYFUNCTION("""COMPUTED_VALUE"""),"ТЕСТ")</f>
        <v>ТЕСТ</v>
      </c>
      <c r="G124" s="536" t="str">
        <f>IFERROR(__xludf.DUMMYFUNCTION("""COMPUTED_VALUE"""),"70*140")</f>
        <v>70*140</v>
      </c>
      <c r="H124" s="338" t="str">
        <f>IFERROR(__xludf.DUMMYFUNCTION("""COMPUTED_VALUE"""),"Флексопечать")</f>
        <v>Флексопечать</v>
      </c>
      <c r="I124" s="338" t="str">
        <f>IFERROR(__xludf.DUMMYFUNCTION("""COMPUTED_VALUE"""),"Wg-450")</f>
        <v>Wg-450</v>
      </c>
      <c r="J124" s="536">
        <f>IFERROR(__xludf.DUMMYFUNCTION("""COMPUTED_VALUE"""),600.0)</f>
        <v>600</v>
      </c>
      <c r="K124" s="537">
        <f>IFERROR(__xludf.DUMMYFUNCTION("""COMPUTED_VALUE"""),46128.0)</f>
        <v>46128</v>
      </c>
      <c r="L124" s="537"/>
      <c r="M124" s="338" t="str">
        <f>IFERROR(__xludf.DUMMYFUNCTION("""COMPUTED_VALUE"""),"Термо Топ")</f>
        <v>Термо Топ</v>
      </c>
      <c r="N124" s="338" t="str">
        <f>IFERROR(__xludf.DUMMYFUNCTION("""COMPUTED_VALUE"""),"Отгружен")</f>
        <v>Отгружен</v>
      </c>
      <c r="O124" s="537"/>
      <c r="P124" s="338" t="str">
        <f>IFERROR(__xludf.DUMMYFUNCTION("""COMPUTED_VALUE"""),"Паспорт качества")</f>
        <v>Паспорт качества</v>
      </c>
      <c r="Q124" s="338" t="str">
        <f>IFERROR(__xludf.DUMMYFUNCTION("""COMPUTED_VALUE"""),"ООО «РЗК Ресурс» ОП Белокалитвинское, 347041, Ростовская область, р-н Белокалитвинский, г. Белая Калитва, ул. Л.Толстого, дом № 30, РЗК Ресурс. КПП614245002; Михайлова Наталья 7 (908) 519-42-42 (по пятницам, субботам и воскресеньям склад не работает)")</f>
        <v>ООО «РЗК Ресурс» ОП Белокалитвинское, 347041, Ростовская область, р-н Белокалитвинский, г. Белая Калитва, ул. Л.Толстого, дом № 30, РЗК Ресурс. КПП614245002; Михайлова Наталья 7 (908) 519-42-42 (по пятницам, субботам и воскресеньям склад не работает)</v>
      </c>
      <c r="R124" s="338"/>
      <c r="S124" s="338"/>
      <c r="T124" s="338"/>
      <c r="U124" s="338"/>
      <c r="V124" s="338"/>
      <c r="W124" s="338"/>
      <c r="X124" s="338"/>
      <c r="Y124" s="338"/>
      <c r="Z124" s="338"/>
    </row>
    <row r="125" ht="22.5" customHeight="1">
      <c r="A125" s="528" t="str">
        <f>IFERROR(__xludf.DUMMYFUNCTION("""COMPUTED_VALUE"""),"Калье")</f>
        <v>Калье</v>
      </c>
      <c r="B125" s="528"/>
      <c r="C125" s="528" t="str">
        <f>IFERROR(__xludf.DUMMYFUNCTION("""COMPUTED_VALUE"""),"Пилинг для кожи головы PHARM HELPER TNL Professional 150 мл")</f>
        <v>Пилинг для кожи головы PHARM HELPER TNL Professional 150 мл</v>
      </c>
      <c r="D125" s="528">
        <f>IFERROR(__xludf.DUMMYFUNCTION("""COMPUTED_VALUE"""),1737.0)</f>
        <v>1737</v>
      </c>
      <c r="E125" s="528" t="str">
        <f>IFERROR(__xludf.DUMMYFUNCTION("""COMPUTED_VALUE"""),"Татьяна Денисова")</f>
        <v>Татьяна Денисова</v>
      </c>
      <c r="F125" s="535" t="str">
        <f>IFERROR(__xludf.DUMMYFUNCTION("""COMPUTED_VALUE"""),"Повтор с изменениями")</f>
        <v>Повтор с изменениями</v>
      </c>
      <c r="G125" s="536" t="str">
        <f>IFERROR(__xludf.DUMMYFUNCTION("""COMPUTED_VALUE"""),"95*136")</f>
        <v>95*136</v>
      </c>
      <c r="H125" s="338" t="str">
        <f>IFERROR(__xludf.DUMMYFUNCTION("""COMPUTED_VALUE"""),"Флексопечать")</f>
        <v>Флексопечать</v>
      </c>
      <c r="I125" s="338" t="str">
        <f>IFERROR(__xludf.DUMMYFUNCTION("""COMPUTED_VALUE"""),"Bg-330")</f>
        <v>Bg-330</v>
      </c>
      <c r="J125" s="536">
        <f>IFERROR(__xludf.DUMMYFUNCTION("""COMPUTED_VALUE"""),5000.0)</f>
        <v>5000</v>
      </c>
      <c r="K125" s="537">
        <f>IFERROR(__xludf.DUMMYFUNCTION("""COMPUTED_VALUE"""),46127.0)</f>
        <v>46127</v>
      </c>
      <c r="L125" s="537"/>
      <c r="M125" s="338" t="str">
        <f>IFERROR(__xludf.DUMMYFUNCTION("""COMPUTED_VALUE"""),"Пленка PE 85 мкр прозрачная")</f>
        <v>Пленка PE 85 мкр прозрачная</v>
      </c>
      <c r="N125" s="338" t="str">
        <f>IFERROR(__xludf.DUMMYFUNCTION("""COMPUTED_VALUE"""),"Отгружен")</f>
        <v>Отгружен</v>
      </c>
      <c r="O125" s="537"/>
      <c r="P125" s="338" t="str">
        <f>IFERROR(__xludf.DUMMYFUNCTION("""COMPUTED_VALUE"""),"Приладка заказа как и всегда в раб дни с 8:30 до 17:30. Упаковать бобины в стрейч и коробки")</f>
        <v>Приладка заказа как и всегда в раб дни с 8:30 до 17:30. Упаковать бобины в стрейч и коробки</v>
      </c>
      <c r="Q125" s="338" t="str">
        <f>IFERROR(__xludf.DUMMYFUNCTION("""COMPUTED_VALUE"""),"Сама заказываю ТК")</f>
        <v>Сама заказываю ТК</v>
      </c>
      <c r="R125" s="338"/>
      <c r="S125" s="338"/>
      <c r="T125" s="338"/>
      <c r="U125" s="338"/>
      <c r="V125" s="338"/>
      <c r="W125" s="338"/>
      <c r="X125" s="338"/>
      <c r="Y125" s="338"/>
      <c r="Z125" s="338"/>
    </row>
    <row r="126" ht="22.5" customHeight="1">
      <c r="A126" s="528" t="str">
        <f>IFERROR(__xludf.DUMMYFUNCTION("""COMPUTED_VALUE"""),"ООО""ФэрельГам""")</f>
        <v>ООО"ФэрельГам"</v>
      </c>
      <c r="B126" s="528"/>
      <c r="C126" s="528" t="str">
        <f>IFERROR(__xludf.DUMMYFUNCTION("""COMPUTED_VALUE"""),"470785 Капуста квашеная с хреном 500 г (Global village) этик.")</f>
        <v>470785 Капуста квашеная с хреном 500 г (Global village) этик.</v>
      </c>
      <c r="D126" s="528">
        <f>IFERROR(__xludf.DUMMYFUNCTION("""COMPUTED_VALUE"""),1664.0)</f>
        <v>1664</v>
      </c>
      <c r="E126" s="528" t="str">
        <f>IFERROR(__xludf.DUMMYFUNCTION("""COMPUTED_VALUE"""),"Баранов Александр")</f>
        <v>Баранов Александр</v>
      </c>
      <c r="F126" s="535" t="str">
        <f>IFERROR(__xludf.DUMMYFUNCTION("""COMPUTED_VALUE"""),"Повтор с изменениями")</f>
        <v>Повтор с изменениями</v>
      </c>
      <c r="G126" s="536" t="str">
        <f>IFERROR(__xludf.DUMMYFUNCTION("""COMPUTED_VALUE""")," д99")</f>
        <v> д99</v>
      </c>
      <c r="H126" s="338" t="str">
        <f>IFERROR(__xludf.DUMMYFUNCTION("""COMPUTED_VALUE"""),"Флексопечать")</f>
        <v>Флексопечать</v>
      </c>
      <c r="I126" s="338" t="str">
        <f>IFERROR(__xludf.DUMMYFUNCTION("""COMPUTED_VALUE"""),"Wg-450")</f>
        <v>Wg-450</v>
      </c>
      <c r="J126" s="536">
        <f>IFERROR(__xludf.DUMMYFUNCTION("""COMPUTED_VALUE"""),202500.0)</f>
        <v>202500</v>
      </c>
      <c r="K126" s="537">
        <f>IFERROR(__xludf.DUMMYFUNCTION("""COMPUTED_VALUE"""),46121.0)</f>
        <v>46121</v>
      </c>
      <c r="L126" s="537"/>
      <c r="M126" s="338" t="str">
        <f>IFERROR(__xludf.DUMMYFUNCTION("""COMPUTED_VALUE"""),"Пленка PP белая каучук")</f>
        <v>Пленка PP белая каучук</v>
      </c>
      <c r="N126" s="338" t="str">
        <f>IFERROR(__xludf.DUMMYFUNCTION("""COMPUTED_VALUE"""),"Отгружен")</f>
        <v>Отгружен</v>
      </c>
      <c r="O126" s="537"/>
      <c r="P126" s="338" t="str">
        <f>IFERROR(__xludf.DUMMYFUNCTION("""COMPUTED_VALUE"""),"продаем + 1 ролик (излишки )")</f>
        <v>продаем + 1 ролик (излишки )</v>
      </c>
      <c r="Q126" s="338"/>
      <c r="R126" s="338"/>
      <c r="S126" s="338"/>
      <c r="T126" s="338"/>
      <c r="U126" s="338"/>
      <c r="V126" s="338"/>
      <c r="W126" s="338"/>
      <c r="X126" s="338"/>
      <c r="Y126" s="338"/>
      <c r="Z126" s="338"/>
    </row>
    <row r="127" ht="22.5" customHeight="1">
      <c r="A127" s="528" t="str">
        <f>IFERROR(__xludf.DUMMYFUNCTION("""COMPUTED_VALUE"""),"ООО""ФэрельГам""")</f>
        <v>ООО"ФэрельГам"</v>
      </c>
      <c r="B127" s="528"/>
      <c r="C127" s="528" t="str">
        <f>IFERROR(__xludf.DUMMYFUNCTION("""COMPUTED_VALUE"""),"470825 Капуста квашеная с морковью 1000 г (Global village) этик.")</f>
        <v>470825 Капуста квашеная с морковью 1000 г (Global village) этик.</v>
      </c>
      <c r="D127" s="528">
        <f>IFERROR(__xludf.DUMMYFUNCTION("""COMPUTED_VALUE"""),1717.0)</f>
        <v>1717</v>
      </c>
      <c r="E127" s="528" t="str">
        <f>IFERROR(__xludf.DUMMYFUNCTION("""COMPUTED_VALUE"""),"Баранов Александр")</f>
        <v>Баранов Александр</v>
      </c>
      <c r="F127" s="535" t="str">
        <f>IFERROR(__xludf.DUMMYFUNCTION("""COMPUTED_VALUE"""),"Новая")</f>
        <v>Новая</v>
      </c>
      <c r="G127" s="536" t="str">
        <f>IFERROR(__xludf.DUMMYFUNCTION("""COMPUTED_VALUE"""),"д99")</f>
        <v>д99</v>
      </c>
      <c r="H127" s="338" t="str">
        <f>IFERROR(__xludf.DUMMYFUNCTION("""COMPUTED_VALUE"""),"Флексопечать")</f>
        <v>Флексопечать</v>
      </c>
      <c r="I127" s="338" t="str">
        <f>IFERROR(__xludf.DUMMYFUNCTION("""COMPUTED_VALUE"""),"Wg-450")</f>
        <v>Wg-450</v>
      </c>
      <c r="J127" s="536">
        <f>IFERROR(__xludf.DUMMYFUNCTION("""COMPUTED_VALUE"""),400000.0)</f>
        <v>400000</v>
      </c>
      <c r="K127" s="537">
        <f>IFERROR(__xludf.DUMMYFUNCTION("""COMPUTED_VALUE"""),46121.0)</f>
        <v>46121</v>
      </c>
      <c r="L127" s="537"/>
      <c r="M127" s="338" t="str">
        <f>IFERROR(__xludf.DUMMYFUNCTION("""COMPUTED_VALUE"""),"Пленка PP белая каучук")</f>
        <v>Пленка PP белая каучук</v>
      </c>
      <c r="N127" s="338" t="str">
        <f>IFERROR(__xludf.DUMMYFUNCTION("""COMPUTED_VALUE"""),"Отгружен")</f>
        <v>Отгружен</v>
      </c>
      <c r="O127" s="537"/>
      <c r="P127" s="338" t="str">
        <f>IFERROR(__xludf.DUMMYFUNCTION("""COMPUTED_VALUE"""),"СОГЛАСОВАН")</f>
        <v>СОГЛАСОВАН</v>
      </c>
      <c r="Q127" s="338"/>
      <c r="R127" s="338"/>
      <c r="S127" s="338"/>
      <c r="T127" s="338"/>
      <c r="U127" s="338"/>
      <c r="V127" s="338"/>
      <c r="W127" s="338"/>
      <c r="X127" s="338"/>
      <c r="Y127" s="338"/>
      <c r="Z127" s="338"/>
    </row>
    <row r="128" ht="22.5" customHeight="1">
      <c r="A128" s="528" t="str">
        <f>IFERROR(__xludf.DUMMYFUNCTION("""COMPUTED_VALUE"""),"Калье")</f>
        <v>Калье</v>
      </c>
      <c r="B128" s="528"/>
      <c r="C128" s="528" t="str">
        <f>IFERROR(__xludf.DUMMYFUNCTION("""COMPUTED_VALUE"""),"Тоник Pharm Helper против перхоти, TNL, 100 мл")</f>
        <v>Тоник Pharm Helper против перхоти, TNL, 100 мл</v>
      </c>
      <c r="D128" s="528">
        <f>IFERROR(__xludf.DUMMYFUNCTION("""COMPUTED_VALUE"""),1738.0)</f>
        <v>1738</v>
      </c>
      <c r="E128" s="528" t="str">
        <f>IFERROR(__xludf.DUMMYFUNCTION("""COMPUTED_VALUE"""),"Татьяна Денисова")</f>
        <v>Татьяна Денисова</v>
      </c>
      <c r="F128" s="535" t="str">
        <f>IFERROR(__xludf.DUMMYFUNCTION("""COMPUTED_VALUE"""),"Новая")</f>
        <v>Новая</v>
      </c>
      <c r="G128" s="536" t="str">
        <f>IFERROR(__xludf.DUMMYFUNCTION("""COMPUTED_VALUE"""),"63*118")</f>
        <v>63*118</v>
      </c>
      <c r="H128" s="338" t="str">
        <f>IFERROR(__xludf.DUMMYFUNCTION("""COMPUTED_VALUE"""),"Флексопечать")</f>
        <v>Флексопечать</v>
      </c>
      <c r="I128" s="338" t="str">
        <f>IFERROR(__xludf.DUMMYFUNCTION("""COMPUTED_VALUE"""),"Bg-330")</f>
        <v>Bg-330</v>
      </c>
      <c r="J128" s="536">
        <f>IFERROR(__xludf.DUMMYFUNCTION("""COMPUTED_VALUE"""),3000.0)</f>
        <v>3000</v>
      </c>
      <c r="K128" s="537">
        <f>IFERROR(__xludf.DUMMYFUNCTION("""COMPUTED_VALUE"""),46127.0)</f>
        <v>46127</v>
      </c>
      <c r="L128" s="537"/>
      <c r="M128" s="338" t="str">
        <f>IFERROR(__xludf.DUMMYFUNCTION("""COMPUTED_VALUE"""),"Пленка PP белая акрил")</f>
        <v>Пленка PP белая акрил</v>
      </c>
      <c r="N128" s="338" t="str">
        <f>IFERROR(__xludf.DUMMYFUNCTION("""COMPUTED_VALUE"""),"Отгружен")</f>
        <v>Отгружен</v>
      </c>
      <c r="O128" s="537"/>
      <c r="P128" s="338" t="str">
        <f>IFERROR(__xludf.DUMMYFUNCTION("""COMPUTED_VALUE"""),"Приладка заказа как и всегда в раб дни с 8:30 до 17:30. Упаковать бобины в стрейч и коробки")</f>
        <v>Приладка заказа как и всегда в раб дни с 8:30 до 17:30. Упаковать бобины в стрейч и коробки</v>
      </c>
      <c r="Q128" s="338" t="str">
        <f>IFERROR(__xludf.DUMMYFUNCTION("""COMPUTED_VALUE"""),"Сама заказываю ТК")</f>
        <v>Сама заказываю ТК</v>
      </c>
      <c r="R128" s="338"/>
      <c r="S128" s="338"/>
      <c r="T128" s="338"/>
      <c r="U128" s="338"/>
      <c r="V128" s="338"/>
      <c r="W128" s="338"/>
      <c r="X128" s="338"/>
      <c r="Y128" s="338"/>
      <c r="Z128" s="338"/>
    </row>
    <row r="129" ht="22.5" customHeight="1">
      <c r="A129" s="528" t="str">
        <f>IFERROR(__xludf.DUMMYFUNCTION("""COMPUTED_VALUE"""),"ООО""ФэрельГам""")</f>
        <v>ООО"ФэрельГам"</v>
      </c>
      <c r="B129" s="528"/>
      <c r="C129" s="528" t="str">
        <f>IFERROR(__xludf.DUMMYFUNCTION("""COMPUTED_VALUE"""),"470846 Капуста маринованная с морковью и шафраном 300 г этик.")</f>
        <v>470846 Капуста маринованная с морковью и шафраном 300 г этик.</v>
      </c>
      <c r="D129" s="528">
        <f>IFERROR(__xludf.DUMMYFUNCTION("""COMPUTED_VALUE"""),1739.0)</f>
        <v>1739</v>
      </c>
      <c r="E129" s="528" t="str">
        <f>IFERROR(__xludf.DUMMYFUNCTION("""COMPUTED_VALUE"""),"Баранов Александр")</f>
        <v>Баранов Александр</v>
      </c>
      <c r="F129" s="535" t="str">
        <f>IFERROR(__xludf.DUMMYFUNCTION("""COMPUTED_VALUE"""),"Новая")</f>
        <v>Новая</v>
      </c>
      <c r="G129" s="536" t="str">
        <f>IFERROR(__xludf.DUMMYFUNCTION("""COMPUTED_VALUE"""),"д110")</f>
        <v>д110</v>
      </c>
      <c r="H129" s="338" t="str">
        <f>IFERROR(__xludf.DUMMYFUNCTION("""COMPUTED_VALUE"""),"Флексопечать")</f>
        <v>Флексопечать</v>
      </c>
      <c r="I129" s="338" t="str">
        <f>IFERROR(__xludf.DUMMYFUNCTION("""COMPUTED_VALUE"""),"Wg-450")</f>
        <v>Wg-450</v>
      </c>
      <c r="J129" s="536">
        <f>IFERROR(__xludf.DUMMYFUNCTION("""COMPUTED_VALUE"""),20000.0)</f>
        <v>20000</v>
      </c>
      <c r="K129" s="537">
        <f>IFERROR(__xludf.DUMMYFUNCTION("""COMPUTED_VALUE"""),46122.0)</f>
        <v>46122</v>
      </c>
      <c r="L129" s="537"/>
      <c r="M129" s="338" t="str">
        <f>IFERROR(__xludf.DUMMYFUNCTION("""COMPUTED_VALUE"""),"Пленка PP белая каучук")</f>
        <v>Пленка PP белая каучук</v>
      </c>
      <c r="N129" s="338" t="str">
        <f>IFERROR(__xludf.DUMMYFUNCTION("""COMPUTED_VALUE"""),"Отгружен")</f>
        <v>Отгружен</v>
      </c>
      <c r="O129" s="537"/>
      <c r="P129" s="338" t="str">
        <f>IFERROR(__xludf.DUMMYFUNCTION("""COMPUTED_VALUE"""),"СОГЛАСОВАН")</f>
        <v>СОГЛАСОВАН</v>
      </c>
      <c r="Q129" s="338"/>
      <c r="R129" s="338"/>
      <c r="S129" s="338"/>
      <c r="T129" s="338"/>
      <c r="U129" s="338"/>
      <c r="V129" s="338"/>
      <c r="W129" s="338"/>
      <c r="X129" s="338"/>
      <c r="Y129" s="338"/>
      <c r="Z129" s="338"/>
    </row>
    <row r="130" ht="22.5" customHeight="1">
      <c r="A130" s="528" t="str">
        <f>IFERROR(__xludf.DUMMYFUNCTION("""COMPUTED_VALUE"""),"ООО «Вёрдазернопродукт»")</f>
        <v>ООО «Вёрдазернопродукт»</v>
      </c>
      <c r="B130" s="528"/>
      <c r="C130" s="528" t="str">
        <f>IFERROR(__xludf.DUMMYFUNCTION("""COMPUTED_VALUE"""),"ТермоТоп 100х100")</f>
        <v>ТермоТоп 100х100</v>
      </c>
      <c r="D130" s="528">
        <f>IFERROR(__xludf.DUMMYFUNCTION("""COMPUTED_VALUE"""),1471.0)</f>
        <v>1471</v>
      </c>
      <c r="E130" s="528" t="str">
        <f>IFERROR(__xludf.DUMMYFUNCTION("""COMPUTED_VALUE"""),"Шаповалов Дмитрий")</f>
        <v>Шаповалов Дмитрий</v>
      </c>
      <c r="F130" s="535" t="str">
        <f>IFERROR(__xludf.DUMMYFUNCTION("""COMPUTED_VALUE"""),"Повтор, ТЕСТ")</f>
        <v>Повтор, ТЕСТ</v>
      </c>
      <c r="G130" s="536" t="str">
        <f>IFERROR(__xludf.DUMMYFUNCTION("""COMPUTED_VALUE"""),"100х100")</f>
        <v>100х100</v>
      </c>
      <c r="H130" s="338" t="str">
        <f>IFERROR(__xludf.DUMMYFUNCTION("""COMPUTED_VALUE"""),"Флексопечать")</f>
        <v>Флексопечать</v>
      </c>
      <c r="I130" s="338" t="str">
        <f>IFERROR(__xludf.DUMMYFUNCTION("""COMPUTED_VALUE"""),"G-200")</f>
        <v>G-200</v>
      </c>
      <c r="J130" s="536">
        <f>IFERROR(__xludf.DUMMYFUNCTION("""COMPUTED_VALUE"""),500.0)</f>
        <v>500</v>
      </c>
      <c r="K130" s="537">
        <f>IFERROR(__xludf.DUMMYFUNCTION("""COMPUTED_VALUE"""),46118.0)</f>
        <v>46118</v>
      </c>
      <c r="L130" s="537"/>
      <c r="M130" s="338" t="str">
        <f>IFERROR(__xludf.DUMMYFUNCTION("""COMPUTED_VALUE"""),"Термо Топ")</f>
        <v>Термо Топ</v>
      </c>
      <c r="N130" s="338" t="str">
        <f>IFERROR(__xludf.DUMMYFUNCTION("""COMPUTED_VALUE"""),"Отгружен")</f>
        <v>Отгружен</v>
      </c>
      <c r="O130" s="537"/>
      <c r="P130" s="338"/>
      <c r="Q130" s="338" t="str">
        <f>IFERROR(__xludf.DUMMYFUNCTION("""COMPUTED_VALUE"""),"Рязанская область, Кораблинский район, Кипчаковское с/п, с.Кикино, производственная зона «Кикино» здание 1. Сергей Анатольевич, +7 910 622-18-18. Время работы : с 8-00 до 17-00, пятница с 8-00 до 16-00, суббота и воскресенье- выходной.")</f>
        <v>Рязанская область, Кораблинский район, Кипчаковское с/п, с.Кикино, производственная зона «Кикино» здание 1. Сергей Анатольевич, +7 910 622-18-18. Время работы : с 8-00 до 17-00, пятница с 8-00 до 16-00, суббота и воскресенье- выходной.</v>
      </c>
      <c r="R130" s="338"/>
      <c r="S130" s="338"/>
      <c r="T130" s="338"/>
      <c r="U130" s="338"/>
      <c r="V130" s="338"/>
      <c r="W130" s="338"/>
      <c r="X130" s="338"/>
      <c r="Y130" s="338"/>
      <c r="Z130" s="338"/>
    </row>
    <row r="131" ht="22.5" customHeight="1">
      <c r="A131" s="528" t="str">
        <f>IFERROR(__xludf.DUMMYFUNCTION("""COMPUTED_VALUE"""),"ООО «Вёрдазернопродукт»")</f>
        <v>ООО «Вёрдазернопродукт»</v>
      </c>
      <c r="B131" s="528"/>
      <c r="C131" s="528" t="str">
        <f>IFERROR(__xludf.DUMMYFUNCTION("""COMPUTED_VALUE"""),"Обечайка на бумаге 50х188")</f>
        <v>Обечайка на бумаге 50х188</v>
      </c>
      <c r="D131" s="528">
        <f>IFERROR(__xludf.DUMMYFUNCTION("""COMPUTED_VALUE"""),1470.0)</f>
        <v>1470</v>
      </c>
      <c r="E131" s="528" t="str">
        <f>IFERROR(__xludf.DUMMYFUNCTION("""COMPUTED_VALUE"""),"Шаповалов Дмитрий")</f>
        <v>Шаповалов Дмитрий</v>
      </c>
      <c r="F131" s="535" t="str">
        <f>IFERROR(__xludf.DUMMYFUNCTION("""COMPUTED_VALUE"""),"Повтор, ТЕСТ")</f>
        <v>Повтор, ТЕСТ</v>
      </c>
      <c r="G131" s="536" t="str">
        <f>IFERROR(__xludf.DUMMYFUNCTION("""COMPUTED_VALUE"""),"50х188")</f>
        <v>50х188</v>
      </c>
      <c r="H131" s="338" t="str">
        <f>IFERROR(__xludf.DUMMYFUNCTION("""COMPUTED_VALUE"""),"Флексопечать")</f>
        <v>Флексопечать</v>
      </c>
      <c r="I131" s="338" t="str">
        <f>IFERROR(__xludf.DUMMYFUNCTION("""COMPUTED_VALUE"""),"Wg-450")</f>
        <v>Wg-450</v>
      </c>
      <c r="J131" s="536">
        <f>IFERROR(__xludf.DUMMYFUNCTION("""COMPUTED_VALUE"""),500.0)</f>
        <v>500</v>
      </c>
      <c r="K131" s="537">
        <f>IFERROR(__xludf.DUMMYFUNCTION("""COMPUTED_VALUE"""),46118.0)</f>
        <v>46118</v>
      </c>
      <c r="L131" s="537"/>
      <c r="M131" s="338" t="str">
        <f>IFERROR(__xludf.DUMMYFUNCTION("""COMPUTED_VALUE"""),"Бумага полуглянец каучук")</f>
        <v>Бумага полуглянец каучук</v>
      </c>
      <c r="N131" s="338" t="str">
        <f>IFERROR(__xludf.DUMMYFUNCTION("""COMPUTED_VALUE"""),"Отгружен")</f>
        <v>Отгружен</v>
      </c>
      <c r="O131" s="537"/>
      <c r="P131" s="338"/>
      <c r="Q131" s="338" t="str">
        <f>IFERROR(__xludf.DUMMYFUNCTION("""COMPUTED_VALUE"""),"Рязанская область, Кораблинский район, Кипчаковское с/п, с.Кикино, производственная зона «Кикино» здание 1. Сергей Анатольевич, +7 910 622-18-18. Время работы : с 8-00 до 17-00, пятница с 8-00 до 16-00, суббота и воскресенье- выходной.")</f>
        <v>Рязанская область, Кораблинский район, Кипчаковское с/п, с.Кикино, производственная зона «Кикино» здание 1. Сергей Анатольевич, +7 910 622-18-18. Время работы : с 8-00 до 17-00, пятница с 8-00 до 16-00, суббота и воскресенье- выходной.</v>
      </c>
      <c r="R131" s="338"/>
      <c r="S131" s="338"/>
      <c r="T131" s="338"/>
      <c r="U131" s="338"/>
      <c r="V131" s="338"/>
      <c r="W131" s="338"/>
      <c r="X131" s="338"/>
      <c r="Y131" s="338"/>
      <c r="Z131" s="338"/>
    </row>
    <row r="132" ht="22.5" customHeight="1">
      <c r="A132" s="528" t="str">
        <f>IFERROR(__xludf.DUMMYFUNCTION("""COMPUTED_VALUE"""),"ООО «Вёрдазернопродукт»")</f>
        <v>ООО «Вёрдазернопродукт»</v>
      </c>
      <c r="B132" s="528"/>
      <c r="C132" s="528" t="str">
        <f>IFERROR(__xludf.DUMMYFUNCTION("""COMPUTED_VALUE"""),"Обечайка на плёнке 50х188")</f>
        <v>Обечайка на плёнке 50х188</v>
      </c>
      <c r="D132" s="528">
        <f>IFERROR(__xludf.DUMMYFUNCTION("""COMPUTED_VALUE"""),1469.0)</f>
        <v>1469</v>
      </c>
      <c r="E132" s="528" t="str">
        <f>IFERROR(__xludf.DUMMYFUNCTION("""COMPUTED_VALUE"""),"Шаповалов Дмитрий")</f>
        <v>Шаповалов Дмитрий</v>
      </c>
      <c r="F132" s="535" t="str">
        <f>IFERROR(__xludf.DUMMYFUNCTION("""COMPUTED_VALUE"""),"ТЕСТ")</f>
        <v>ТЕСТ</v>
      </c>
      <c r="G132" s="536" t="str">
        <f>IFERROR(__xludf.DUMMYFUNCTION("""COMPUTED_VALUE"""),"50х189")</f>
        <v>50х189</v>
      </c>
      <c r="H132" s="338" t="str">
        <f>IFERROR(__xludf.DUMMYFUNCTION("""COMPUTED_VALUE"""),"Флексопечать")</f>
        <v>Флексопечать</v>
      </c>
      <c r="I132" s="338" t="str">
        <f>IFERROR(__xludf.DUMMYFUNCTION("""COMPUTED_VALUE"""),"Wg-450")</f>
        <v>Wg-450</v>
      </c>
      <c r="J132" s="536">
        <f>IFERROR(__xludf.DUMMYFUNCTION("""COMPUTED_VALUE"""),500.0)</f>
        <v>500</v>
      </c>
      <c r="K132" s="537">
        <f>IFERROR(__xludf.DUMMYFUNCTION("""COMPUTED_VALUE"""),46118.0)</f>
        <v>46118</v>
      </c>
      <c r="L132" s="537"/>
      <c r="M132" s="338" t="str">
        <f>IFERROR(__xludf.DUMMYFUNCTION("""COMPUTED_VALUE"""),"Пленка PP белая каучук")</f>
        <v>Пленка PP белая каучук</v>
      </c>
      <c r="N132" s="338" t="str">
        <f>IFERROR(__xludf.DUMMYFUNCTION("""COMPUTED_VALUE"""),"Отгружен")</f>
        <v>Отгружен</v>
      </c>
      <c r="O132" s="537"/>
      <c r="P132" s="338"/>
      <c r="Q132" s="338" t="str">
        <f>IFERROR(__xludf.DUMMYFUNCTION("""COMPUTED_VALUE"""),"Рязанская область, Кораблинский район, Кипчаковское с/п, с.Кикино, производственная зона «Кикино» здание 1. Сергей Анатольевич, +7 910 622-18-18. Время работы : с 8-00 до 17-00, пятница с 8-00 до 16-00, суббота и воскресенье- выходной.")</f>
        <v>Рязанская область, Кораблинский район, Кипчаковское с/п, с.Кикино, производственная зона «Кикино» здание 1. Сергей Анатольевич, +7 910 622-18-18. Время работы : с 8-00 до 17-00, пятница с 8-00 до 16-00, суббота и воскресенье- выходной.</v>
      </c>
      <c r="R132" s="338"/>
      <c r="S132" s="338"/>
      <c r="T132" s="338"/>
      <c r="U132" s="338"/>
      <c r="V132" s="338"/>
      <c r="W132" s="338"/>
      <c r="X132" s="338"/>
      <c r="Y132" s="338"/>
      <c r="Z132" s="338"/>
    </row>
    <row r="133" ht="22.5" customHeight="1">
      <c r="A133" s="528" t="str">
        <f>IFERROR(__xludf.DUMMYFUNCTION("""COMPUTED_VALUE"""),"ООО""ФэрельГам""")</f>
        <v>ООО"ФэрельГам"</v>
      </c>
      <c r="B133" s="528"/>
      <c r="C133" s="528" t="str">
        <f>IFERROR(__xludf.DUMMYFUNCTION("""COMPUTED_VALUE"""),"470853 Огурцы соленые 300 г в/у этик.")</f>
        <v>470853 Огурцы соленые 300 г в/у этик.</v>
      </c>
      <c r="D133" s="528">
        <f>IFERROR(__xludf.DUMMYFUNCTION("""COMPUTED_VALUE"""),1740.0)</f>
        <v>1740</v>
      </c>
      <c r="E133" s="528" t="str">
        <f>IFERROR(__xludf.DUMMYFUNCTION("""COMPUTED_VALUE"""),"Баранов Александр")</f>
        <v>Баранов Александр</v>
      </c>
      <c r="F133" s="535" t="str">
        <f>IFERROR(__xludf.DUMMYFUNCTION("""COMPUTED_VALUE"""),"Новая")</f>
        <v>Новая</v>
      </c>
      <c r="G133" s="536" t="str">
        <f>IFERROR(__xludf.DUMMYFUNCTION("""COMPUTED_VALUE"""),"48*122")</f>
        <v>48*122</v>
      </c>
      <c r="H133" s="338" t="str">
        <f>IFERROR(__xludf.DUMMYFUNCTION("""COMPUTED_VALUE"""),"Флексопечать")</f>
        <v>Флексопечать</v>
      </c>
      <c r="I133" s="338" t="str">
        <f>IFERROR(__xludf.DUMMYFUNCTION("""COMPUTED_VALUE"""),"Wg-450")</f>
        <v>Wg-450</v>
      </c>
      <c r="J133" s="536">
        <f>IFERROR(__xludf.DUMMYFUNCTION("""COMPUTED_VALUE"""),20000.0)</f>
        <v>20000</v>
      </c>
      <c r="K133" s="537">
        <f>IFERROR(__xludf.DUMMYFUNCTION("""COMPUTED_VALUE"""),46121.0)</f>
        <v>46121</v>
      </c>
      <c r="L133" s="537"/>
      <c r="M133" s="338" t="str">
        <f>IFERROR(__xludf.DUMMYFUNCTION("""COMPUTED_VALUE"""),"Пленка PP белая каучук")</f>
        <v>Пленка PP белая каучук</v>
      </c>
      <c r="N133" s="338" t="str">
        <f>IFERROR(__xludf.DUMMYFUNCTION("""COMPUTED_VALUE"""),"Отгружен")</f>
        <v>Отгружен</v>
      </c>
      <c r="O133" s="537"/>
      <c r="P133" s="338" t="str">
        <f>IFERROR(__xludf.DUMMYFUNCTION("""COMPUTED_VALUE"""),"СОГЛАСОВАН")</f>
        <v>СОГЛАСОВАН</v>
      </c>
      <c r="Q133" s="338"/>
      <c r="R133" s="338"/>
      <c r="S133" s="338"/>
      <c r="T133" s="338"/>
      <c r="U133" s="338"/>
      <c r="V133" s="338"/>
      <c r="W133" s="338"/>
      <c r="X133" s="338"/>
      <c r="Y133" s="338"/>
      <c r="Z133" s="338"/>
    </row>
    <row r="134" ht="22.5" customHeight="1">
      <c r="A134" s="528" t="str">
        <f>IFERROR(__xludf.DUMMYFUNCTION("""COMPUTED_VALUE"""),"Меренга ")</f>
        <v>Меренга </v>
      </c>
      <c r="B134" s="528"/>
      <c r="C134" s="528" t="str">
        <f>IFERROR(__xludf.DUMMYFUNCTION("""COMPUTED_VALUE"""),"Торт морковный из лавки")</f>
        <v>Торт морковный из лавки</v>
      </c>
      <c r="D134" s="528">
        <f>IFERROR(__xludf.DUMMYFUNCTION("""COMPUTED_VALUE"""),1561.0)</f>
        <v>1561</v>
      </c>
      <c r="E134" s="528" t="str">
        <f>IFERROR(__xludf.DUMMYFUNCTION("""COMPUTED_VALUE"""),"Римма Лукина")</f>
        <v>Римма Лукина</v>
      </c>
      <c r="F134" s="535" t="str">
        <f>IFERROR(__xludf.DUMMYFUNCTION("""COMPUTED_VALUE"""),"Повтор")</f>
        <v>Повтор</v>
      </c>
      <c r="G134" s="536" t="str">
        <f>IFERROR(__xludf.DUMMYFUNCTION("""COMPUTED_VALUE"""),"70*185")</f>
        <v>70*185</v>
      </c>
      <c r="H134" s="338" t="str">
        <f>IFERROR(__xludf.DUMMYFUNCTION("""COMPUTED_VALUE"""),"Флексопечать")</f>
        <v>Флексопечать</v>
      </c>
      <c r="I134" s="338" t="str">
        <f>IFERROR(__xludf.DUMMYFUNCTION("""COMPUTED_VALUE"""),"Bg-330")</f>
        <v>Bg-330</v>
      </c>
      <c r="J134" s="536">
        <f>IFERROR(__xludf.DUMMYFUNCTION("""COMPUTED_VALUE"""),10000.0)</f>
        <v>10000</v>
      </c>
      <c r="K134" s="537">
        <f>IFERROR(__xludf.DUMMYFUNCTION("""COMPUTED_VALUE"""),46122.0)</f>
        <v>46122</v>
      </c>
      <c r="L134" s="537"/>
      <c r="M134" s="338" t="str">
        <f>IFERROR(__xludf.DUMMYFUNCTION("""COMPUTED_VALUE"""),"Бумага полуглянец акрил")</f>
        <v>Бумага полуглянец акрил</v>
      </c>
      <c r="N134" s="338" t="str">
        <f>IFERROR(__xludf.DUMMYFUNCTION("""COMPUTED_VALUE"""),"Отгружен")</f>
        <v>Отгружен</v>
      </c>
      <c r="O134" s="537"/>
      <c r="P134" s="338" t="str">
        <f>IFERROR(__xludf.DUMMYFUNCTION("""COMPUTED_VALUE"""),"Внимание печатаем без ЛАКА!!!")</f>
        <v>Внимание печатаем без ЛАКА!!!</v>
      </c>
      <c r="Q134" s="338" t="str">
        <f>IFERROR(__xludf.DUMMYFUNCTION("""COMPUTED_VALUE"""),"Меренга : Москва, Пермская 1 стр 7-8. Контакты приемки на складе Меренга :Женя рук склада 89252992868, Осим 89500029927")</f>
        <v>Меренга : Москва, Пермская 1 стр 7-8. Контакты приемки на складе Меренга :Женя рук склада 89252992868, Осим 89500029927</v>
      </c>
      <c r="R134" s="338"/>
      <c r="S134" s="338"/>
      <c r="T134" s="338"/>
      <c r="U134" s="338"/>
      <c r="V134" s="338"/>
      <c r="W134" s="338"/>
      <c r="X134" s="338"/>
      <c r="Y134" s="338"/>
      <c r="Z134" s="338"/>
    </row>
    <row r="135" ht="22.5" customHeight="1">
      <c r="A135" s="528" t="str">
        <f>IFERROR(__xludf.DUMMYFUNCTION("""COMPUTED_VALUE"""),"ООО""ФэрельГам""")</f>
        <v>ООО"ФэрельГам"</v>
      </c>
      <c r="B135" s="528"/>
      <c r="C135" s="528" t="str">
        <f>IFERROR(__xludf.DUMMYFUNCTION("""COMPUTED_VALUE""")," 470831 Чеснок соленый белый 200 г (Green vitamin) этик. ")</f>
        <v> 470831 Чеснок соленый белый 200 г (Green vitamin) этик. </v>
      </c>
      <c r="D135" s="528">
        <f>IFERROR(__xludf.DUMMYFUNCTION("""COMPUTED_VALUE"""),1665.0)</f>
        <v>1665</v>
      </c>
      <c r="E135" s="528" t="str">
        <f>IFERROR(__xludf.DUMMYFUNCTION("""COMPUTED_VALUE"""),"Баранов Александр")</f>
        <v>Баранов Александр</v>
      </c>
      <c r="F135" s="535" t="str">
        <f>IFERROR(__xludf.DUMMYFUNCTION("""COMPUTED_VALUE"""),"Новая")</f>
        <v>Новая</v>
      </c>
      <c r="G135" s="536" t="str">
        <f>IFERROR(__xludf.DUMMYFUNCTION("""COMPUTED_VALUE"""),"48*122")</f>
        <v>48*122</v>
      </c>
      <c r="H135" s="338" t="str">
        <f>IFERROR(__xludf.DUMMYFUNCTION("""COMPUTED_VALUE"""),"Флексопечать")</f>
        <v>Флексопечать</v>
      </c>
      <c r="I135" s="338" t="str">
        <f>IFERROR(__xludf.DUMMYFUNCTION("""COMPUTED_VALUE"""),"Wg-450")</f>
        <v>Wg-450</v>
      </c>
      <c r="J135" s="536">
        <f>IFERROR(__xludf.DUMMYFUNCTION("""COMPUTED_VALUE"""),20000.0)</f>
        <v>20000</v>
      </c>
      <c r="K135" s="537">
        <f>IFERROR(__xludf.DUMMYFUNCTION("""COMPUTED_VALUE"""),46122.0)</f>
        <v>46122</v>
      </c>
      <c r="L135" s="537"/>
      <c r="M135" s="338" t="str">
        <f>IFERROR(__xludf.DUMMYFUNCTION("""COMPUTED_VALUE"""),"Пленка PP белая каучук")</f>
        <v>Пленка PP белая каучук</v>
      </c>
      <c r="N135" s="338" t="str">
        <f>IFERROR(__xludf.DUMMYFUNCTION("""COMPUTED_VALUE"""),"Отгружен")</f>
        <v>Отгружен</v>
      </c>
      <c r="O135" s="537"/>
      <c r="P135" s="338" t="str">
        <f>IFERROR(__xludf.DUMMYFUNCTION("""COMPUTED_VALUE"""),"СОГЛАСОВАН")</f>
        <v>СОГЛАСОВАН</v>
      </c>
      <c r="Q135" s="338"/>
      <c r="R135" s="338"/>
      <c r="S135" s="338"/>
      <c r="T135" s="338"/>
      <c r="U135" s="338"/>
      <c r="V135" s="338"/>
      <c r="W135" s="338"/>
      <c r="X135" s="338"/>
      <c r="Y135" s="338"/>
      <c r="Z135" s="338"/>
    </row>
    <row r="136" ht="22.5" customHeight="1">
      <c r="A136" s="528" t="str">
        <f>IFERROR(__xludf.DUMMYFUNCTION("""COMPUTED_VALUE"""),"ООО""ФэрельГам""")</f>
        <v>ООО"ФэрельГам"</v>
      </c>
      <c r="B136" s="528"/>
      <c r="C136" s="528" t="str">
        <f>IFERROR(__xludf.DUMMYFUNCTION("""COMPUTED_VALUE"""),"470798 Капуста квашеная сладкая 450 гр бок Ваш выбор Этик.")</f>
        <v>470798 Капуста квашеная сладкая 450 гр бок Ваш выбор Этик.</v>
      </c>
      <c r="D136" s="528">
        <f>IFERROR(__xludf.DUMMYFUNCTION("""COMPUTED_VALUE"""),1751.0)</f>
        <v>1751</v>
      </c>
      <c r="E136" s="528" t="str">
        <f>IFERROR(__xludf.DUMMYFUNCTION("""COMPUTED_VALUE"""),"Баранов Александр")</f>
        <v>Баранов Александр</v>
      </c>
      <c r="F136" s="535" t="str">
        <f>IFERROR(__xludf.DUMMYFUNCTION("""COMPUTED_VALUE"""),"Новая")</f>
        <v>Новая</v>
      </c>
      <c r="G136" s="536" t="str">
        <f>IFERROR(__xludf.DUMMYFUNCTION("""COMPUTED_VALUE"""),"37.5*100")</f>
        <v>37.5*100</v>
      </c>
      <c r="H136" s="338" t="str">
        <f>IFERROR(__xludf.DUMMYFUNCTION("""COMPUTED_VALUE"""),"Флексопечать")</f>
        <v>Флексопечать</v>
      </c>
      <c r="I136" s="338" t="str">
        <f>IFERROR(__xludf.DUMMYFUNCTION("""COMPUTED_VALUE"""),"Bg-330")</f>
        <v>Bg-330</v>
      </c>
      <c r="J136" s="536">
        <f>IFERROR(__xludf.DUMMYFUNCTION("""COMPUTED_VALUE"""),10000.0)</f>
        <v>10000</v>
      </c>
      <c r="K136" s="537">
        <f>IFERROR(__xludf.DUMMYFUNCTION("""COMPUTED_VALUE"""),46122.0)</f>
        <v>46122</v>
      </c>
      <c r="L136" s="537"/>
      <c r="M136" s="338" t="str">
        <f>IFERROR(__xludf.DUMMYFUNCTION("""COMPUTED_VALUE"""),"Пленка PP белая каучук")</f>
        <v>Пленка PP белая каучук</v>
      </c>
      <c r="N136" s="338" t="str">
        <f>IFERROR(__xludf.DUMMYFUNCTION("""COMPUTED_VALUE"""),"Отгружен")</f>
        <v>Отгружен</v>
      </c>
      <c r="O136" s="537"/>
      <c r="P136" s="338" t="str">
        <f>IFERROR(__xludf.DUMMYFUNCTION("""COMPUTED_VALUE"""),"СОГЛАСОВАН")</f>
        <v>СОГЛАСОВАН</v>
      </c>
      <c r="Q136" s="338"/>
      <c r="R136" s="338"/>
      <c r="S136" s="338"/>
      <c r="T136" s="338"/>
      <c r="U136" s="338"/>
      <c r="V136" s="338"/>
      <c r="W136" s="338"/>
      <c r="X136" s="338"/>
      <c r="Y136" s="338"/>
      <c r="Z136" s="338"/>
    </row>
    <row r="137" ht="22.5" customHeight="1">
      <c r="A137" s="528" t="str">
        <f>IFERROR(__xludf.DUMMYFUNCTION("""COMPUTED_VALUE"""),"Калье")</f>
        <v>Калье</v>
      </c>
      <c r="B137" s="528"/>
      <c r="C137" s="528" t="str">
        <f>IFERROR(__xludf.DUMMYFUNCTION("""COMPUTED_VALUE"""),"Крем-воск для пяток Foot Cream Wax 3 в 1 TNL Professional, 100 мл КРУГ")</f>
        <v>Крем-воск для пяток Foot Cream Wax 3 в 1 TNL Professional, 100 мл КРУГ</v>
      </c>
      <c r="D137" s="528">
        <f>IFERROR(__xludf.DUMMYFUNCTION("""COMPUTED_VALUE"""),1760.0)</f>
        <v>1760</v>
      </c>
      <c r="E137" s="528" t="str">
        <f>IFERROR(__xludf.DUMMYFUNCTION("""COMPUTED_VALUE"""),"Татьяна Денисова")</f>
        <v>Татьяна Денисова</v>
      </c>
      <c r="F137" s="535" t="str">
        <f>IFERROR(__xludf.DUMMYFUNCTION("""COMPUTED_VALUE"""),"Новая")</f>
        <v>Новая</v>
      </c>
      <c r="G137" s="536" t="str">
        <f>IFERROR(__xludf.DUMMYFUNCTION("""COMPUTED_VALUE"""),"д=58")</f>
        <v>д=58</v>
      </c>
      <c r="H137" s="338" t="str">
        <f>IFERROR(__xludf.DUMMYFUNCTION("""COMPUTED_VALUE"""),"Флексопечать")</f>
        <v>Флексопечать</v>
      </c>
      <c r="I137" s="338" t="str">
        <f>IFERROR(__xludf.DUMMYFUNCTION("""COMPUTED_VALUE"""),"Wg-450")</f>
        <v>Wg-450</v>
      </c>
      <c r="J137" s="536">
        <f>IFERROR(__xludf.DUMMYFUNCTION("""COMPUTED_VALUE"""),10000.0)</f>
        <v>10000</v>
      </c>
      <c r="K137" s="537">
        <f>IFERROR(__xludf.DUMMYFUNCTION("""COMPUTED_VALUE"""),46126.0)</f>
        <v>46126</v>
      </c>
      <c r="L137" s="537"/>
      <c r="M137" s="338" t="str">
        <f>IFERROR(__xludf.DUMMYFUNCTION("""COMPUTED_VALUE"""),"Пленка PP белая акрил")</f>
        <v>Пленка PP белая акрил</v>
      </c>
      <c r="N137" s="338" t="str">
        <f>IFERROR(__xludf.DUMMYFUNCTION("""COMPUTED_VALUE"""),"Отгружен")</f>
        <v>Отгружен</v>
      </c>
      <c r="O137" s="537"/>
      <c r="P137" s="338" t="str">
        <f>IFERROR(__xludf.DUMMYFUNCTION("""COMPUTED_VALUE"""),"Приладка заказа как и всегда в раб дни с 8:30 до 17:30. Упаковать бобины в стрейч и коробки")</f>
        <v>Приладка заказа как и всегда в раб дни с 8:30 до 17:30. Упаковать бобины в стрейч и коробки</v>
      </c>
      <c r="Q137" s="338" t="str">
        <f>IFERROR(__xludf.DUMMYFUNCTION("""COMPUTED_VALUE"""),"Сама заказываю ТК")</f>
        <v>Сама заказываю ТК</v>
      </c>
      <c r="R137" s="338"/>
      <c r="S137" s="338"/>
      <c r="T137" s="338"/>
      <c r="U137" s="338"/>
      <c r="V137" s="338"/>
      <c r="W137" s="338"/>
      <c r="X137" s="338"/>
      <c r="Y137" s="338"/>
      <c r="Z137" s="338"/>
    </row>
    <row r="138" ht="22.5" customHeight="1">
      <c r="A138" s="528" t="str">
        <f>IFERROR(__xludf.DUMMYFUNCTION("""COMPUTED_VALUE"""),"Калье")</f>
        <v>Калье</v>
      </c>
      <c r="B138" s="528"/>
      <c r="C138" s="528" t="str">
        <f>IFERROR(__xludf.DUMMYFUNCTION("""COMPUTED_VALUE"""),"Крем-воск для пяток Foot Cream Wax 3 в 1 TNL Professional, 100 мл БОК")</f>
        <v>Крем-воск для пяток Foot Cream Wax 3 в 1 TNL Professional, 100 мл БОК</v>
      </c>
      <c r="D138" s="528">
        <f>IFERROR(__xludf.DUMMYFUNCTION("""COMPUTED_VALUE"""),1761.0)</f>
        <v>1761</v>
      </c>
      <c r="E138" s="528" t="str">
        <f>IFERROR(__xludf.DUMMYFUNCTION("""COMPUTED_VALUE"""),"Татьяна Денисова")</f>
        <v>Татьяна Денисова</v>
      </c>
      <c r="F138" s="535" t="str">
        <f>IFERROR(__xludf.DUMMYFUNCTION("""COMPUTED_VALUE"""),"Новая")</f>
        <v>Новая</v>
      </c>
      <c r="G138" s="536" t="str">
        <f>IFERROR(__xludf.DUMMYFUNCTION("""COMPUTED_VALUE"""),"27*200")</f>
        <v>27*200</v>
      </c>
      <c r="H138" s="338" t="str">
        <f>IFERROR(__xludf.DUMMYFUNCTION("""COMPUTED_VALUE"""),"Флексопечать")</f>
        <v>Флексопечать</v>
      </c>
      <c r="I138" s="338" t="str">
        <f>IFERROR(__xludf.DUMMYFUNCTION("""COMPUTED_VALUE"""),"Wg-450")</f>
        <v>Wg-450</v>
      </c>
      <c r="J138" s="536">
        <f>IFERROR(__xludf.DUMMYFUNCTION("""COMPUTED_VALUE"""),10000.0)</f>
        <v>10000</v>
      </c>
      <c r="K138" s="537">
        <f>IFERROR(__xludf.DUMMYFUNCTION("""COMPUTED_VALUE"""),46126.0)</f>
        <v>46126</v>
      </c>
      <c r="L138" s="537"/>
      <c r="M138" s="338" t="str">
        <f>IFERROR(__xludf.DUMMYFUNCTION("""COMPUTED_VALUE"""),"Пленка PP белая акрил")</f>
        <v>Пленка PP белая акрил</v>
      </c>
      <c r="N138" s="338" t="str">
        <f>IFERROR(__xludf.DUMMYFUNCTION("""COMPUTED_VALUE"""),"Отгружен")</f>
        <v>Отгружен</v>
      </c>
      <c r="O138" s="537"/>
      <c r="P138" s="338" t="str">
        <f>IFERROR(__xludf.DUMMYFUNCTION("""COMPUTED_VALUE"""),"Приладка заказа как и всегда в раб дни с 8:30 до 17:30. Упаковать бобины в стрейч и коробки")</f>
        <v>Приладка заказа как и всегда в раб дни с 8:30 до 17:30. Упаковать бобины в стрейч и коробки</v>
      </c>
      <c r="Q138" s="338" t="str">
        <f>IFERROR(__xludf.DUMMYFUNCTION("""COMPUTED_VALUE"""),"Сама заказываю ТК")</f>
        <v>Сама заказываю ТК</v>
      </c>
      <c r="R138" s="338"/>
      <c r="S138" s="338"/>
      <c r="T138" s="338"/>
      <c r="U138" s="338"/>
      <c r="V138" s="338"/>
      <c r="W138" s="338"/>
      <c r="X138" s="338"/>
      <c r="Y138" s="338"/>
      <c r="Z138" s="338"/>
    </row>
    <row r="139" ht="22.5" customHeight="1">
      <c r="A139" s="528" t="str">
        <f>IFERROR(__xludf.DUMMYFUNCTION("""COMPUTED_VALUE"""),"ООО""ФэрельГам""")</f>
        <v>ООО"ФэрельГам"</v>
      </c>
      <c r="B139" s="528"/>
      <c r="C139" s="528" t="str">
        <f>IFERROR(__xludf.DUMMYFUNCTION("""COMPUTED_VALUE"""),"470437 Огурцы соленые по-старорусски 800 г этик.")</f>
        <v>470437 Огурцы соленые по-старорусски 800 г этик.</v>
      </c>
      <c r="D139" s="528">
        <f>IFERROR(__xludf.DUMMYFUNCTION("""COMPUTED_VALUE"""),1762.0)</f>
        <v>1762</v>
      </c>
      <c r="E139" s="528" t="str">
        <f>IFERROR(__xludf.DUMMYFUNCTION("""COMPUTED_VALUE"""),"Баранов Александр")</f>
        <v>Баранов Александр</v>
      </c>
      <c r="F139" s="535" t="str">
        <f>IFERROR(__xludf.DUMMYFUNCTION("""COMPUTED_VALUE"""),"Новая")</f>
        <v>Новая</v>
      </c>
      <c r="G139" s="536" t="str">
        <f>IFERROR(__xludf.DUMMYFUNCTION("""COMPUTED_VALUE"""),"д100")</f>
        <v>д100</v>
      </c>
      <c r="H139" s="338" t="str">
        <f>IFERROR(__xludf.DUMMYFUNCTION("""COMPUTED_VALUE"""),"Флексопечать")</f>
        <v>Флексопечать</v>
      </c>
      <c r="I139" s="338" t="str">
        <f>IFERROR(__xludf.DUMMYFUNCTION("""COMPUTED_VALUE"""),"Wg-450")</f>
        <v>Wg-450</v>
      </c>
      <c r="J139" s="536">
        <f>IFERROR(__xludf.DUMMYFUNCTION("""COMPUTED_VALUE"""),10000.0)</f>
        <v>10000</v>
      </c>
      <c r="K139" s="537">
        <f>IFERROR(__xludf.DUMMYFUNCTION("""COMPUTED_VALUE"""),46121.0)</f>
        <v>46121</v>
      </c>
      <c r="L139" s="537"/>
      <c r="M139" s="338" t="str">
        <f>IFERROR(__xludf.DUMMYFUNCTION("""COMPUTED_VALUE"""),"Пленка PP белая каучук")</f>
        <v>Пленка PP белая каучук</v>
      </c>
      <c r="N139" s="338" t="str">
        <f>IFERROR(__xludf.DUMMYFUNCTION("""COMPUTED_VALUE"""),"Отгружен")</f>
        <v>Отгружен</v>
      </c>
      <c r="O139" s="537"/>
      <c r="P139" s="338" t="str">
        <f>IFERROR(__xludf.DUMMYFUNCTION("""COMPUTED_VALUE"""),"СОГЛАСОВАН")</f>
        <v>СОГЛАСОВАН</v>
      </c>
      <c r="Q139" s="338"/>
      <c r="R139" s="338"/>
      <c r="S139" s="338"/>
      <c r="T139" s="338"/>
      <c r="U139" s="338"/>
      <c r="V139" s="338"/>
      <c r="W139" s="338"/>
      <c r="X139" s="338"/>
      <c r="Y139" s="338"/>
      <c r="Z139" s="338"/>
    </row>
    <row r="140" ht="22.5" customHeight="1">
      <c r="A140" s="528" t="str">
        <f>IFERROR(__xludf.DUMMYFUNCTION("""COMPUTED_VALUE"""),"А2")</f>
        <v>А2</v>
      </c>
      <c r="B140" s="528"/>
      <c r="C140" s="528" t="str">
        <f>IFERROR(__xludf.DUMMYFUNCTION("""COMPUTED_VALUE"""),"Этикетка М83")</f>
        <v>Этикетка М83</v>
      </c>
      <c r="D140" s="528">
        <f>IFERROR(__xludf.DUMMYFUNCTION("""COMPUTED_VALUE"""),1763.0)</f>
        <v>1763</v>
      </c>
      <c r="E140" s="528" t="str">
        <f>IFERROR(__xludf.DUMMYFUNCTION("""COMPUTED_VALUE"""),"Шаповалова Юлия")</f>
        <v>Шаповалова Юлия</v>
      </c>
      <c r="F140" s="535" t="str">
        <f>IFERROR(__xludf.DUMMYFUNCTION("""COMPUTED_VALUE"""),"Новая")</f>
        <v>Новая</v>
      </c>
      <c r="G140" s="536" t="str">
        <f>IFERROR(__xludf.DUMMYFUNCTION("""COMPUTED_VALUE"""),"110*202.5")</f>
        <v>110*202.5</v>
      </c>
      <c r="H140" s="338" t="str">
        <f>IFERROR(__xludf.DUMMYFUNCTION("""COMPUTED_VALUE"""),"Флексопечать")</f>
        <v>Флексопечать</v>
      </c>
      <c r="I140" s="338" t="str">
        <f>IFERROR(__xludf.DUMMYFUNCTION("""COMPUTED_VALUE"""),"Bg-330")</f>
        <v>Bg-330</v>
      </c>
      <c r="J140" s="536">
        <f>IFERROR(__xludf.DUMMYFUNCTION("""COMPUTED_VALUE"""),10000.0)</f>
        <v>10000</v>
      </c>
      <c r="K140" s="537">
        <f>IFERROR(__xludf.DUMMYFUNCTION("""COMPUTED_VALUE"""),46127.0)</f>
        <v>46127</v>
      </c>
      <c r="L140" s="537"/>
      <c r="M140" s="338" t="str">
        <f>IFERROR(__xludf.DUMMYFUNCTION("""COMPUTED_VALUE"""),"Бумага полуглянец акрил")</f>
        <v>Бумага полуглянец акрил</v>
      </c>
      <c r="N140" s="338" t="str">
        <f>IFERROR(__xludf.DUMMYFUNCTION("""COMPUTED_VALUE"""),"Отгружен")</f>
        <v>Отгружен</v>
      </c>
      <c r="O140" s="537"/>
      <c r="P140" s="338"/>
      <c r="Q140" s="338" t="str">
        <f>IFERROR(__xludf.DUMMYFUNCTION("""COMPUTED_VALUE"""),"Самовывоз")</f>
        <v>Самовывоз</v>
      </c>
      <c r="R140" s="338"/>
      <c r="S140" s="338"/>
      <c r="T140" s="338"/>
      <c r="U140" s="338"/>
      <c r="V140" s="338"/>
      <c r="W140" s="338"/>
      <c r="X140" s="338"/>
      <c r="Y140" s="338"/>
      <c r="Z140" s="338"/>
    </row>
    <row r="141" ht="22.5" customHeight="1">
      <c r="A141" s="528" t="str">
        <f>IFERROR(__xludf.DUMMYFUNCTION("""COMPUTED_VALUE"""),"Калье")</f>
        <v>Калье</v>
      </c>
      <c r="B141" s="528"/>
      <c r="C141" s="528" t="str">
        <f>IFERROR(__xludf.DUMMYFUNCTION("""COMPUTED_VALUE"""),"Мультифункциональный спрей Prof Adri K-Mist ADRICOCO, 200 мл")</f>
        <v>Мультифункциональный спрей Prof Adri K-Mist ADRICOCO, 200 мл</v>
      </c>
      <c r="D141" s="528">
        <f>IFERROR(__xludf.DUMMYFUNCTION("""COMPUTED_VALUE"""),1595.0)</f>
        <v>1595</v>
      </c>
      <c r="E141" s="528" t="str">
        <f>IFERROR(__xludf.DUMMYFUNCTION("""COMPUTED_VALUE"""),"Татьяна Денисова")</f>
        <v>Татьяна Денисова</v>
      </c>
      <c r="F141" s="535" t="str">
        <f>IFERROR(__xludf.DUMMYFUNCTION("""COMPUTED_VALUE"""),"Повтор с изменениями")</f>
        <v>Повтор с изменениями</v>
      </c>
      <c r="G141" s="536" t="str">
        <f>IFERROR(__xludf.DUMMYFUNCTION("""COMPUTED_VALUE"""),"112*145")</f>
        <v>112*145</v>
      </c>
      <c r="H141" s="338" t="str">
        <f>IFERROR(__xludf.DUMMYFUNCTION("""COMPUTED_VALUE"""),"Флексопечать")</f>
        <v>Флексопечать</v>
      </c>
      <c r="I141" s="338" t="str">
        <f>IFERROR(__xludf.DUMMYFUNCTION("""COMPUTED_VALUE"""),"Bg-330")</f>
        <v>Bg-330</v>
      </c>
      <c r="J141" s="536">
        <f>IFERROR(__xludf.DUMMYFUNCTION("""COMPUTED_VALUE"""),10000.0)</f>
        <v>10000</v>
      </c>
      <c r="K141" s="537">
        <f>IFERROR(__xludf.DUMMYFUNCTION("""COMPUTED_VALUE"""),46125.0)</f>
        <v>46125</v>
      </c>
      <c r="L141" s="537"/>
      <c r="M141" s="338" t="str">
        <f>IFERROR(__xludf.DUMMYFUNCTION("""COMPUTED_VALUE"""),"Пленка PP белая акрил")</f>
        <v>Пленка PP белая акрил</v>
      </c>
      <c r="N141" s="338" t="str">
        <f>IFERROR(__xludf.DUMMYFUNCTION("""COMPUTED_VALUE"""),"Отгружен")</f>
        <v>Отгружен</v>
      </c>
      <c r="O141" s="537"/>
      <c r="P141" s="338" t="str">
        <f>IFERROR(__xludf.DUMMYFUNCTION("""COMPUTED_VALUE"""),"Приладка в раб дни как обычно. Подгон цвета этикетки в цвет флакона (темно-коричневый маленький флакон на производстве). Упаковка бобин в стрейч и коробки")</f>
        <v>Приладка в раб дни как обычно. Подгон цвета этикетки в цвет флакона (темно-коричневый маленький флакон на производстве). Упаковка бобин в стрейч и коробки</v>
      </c>
      <c r="Q141" s="338" t="str">
        <f>IFERROR(__xludf.DUMMYFUNCTION("""COMPUTED_VALUE"""),"Сама ТК заказываю")</f>
        <v>Сама ТК заказываю</v>
      </c>
      <c r="R141" s="338"/>
      <c r="S141" s="338"/>
      <c r="T141" s="338"/>
      <c r="U141" s="338"/>
      <c r="V141" s="338"/>
      <c r="W141" s="338"/>
      <c r="X141" s="338"/>
      <c r="Y141" s="338"/>
      <c r="Z141" s="338"/>
    </row>
    <row r="142" ht="22.5" customHeight="1">
      <c r="A142" s="528" t="str">
        <f>IFERROR(__xludf.DUMMYFUNCTION("""COMPUTED_VALUE"""),"RePart")</f>
        <v>RePart</v>
      </c>
      <c r="B142" s="528"/>
      <c r="C142" s="528" t="str">
        <f>IFERROR(__xludf.DUMMYFUNCTION("""COMPUTED_VALUE"""),"Лого Repart синий")</f>
        <v>Лого Repart синий</v>
      </c>
      <c r="D142" s="528">
        <f>IFERROR(__xludf.DUMMYFUNCTION("""COMPUTED_VALUE"""),1586.0)</f>
        <v>1586</v>
      </c>
      <c r="E142" s="528" t="str">
        <f>IFERROR(__xludf.DUMMYFUNCTION("""COMPUTED_VALUE"""),"Татьяна Денисова")</f>
        <v>Татьяна Денисова</v>
      </c>
      <c r="F142" s="535" t="str">
        <f>IFERROR(__xludf.DUMMYFUNCTION("""COMPUTED_VALUE"""),"Повтор")</f>
        <v>Повтор</v>
      </c>
      <c r="G142" s="536" t="str">
        <f>IFERROR(__xludf.DUMMYFUNCTION("""COMPUTED_VALUE"""),"58*40")</f>
        <v>58*40</v>
      </c>
      <c r="H142" s="338" t="str">
        <f>IFERROR(__xludf.DUMMYFUNCTION("""COMPUTED_VALUE"""),"Флексопечать")</f>
        <v>Флексопечать</v>
      </c>
      <c r="I142" s="338" t="str">
        <f>IFERROR(__xludf.DUMMYFUNCTION("""COMPUTED_VALUE"""),"G-200")</f>
        <v>G-200</v>
      </c>
      <c r="J142" s="536">
        <f>IFERROR(__xludf.DUMMYFUNCTION("""COMPUTED_VALUE"""),20000.0)</f>
        <v>20000</v>
      </c>
      <c r="K142" s="537">
        <f>IFERROR(__xludf.DUMMYFUNCTION("""COMPUTED_VALUE"""),46125.0)</f>
        <v>46125</v>
      </c>
      <c r="L142" s="537"/>
      <c r="M142" s="338" t="str">
        <f>IFERROR(__xludf.DUMMYFUNCTION("""COMPUTED_VALUE"""),"Бумага полуглянец акрил")</f>
        <v>Бумага полуглянец акрил</v>
      </c>
      <c r="N142" s="338" t="str">
        <f>IFERROR(__xludf.DUMMYFUNCTION("""COMPUTED_VALUE"""),"Отгружен")</f>
        <v>Отгружен</v>
      </c>
      <c r="O142" s="537"/>
      <c r="P142" s="338" t="str">
        <f>IFERROR(__xludf.DUMMYFUNCTION("""COMPUTED_VALUE"""),"Желательно цвет подогнать примерно к прошлому запуску на цифре по смук")</f>
        <v>Желательно цвет подогнать примерно к прошлому запуску на цифре по смук</v>
      </c>
      <c r="Q142" s="338" t="str">
        <f>IFERROR(__xludf.DUMMYFUNCTION("""COMPUTED_VALUE"""),"Автомобильный проезд 10с14, 89250465031 Эдуард (схема проезда в почте) ")</f>
        <v>Автомобильный проезд 10с14, 89250465031 Эдуард (схема проезда в почте) </v>
      </c>
      <c r="R142" s="338"/>
      <c r="S142" s="338"/>
      <c r="T142" s="338"/>
      <c r="U142" s="338"/>
      <c r="V142" s="338"/>
      <c r="W142" s="338"/>
      <c r="X142" s="338"/>
      <c r="Y142" s="338"/>
      <c r="Z142" s="338"/>
    </row>
    <row r="143" ht="22.5" customHeight="1">
      <c r="A143" s="528" t="str">
        <f>IFERROR(__xludf.DUMMYFUNCTION("""COMPUTED_VALUE"""),"А2")</f>
        <v>А2</v>
      </c>
      <c r="B143" s="528"/>
      <c r="C143" s="528" t="str">
        <f>IFERROR(__xludf.DUMMYFUNCTION("""COMPUTED_VALUE"""),"Этикетка Дым Штурм")</f>
        <v>Этикетка Дым Штурм</v>
      </c>
      <c r="D143" s="528">
        <f>IFERROR(__xludf.DUMMYFUNCTION("""COMPUTED_VALUE"""),1764.0)</f>
        <v>1764</v>
      </c>
      <c r="E143" s="528" t="str">
        <f>IFERROR(__xludf.DUMMYFUNCTION("""COMPUTED_VALUE"""),"Шаповалова Юлия")</f>
        <v>Шаповалова Юлия</v>
      </c>
      <c r="F143" s="535" t="str">
        <f>IFERROR(__xludf.DUMMYFUNCTION("""COMPUTED_VALUE"""),"Новая")</f>
        <v>Новая</v>
      </c>
      <c r="G143" s="536" t="str">
        <f>IFERROR(__xludf.DUMMYFUNCTION("""COMPUTED_VALUE"""),"99*142")</f>
        <v>99*142</v>
      </c>
      <c r="H143" s="338" t="str">
        <f>IFERROR(__xludf.DUMMYFUNCTION("""COMPUTED_VALUE"""),"Флексопечать")</f>
        <v>Флексопечать</v>
      </c>
      <c r="I143" s="338" t="str">
        <f>IFERROR(__xludf.DUMMYFUNCTION("""COMPUTED_VALUE"""),"Bg-330")</f>
        <v>Bg-330</v>
      </c>
      <c r="J143" s="536">
        <f>IFERROR(__xludf.DUMMYFUNCTION("""COMPUTED_VALUE"""),20000.0)</f>
        <v>20000</v>
      </c>
      <c r="K143" s="537">
        <f>IFERROR(__xludf.DUMMYFUNCTION("""COMPUTED_VALUE"""),46127.0)</f>
        <v>46127</v>
      </c>
      <c r="L143" s="537"/>
      <c r="M143" s="338" t="str">
        <f>IFERROR(__xludf.DUMMYFUNCTION("""COMPUTED_VALUE"""),"Бумага полуглянец акрил")</f>
        <v>Бумага полуглянец акрил</v>
      </c>
      <c r="N143" s="338" t="str">
        <f>IFERROR(__xludf.DUMMYFUNCTION("""COMPUTED_VALUE"""),"Отгружен")</f>
        <v>Отгружен</v>
      </c>
      <c r="O143" s="537"/>
      <c r="P143" s="338"/>
      <c r="Q143" s="338" t="str">
        <f>IFERROR(__xludf.DUMMYFUNCTION("""COMPUTED_VALUE"""),"Самовывоз")</f>
        <v>Самовывоз</v>
      </c>
      <c r="R143" s="338"/>
      <c r="S143" s="338"/>
      <c r="T143" s="338"/>
      <c r="U143" s="338"/>
      <c r="V143" s="338"/>
      <c r="W143" s="338"/>
      <c r="X143" s="338"/>
      <c r="Y143" s="338"/>
      <c r="Z143" s="338"/>
    </row>
    <row r="144" ht="22.5" customHeight="1">
      <c r="A144" s="528" t="str">
        <f>IFERROR(__xludf.DUMMYFUNCTION("""COMPUTED_VALUE"""),"РЗК Ресурс")</f>
        <v>РЗК Ресурс</v>
      </c>
      <c r="B144" s="528"/>
      <c r="C144" s="528" t="str">
        <f>IFERROR(__xludf.DUMMYFUNCTION("""COMPUTED_VALUE"""),"АН-НУР Баранина")</f>
        <v>АН-НУР Баранина</v>
      </c>
      <c r="D144" s="528">
        <f>IFERROR(__xludf.DUMMYFUNCTION("""COMPUTED_VALUE"""),1765.0)</f>
        <v>1765</v>
      </c>
      <c r="E144" s="528" t="str">
        <f>IFERROR(__xludf.DUMMYFUNCTION("""COMPUTED_VALUE"""),"Шаповалова Юлия")</f>
        <v>Шаповалова Юлия</v>
      </c>
      <c r="F144" s="535" t="str">
        <f>IFERROR(__xludf.DUMMYFUNCTION("""COMPUTED_VALUE"""),"ТЕСТ")</f>
        <v>ТЕСТ</v>
      </c>
      <c r="G144" s="536" t="str">
        <f>IFERROR(__xludf.DUMMYFUNCTION("""COMPUTED_VALUE"""),"80*140")</f>
        <v>80*140</v>
      </c>
      <c r="H144" s="338" t="str">
        <f>IFERROR(__xludf.DUMMYFUNCTION("""COMPUTED_VALUE"""),"Флексопечать")</f>
        <v>Флексопечать</v>
      </c>
      <c r="I144" s="338" t="str">
        <f>IFERROR(__xludf.DUMMYFUNCTION("""COMPUTED_VALUE"""),"Wg-450")</f>
        <v>Wg-450</v>
      </c>
      <c r="J144" s="536">
        <f>IFERROR(__xludf.DUMMYFUNCTION("""COMPUTED_VALUE"""),450.0)</f>
        <v>450</v>
      </c>
      <c r="K144" s="537">
        <f>IFERROR(__xludf.DUMMYFUNCTION("""COMPUTED_VALUE"""),46128.0)</f>
        <v>46128</v>
      </c>
      <c r="L144" s="537"/>
      <c r="M144" s="338" t="str">
        <f>IFERROR(__xludf.DUMMYFUNCTION("""COMPUTED_VALUE"""),"Пленка PP белая каучук")</f>
        <v>Пленка PP белая каучук</v>
      </c>
      <c r="N144" s="338" t="str">
        <f>IFERROR(__xludf.DUMMYFUNCTION("""COMPUTED_VALUE"""),"Отгружен")</f>
        <v>Отгружен</v>
      </c>
      <c r="O144" s="537"/>
      <c r="P144" s="338" t="str">
        <f>IFERROR(__xludf.DUMMYFUNCTION("""COMPUTED_VALUE"""),"паспорт качества")</f>
        <v>паспорт качества</v>
      </c>
      <c r="Q144" s="338" t="str">
        <f>IFERROR(__xludf.DUMMYFUNCTION("""COMPUTED_VALUE"""),"ООО «РЗК Ресурс» ОП Белокалитвинское, 347041, Ростовская область, р-н Белокалитвинский, г. Белая Калитва, ул. Л.Толстого, дом № 30, РЗК Ресурс. КПП614245002; Михайлова Наталья 7 (908) 519-42-42 (по пятницам, субботам и воскресеньям склад не работает)")</f>
        <v>ООО «РЗК Ресурс» ОП Белокалитвинское, 347041, Ростовская область, р-н Белокалитвинский, г. Белая Калитва, ул. Л.Толстого, дом № 30, РЗК Ресурс. КПП614245002; Михайлова Наталья 7 (908) 519-42-42 (по пятницам, субботам и воскресеньям склад не работает)</v>
      </c>
      <c r="R144" s="338"/>
      <c r="S144" s="338"/>
      <c r="T144" s="338"/>
      <c r="U144" s="338"/>
      <c r="V144" s="338"/>
      <c r="W144" s="338"/>
      <c r="X144" s="338"/>
      <c r="Y144" s="338"/>
      <c r="Z144" s="338"/>
    </row>
    <row r="145" ht="22.5" customHeight="1">
      <c r="A145" s="528" t="str">
        <f>IFERROR(__xludf.DUMMYFUNCTION("""COMPUTED_VALUE"""),"ООО""ФэрельГам""")</f>
        <v>ООО"ФэрельГам"</v>
      </c>
      <c r="B145" s="528"/>
      <c r="C145" s="528" t="str">
        <f>IFERROR(__xludf.DUMMYFUNCTION("""COMPUTED_VALUE"""),"470844 Капуста квашеная с морковью и клюквой 500 г (Green vitamin) этик.")</f>
        <v>470844 Капуста квашеная с морковью и клюквой 500 г (Green vitamin) этик.</v>
      </c>
      <c r="D145" s="528">
        <f>IFERROR(__xludf.DUMMYFUNCTION("""COMPUTED_VALUE"""),1766.0)</f>
        <v>1766</v>
      </c>
      <c r="E145" s="528" t="str">
        <f>IFERROR(__xludf.DUMMYFUNCTION("""COMPUTED_VALUE"""),"Баранов Александр")</f>
        <v>Баранов Александр</v>
      </c>
      <c r="F145" s="535" t="str">
        <f>IFERROR(__xludf.DUMMYFUNCTION("""COMPUTED_VALUE"""),"Новая")</f>
        <v>Новая</v>
      </c>
      <c r="G145" s="536" t="str">
        <f>IFERROR(__xludf.DUMMYFUNCTION("""COMPUTED_VALUE"""),"д110")</f>
        <v>д110</v>
      </c>
      <c r="H145" s="338" t="str">
        <f>IFERROR(__xludf.DUMMYFUNCTION("""COMPUTED_VALUE"""),"Флексопечать")</f>
        <v>Флексопечать</v>
      </c>
      <c r="I145" s="338" t="str">
        <f>IFERROR(__xludf.DUMMYFUNCTION("""COMPUTED_VALUE"""),"Wg-450")</f>
        <v>Wg-450</v>
      </c>
      <c r="J145" s="536">
        <f>IFERROR(__xludf.DUMMYFUNCTION("""COMPUTED_VALUE"""),40000.0)</f>
        <v>40000</v>
      </c>
      <c r="K145" s="537">
        <f>IFERROR(__xludf.DUMMYFUNCTION("""COMPUTED_VALUE"""),46122.0)</f>
        <v>46122</v>
      </c>
      <c r="L145" s="537"/>
      <c r="M145" s="338" t="str">
        <f>IFERROR(__xludf.DUMMYFUNCTION("""COMPUTED_VALUE"""),"Пленка PP белая каучук")</f>
        <v>Пленка PP белая каучук</v>
      </c>
      <c r="N145" s="338" t="str">
        <f>IFERROR(__xludf.DUMMYFUNCTION("""COMPUTED_VALUE"""),"Отгружен")</f>
        <v>Отгружен</v>
      </c>
      <c r="O145" s="537"/>
      <c r="P145" s="338" t="str">
        <f>IFERROR(__xludf.DUMMYFUNCTION("""COMPUTED_VALUE"""),"СОГЛАСОВАН")</f>
        <v>СОГЛАСОВАН</v>
      </c>
      <c r="Q145" s="338"/>
      <c r="R145" s="338"/>
      <c r="S145" s="338"/>
      <c r="T145" s="338"/>
      <c r="U145" s="338"/>
      <c r="V145" s="338"/>
      <c r="W145" s="338"/>
      <c r="X145" s="338"/>
      <c r="Y145" s="338"/>
      <c r="Z145" s="338"/>
    </row>
    <row r="146" ht="22.5" customHeight="1">
      <c r="A146" s="528" t="str">
        <f>IFERROR(__xludf.DUMMYFUNCTION("""COMPUTED_VALUE"""),"ООО""ФэрельГам""")</f>
        <v>ООО"ФэрельГам"</v>
      </c>
      <c r="B146" s="528"/>
      <c r="C146" s="528" t="str">
        <f>IFERROR(__xludf.DUMMYFUNCTION("""COMPUTED_VALUE"""),"470736 Чизолини Косичка сыр ассорти 40 г 20*20 этик.")</f>
        <v>470736 Чизолини Косичка сыр ассорти 40 г 20*20 этик.</v>
      </c>
      <c r="D146" s="528">
        <f>IFERROR(__xludf.DUMMYFUNCTION("""COMPUTED_VALUE"""),1767.0)</f>
        <v>1767</v>
      </c>
      <c r="E146" s="528" t="str">
        <f>IFERROR(__xludf.DUMMYFUNCTION("""COMPUTED_VALUE"""),"Баранов Александр")</f>
        <v>Баранов Александр</v>
      </c>
      <c r="F146" s="535" t="str">
        <f>IFERROR(__xludf.DUMMYFUNCTION("""COMPUTED_VALUE"""),"Новая")</f>
        <v>Новая</v>
      </c>
      <c r="G146" s="536" t="str">
        <f>IFERROR(__xludf.DUMMYFUNCTION("""COMPUTED_VALUE"""),"55*75")</f>
        <v>55*75</v>
      </c>
      <c r="H146" s="338" t="str">
        <f>IFERROR(__xludf.DUMMYFUNCTION("""COMPUTED_VALUE"""),"Флексопечать")</f>
        <v>Флексопечать</v>
      </c>
      <c r="I146" s="338" t="str">
        <f>IFERROR(__xludf.DUMMYFUNCTION("""COMPUTED_VALUE"""),"Wg-450")</f>
        <v>Wg-450</v>
      </c>
      <c r="J146" s="536">
        <f>IFERROR(__xludf.DUMMYFUNCTION("""COMPUTED_VALUE"""),20000.0)</f>
        <v>20000</v>
      </c>
      <c r="K146" s="537">
        <f>IFERROR(__xludf.DUMMYFUNCTION("""COMPUTED_VALUE"""),46127.0)</f>
        <v>46127</v>
      </c>
      <c r="L146" s="537"/>
      <c r="M146" s="338" t="str">
        <f>IFERROR(__xludf.DUMMYFUNCTION("""COMPUTED_VALUE"""),"Пленка PP белая акрил")</f>
        <v>Пленка PP белая акрил</v>
      </c>
      <c r="N146" s="338" t="str">
        <f>IFERROR(__xludf.DUMMYFUNCTION("""COMPUTED_VALUE"""),"Отгружен")</f>
        <v>Отгружен</v>
      </c>
      <c r="O146" s="537"/>
      <c r="P146" s="338"/>
      <c r="Q146" s="338"/>
      <c r="R146" s="338"/>
      <c r="S146" s="338"/>
      <c r="T146" s="338"/>
      <c r="U146" s="338"/>
      <c r="V146" s="338"/>
      <c r="W146" s="338"/>
      <c r="X146" s="338"/>
      <c r="Y146" s="338"/>
      <c r="Z146" s="338"/>
    </row>
    <row r="147" ht="22.5" customHeight="1">
      <c r="A147" s="528" t="str">
        <f>IFERROR(__xludf.DUMMYFUNCTION("""COMPUTED_VALUE"""),"Кофемания")</f>
        <v>Кофемания</v>
      </c>
      <c r="B147" s="528"/>
      <c r="C147" s="528" t="str">
        <f>IFERROR(__xludf.DUMMYFUNCTION("""COMPUTED_VALUE"""),"Пломба Моя Кофемания")</f>
        <v>Пломба Моя Кофемания</v>
      </c>
      <c r="D147" s="528">
        <f>IFERROR(__xludf.DUMMYFUNCTION("""COMPUTED_VALUE"""),1789.0)</f>
        <v>1789</v>
      </c>
      <c r="E147" s="528" t="str">
        <f>IFERROR(__xludf.DUMMYFUNCTION("""COMPUTED_VALUE"""),"Шаповалова Юлия")</f>
        <v>Шаповалова Юлия</v>
      </c>
      <c r="F147" s="535" t="str">
        <f>IFERROR(__xludf.DUMMYFUNCTION("""COMPUTED_VALUE"""),"Новая")</f>
        <v>Новая</v>
      </c>
      <c r="G147" s="536" t="str">
        <f>IFERROR(__xludf.DUMMYFUNCTION("""COMPUTED_VALUE"""),"13*50")</f>
        <v>13*50</v>
      </c>
      <c r="H147" s="338" t="str">
        <f>IFERROR(__xludf.DUMMYFUNCTION("""COMPUTED_VALUE"""),"Флексопечать")</f>
        <v>Флексопечать</v>
      </c>
      <c r="I147" s="338" t="str">
        <f>IFERROR(__xludf.DUMMYFUNCTION("""COMPUTED_VALUE"""),"G-160")</f>
        <v>G-160</v>
      </c>
      <c r="J147" s="536">
        <f>IFERROR(__xludf.DUMMYFUNCTION("""COMPUTED_VALUE"""),100000.0)</f>
        <v>100000</v>
      </c>
      <c r="K147" s="537">
        <f>IFERROR(__xludf.DUMMYFUNCTION("""COMPUTED_VALUE"""),46129.0)</f>
        <v>46129</v>
      </c>
      <c r="L147" s="537"/>
      <c r="M147" s="338" t="str">
        <f>IFERROR(__xludf.DUMMYFUNCTION("""COMPUTED_VALUE"""),"Пленка PP белая акрил")</f>
        <v>Пленка PP белая акрил</v>
      </c>
      <c r="N147" s="338" t="str">
        <f>IFERROR(__xludf.DUMMYFUNCTION("""COMPUTED_VALUE"""),"Отгружен")</f>
        <v>Отгружен</v>
      </c>
      <c r="O147" s="537"/>
      <c r="P147" s="338" t="str">
        <f>IFERROR(__xludf.DUMMYFUNCTION("""COMPUTED_VALUE"""),"Печать по образцу. Упаковка по юр. лицам, по 2 шт. в пленке с ШК, скину на почту")</f>
        <v>Печать по образцу. Упаковка по юр. лицам, по 2 шт. в пленке с ШК, скину на почту</v>
      </c>
      <c r="Q147" s="338" t="str">
        <f>IFERROR(__xludf.DUMMYFUNCTION("""COMPUTED_VALUE"""),"г. Москва, 63-й км. МКАД, р-н Строгино, ул. Маршала Прошлякова, д. 26, корп. 3, стр. 6. тел.+7(926) 554-87-33 Екатерина с 9.00 до 16.00")</f>
        <v>г. Москва, 63-й км. МКАД, р-н Строгино, ул. Маршала Прошлякова, д. 26, корп. 3, стр. 6. тел.+7(926) 554-87-33 Екатерина с 9.00 до 16.00</v>
      </c>
      <c r="R147" s="338"/>
      <c r="S147" s="338"/>
      <c r="T147" s="338"/>
      <c r="U147" s="338"/>
      <c r="V147" s="338"/>
      <c r="W147" s="338"/>
      <c r="X147" s="338"/>
      <c r="Y147" s="338"/>
      <c r="Z147" s="338"/>
    </row>
    <row r="148" ht="22.5" customHeight="1">
      <c r="A148" s="528" t="str">
        <f>IFERROR(__xludf.DUMMYFUNCTION("""COMPUTED_VALUE"""),"ЭЛКА")</f>
        <v>ЭЛКА</v>
      </c>
      <c r="B148" s="528"/>
      <c r="C148" s="528" t="str">
        <f>IFERROR(__xludf.DUMMYFUNCTION("""COMPUTED_VALUE"""),"Шланг соединительный VAXT 1-2_2 м_1-2")</f>
        <v>Шланг соединительный VAXT 1-2_2 м_1-2</v>
      </c>
      <c r="D148" s="528">
        <f>IFERROR(__xludf.DUMMYFUNCTION("""COMPUTED_VALUE"""),1798.0)</f>
        <v>1798</v>
      </c>
      <c r="E148" s="528" t="str">
        <f>IFERROR(__xludf.DUMMYFUNCTION("""COMPUTED_VALUE"""),"Баранов Александр")</f>
        <v>Баранов Александр</v>
      </c>
      <c r="F148" s="535" t="str">
        <f>IFERROR(__xludf.DUMMYFUNCTION("""COMPUTED_VALUE"""),"Повтор")</f>
        <v>Повтор</v>
      </c>
      <c r="G148" s="536" t="str">
        <f>IFERROR(__xludf.DUMMYFUNCTION("""COMPUTED_VALUE"""),"76*126")</f>
        <v>76*126</v>
      </c>
      <c r="H148" s="338" t="str">
        <f>IFERROR(__xludf.DUMMYFUNCTION("""COMPUTED_VALUE"""),"Цифра+Лазер")</f>
        <v>Цифра+Лазер</v>
      </c>
      <c r="I148" s="338" t="str">
        <f>IFERROR(__xludf.DUMMYFUNCTION("""COMPUTED_VALUE"""),"LS(ЦПМ)")</f>
        <v>LS(ЦПМ)</v>
      </c>
      <c r="J148" s="536">
        <f>IFERROR(__xludf.DUMMYFUNCTION("""COMPUTED_VALUE"""),2000.0)</f>
        <v>2000</v>
      </c>
      <c r="K148" s="537">
        <f>IFERROR(__xludf.DUMMYFUNCTION("""COMPUTED_VALUE"""),46132.0)</f>
        <v>46132</v>
      </c>
      <c r="L148" s="537"/>
      <c r="M148" s="338" t="str">
        <f>IFERROR(__xludf.DUMMYFUNCTION("""COMPUTED_VALUE"""),"Бумага полуглянец каучук")</f>
        <v>Бумага полуглянец каучук</v>
      </c>
      <c r="N148" s="338" t="str">
        <f>IFERROR(__xludf.DUMMYFUNCTION("""COMPUTED_VALUE"""),"Отгружен")</f>
        <v>Отгружен</v>
      </c>
      <c r="O148" s="537"/>
      <c r="P148" s="338"/>
      <c r="Q148" s="338"/>
      <c r="R148" s="338"/>
      <c r="S148" s="338"/>
      <c r="T148" s="338"/>
      <c r="U148" s="338"/>
      <c r="V148" s="338"/>
      <c r="W148" s="338"/>
      <c r="X148" s="338"/>
      <c r="Y148" s="338"/>
      <c r="Z148" s="338"/>
    </row>
    <row r="149" ht="22.5" customHeight="1">
      <c r="A149" s="528" t="str">
        <f>IFERROR(__xludf.DUMMYFUNCTION("""COMPUTED_VALUE"""),"ЯПД")</f>
        <v>ЯПД</v>
      </c>
      <c r="B149" s="528"/>
      <c r="C149" s="528" t="str">
        <f>IFERROR(__xludf.DUMMYFUNCTION("""COMPUTED_VALUE"""),"Стикерпак Сбер кидс")</f>
        <v>Стикерпак Сбер кидс</v>
      </c>
      <c r="D149" s="528">
        <f>IFERROR(__xludf.DUMMYFUNCTION("""COMPUTED_VALUE"""),1799.0)</f>
        <v>1799</v>
      </c>
      <c r="E149" s="528" t="str">
        <f>IFERROR(__xludf.DUMMYFUNCTION("""COMPUTED_VALUE"""),"Татьяна Денисова")</f>
        <v>Татьяна Денисова</v>
      </c>
      <c r="F149" s="535" t="str">
        <f>IFERROR(__xludf.DUMMYFUNCTION("""COMPUTED_VALUE"""),"Новая")</f>
        <v>Новая</v>
      </c>
      <c r="G149" s="536" t="str">
        <f>IFERROR(__xludf.DUMMYFUNCTION("""COMPUTED_VALUE"""),"152*210")</f>
        <v>152*210</v>
      </c>
      <c r="H149" s="338" t="str">
        <f>IFERROR(__xludf.DUMMYFUNCTION("""COMPUTED_VALUE"""),"Цифра+Лазер")</f>
        <v>Цифра+Лазер</v>
      </c>
      <c r="I149" s="338" t="str">
        <f>IFERROR(__xludf.DUMMYFUNCTION("""COMPUTED_VALUE"""),"LS(ЦПМ)")</f>
        <v>LS(ЦПМ)</v>
      </c>
      <c r="J149" s="536">
        <f>IFERROR(__xludf.DUMMYFUNCTION("""COMPUTED_VALUE"""),300.0)</f>
        <v>300</v>
      </c>
      <c r="K149" s="537">
        <f>IFERROR(__xludf.DUMMYFUNCTION("""COMPUTED_VALUE"""),46132.0)</f>
        <v>46132</v>
      </c>
      <c r="L149" s="537"/>
      <c r="M149" s="338" t="str">
        <f>IFERROR(__xludf.DUMMYFUNCTION("""COMPUTED_VALUE"""),"Бумага полуглянец акрил")</f>
        <v>Бумага полуглянец акрил</v>
      </c>
      <c r="N149" s="338" t="str">
        <f>IFERROR(__xludf.DUMMYFUNCTION("""COMPUTED_VALUE"""),"Отгружен")</f>
        <v>Отгружен</v>
      </c>
      <c r="O149" s="537"/>
      <c r="P149" s="338" t="str">
        <f>IFERROR(__xludf.DUMMYFUNCTION("""COMPUTED_VALUE"""),"Маркировка!")</f>
        <v>Маркировка!</v>
      </c>
      <c r="Q149" s="338" t="str">
        <f>IFERROR(__xludf.DUMMYFUNCTION("""COMPUTED_VALUE"""),"Самовывоз")</f>
        <v>Самовывоз</v>
      </c>
      <c r="R149" s="338"/>
      <c r="S149" s="338"/>
      <c r="T149" s="338"/>
      <c r="U149" s="338"/>
      <c r="V149" s="338"/>
      <c r="W149" s="338"/>
      <c r="X149" s="338"/>
      <c r="Y149" s="338"/>
      <c r="Z149" s="338"/>
    </row>
    <row r="150" ht="22.5" customHeight="1">
      <c r="A150" s="528" t="str">
        <f>IFERROR(__xludf.DUMMYFUNCTION("""COMPUTED_VALUE"""),"ЦРТ")</f>
        <v>ЦРТ</v>
      </c>
      <c r="B150" s="528"/>
      <c r="C150" s="528" t="str">
        <f>IFERROR(__xludf.DUMMYFUNCTION("""COMPUTED_VALUE"""),"Океан 81")</f>
        <v>Океан 81</v>
      </c>
      <c r="D150" s="528">
        <f>IFERROR(__xludf.DUMMYFUNCTION("""COMPUTED_VALUE"""),1812.0)</f>
        <v>1812</v>
      </c>
      <c r="E150" s="528" t="str">
        <f>IFERROR(__xludf.DUMMYFUNCTION("""COMPUTED_VALUE"""),"Шаповалова Юлия")</f>
        <v>Шаповалова Юлия</v>
      </c>
      <c r="F150" s="535" t="str">
        <f>IFERROR(__xludf.DUMMYFUNCTION("""COMPUTED_VALUE"""),"Новая")</f>
        <v>Новая</v>
      </c>
      <c r="G150" s="536" t="str">
        <f>IFERROR(__xludf.DUMMYFUNCTION("""COMPUTED_VALUE"""),"99*144")</f>
        <v>99*144</v>
      </c>
      <c r="H150" s="338" t="str">
        <f>IFERROR(__xludf.DUMMYFUNCTION("""COMPUTED_VALUE"""),"Флексопечать")</f>
        <v>Флексопечать</v>
      </c>
      <c r="I150" s="338" t="str">
        <f>IFERROR(__xludf.DUMMYFUNCTION("""COMPUTED_VALUE"""),"G-200")</f>
        <v>G-200</v>
      </c>
      <c r="J150" s="536">
        <f>IFERROR(__xludf.DUMMYFUNCTION("""COMPUTED_VALUE"""),10000.0)</f>
        <v>10000</v>
      </c>
      <c r="K150" s="537">
        <f>IFERROR(__xludf.DUMMYFUNCTION("""COMPUTED_VALUE"""),46133.0)</f>
        <v>46133</v>
      </c>
      <c r="L150" s="537"/>
      <c r="M150" s="338" t="str">
        <f>IFERROR(__xludf.DUMMYFUNCTION("""COMPUTED_VALUE"""),"Бумага полуглянец акрил")</f>
        <v>Бумага полуглянец акрил</v>
      </c>
      <c r="N150" s="338" t="str">
        <f>IFERROR(__xludf.DUMMYFUNCTION("""COMPUTED_VALUE"""),"Отгружен")</f>
        <v>Отгружен</v>
      </c>
      <c r="O150" s="537"/>
      <c r="P150" s="338"/>
      <c r="Q150" s="338" t="str">
        <f>IFERROR(__xludf.DUMMYFUNCTION("""COMPUTED_VALUE"""),"г. Москва, ул. Ижорская д.7, территория РК «Меридиан», с 09 00 — 13 00, либо с 14 00 до 16 30
+7 926 2309217 Ольга")</f>
        <v>г. Москва, ул. Ижорская д.7, территория РК «Меридиан», с 09 00 — 13 00, либо с 14 00 до 16 30
+7 926 2309217 Ольга</v>
      </c>
      <c r="R150" s="338"/>
      <c r="S150" s="338"/>
      <c r="T150" s="338"/>
      <c r="U150" s="338"/>
      <c r="V150" s="338"/>
      <c r="W150" s="338"/>
      <c r="X150" s="338"/>
      <c r="Y150" s="338"/>
      <c r="Z150" s="338"/>
    </row>
    <row r="151" ht="22.5" customHeight="1">
      <c r="A151" s="528" t="str">
        <f>IFERROR(__xludf.DUMMYFUNCTION("""COMPUTED_VALUE"""),"Zakari")</f>
        <v>Zakari</v>
      </c>
      <c r="B151" s="528"/>
      <c r="C151" s="528" t="str">
        <f>IFERROR(__xludf.DUMMYFUNCTION("""COMPUTED_VALUE"""),"Парфюмы 6 мл и 30 мл")</f>
        <v>Парфюмы 6 мл и 30 мл</v>
      </c>
      <c r="D151" s="528" t="str">
        <f>IFERROR(__xludf.DUMMYFUNCTION("""COMPUTED_VALUE"""),"1697/1698")</f>
        <v>1697/1698</v>
      </c>
      <c r="E151" s="528" t="str">
        <f>IFERROR(__xludf.DUMMYFUNCTION("""COMPUTED_VALUE"""),"Татьяна Денисова")</f>
        <v>Татьяна Денисова</v>
      </c>
      <c r="F151" s="535" t="str">
        <f>IFERROR(__xludf.DUMMYFUNCTION("""COMPUTED_VALUE"""),"Новая")</f>
        <v>Новая</v>
      </c>
      <c r="G151" s="536" t="str">
        <f>IFERROR(__xludf.DUMMYFUNCTION("""COMPUTED_VALUE"""),"10*40/32*42 ")</f>
        <v>10*40/32*42 </v>
      </c>
      <c r="H151" s="338" t="str">
        <f>IFERROR(__xludf.DUMMYFUNCTION("""COMPUTED_VALUE"""),"Цифра+Лазер")</f>
        <v>Цифра+Лазер</v>
      </c>
      <c r="I151" s="338" t="str">
        <f>IFERROR(__xludf.DUMMYFUNCTION("""COMPUTED_VALUE"""),"LS(ЦПМ)")</f>
        <v>LS(ЦПМ)</v>
      </c>
      <c r="J151" s="536" t="str">
        <f>IFERROR(__xludf.DUMMYFUNCTION("""COMPUTED_VALUE"""),"7*500")</f>
        <v>7*500</v>
      </c>
      <c r="K151" s="537">
        <f>IFERROR(__xludf.DUMMYFUNCTION("""COMPUTED_VALUE"""),46127.0)</f>
        <v>46127</v>
      </c>
      <c r="L151" s="537"/>
      <c r="M151" s="338" t="str">
        <f>IFERROR(__xludf.DUMMYFUNCTION("""COMPUTED_VALUE"""),"Пленка PP белая акрил")</f>
        <v>Пленка PP белая акрил</v>
      </c>
      <c r="N151" s="338" t="str">
        <f>IFERROR(__xludf.DUMMYFUNCTION("""COMPUTED_VALUE"""),"Отгружен")</f>
        <v>Отгружен</v>
      </c>
      <c r="O151" s="537"/>
      <c r="P151" s="338" t="str">
        <f>IFERROR(__xludf.DUMMYFUNCTION("""COMPUTED_VALUE"""),"Проконтролировать качество печати, чтобы все читабельно и ок было))")</f>
        <v>Проконтролировать качество печати, чтобы все читабельно и ок было))</v>
      </c>
      <c r="Q151" s="338" t="str">
        <f>IFERROR(__xludf.DUMMYFUNCTION("""COMPUTED_VALUE"""),"Самовывоз")</f>
        <v>Самовывоз</v>
      </c>
      <c r="R151" s="338"/>
      <c r="S151" s="338"/>
      <c r="T151" s="338"/>
      <c r="U151" s="338"/>
      <c r="V151" s="338"/>
      <c r="W151" s="338"/>
      <c r="X151" s="338"/>
      <c r="Y151" s="338"/>
      <c r="Z151" s="338"/>
    </row>
    <row r="152" ht="22.5" customHeight="1">
      <c r="A152" s="528" t="str">
        <f>IFERROR(__xludf.DUMMYFUNCTION("""COMPUTED_VALUE"""),"ЦРТ")</f>
        <v>ЦРТ</v>
      </c>
      <c r="B152" s="528"/>
      <c r="C152" s="528" t="str">
        <f>IFERROR(__xludf.DUMMYFUNCTION("""COMPUTED_VALUE"""),"Океан 21")</f>
        <v>Океан 21</v>
      </c>
      <c r="D152" s="528">
        <f>IFERROR(__xludf.DUMMYFUNCTION("""COMPUTED_VALUE"""),1813.0)</f>
        <v>1813</v>
      </c>
      <c r="E152" s="528" t="str">
        <f>IFERROR(__xludf.DUMMYFUNCTION("""COMPUTED_VALUE"""),"Шаповалова Юлия")</f>
        <v>Шаповалова Юлия</v>
      </c>
      <c r="F152" s="535" t="str">
        <f>IFERROR(__xludf.DUMMYFUNCTION("""COMPUTED_VALUE"""),"Новая")</f>
        <v>Новая</v>
      </c>
      <c r="G152" s="536" t="str">
        <f>IFERROR(__xludf.DUMMYFUNCTION("""COMPUTED_VALUE"""),"99*144")</f>
        <v>99*144</v>
      </c>
      <c r="H152" s="338" t="str">
        <f>IFERROR(__xludf.DUMMYFUNCTION("""COMPUTED_VALUE"""),"Флексопечать")</f>
        <v>Флексопечать</v>
      </c>
      <c r="I152" s="338" t="str">
        <f>IFERROR(__xludf.DUMMYFUNCTION("""COMPUTED_VALUE"""),"G-200")</f>
        <v>G-200</v>
      </c>
      <c r="J152" s="536">
        <f>IFERROR(__xludf.DUMMYFUNCTION("""COMPUTED_VALUE"""),2000.0)</f>
        <v>2000</v>
      </c>
      <c r="K152" s="537">
        <f>IFERROR(__xludf.DUMMYFUNCTION("""COMPUTED_VALUE"""),46133.0)</f>
        <v>46133</v>
      </c>
      <c r="L152" s="537"/>
      <c r="M152" s="338" t="str">
        <f>IFERROR(__xludf.DUMMYFUNCTION("""COMPUTED_VALUE"""),"Бумага полуглянец акрил")</f>
        <v>Бумага полуглянец акрил</v>
      </c>
      <c r="N152" s="338" t="str">
        <f>IFERROR(__xludf.DUMMYFUNCTION("""COMPUTED_VALUE"""),"Отгружен")</f>
        <v>Отгружен</v>
      </c>
      <c r="O152" s="537"/>
      <c r="P152" s="338"/>
      <c r="Q152" s="338" t="str">
        <f>IFERROR(__xludf.DUMMYFUNCTION("""COMPUTED_VALUE"""),"г. Москва, ул. Ижорская д.7, территория РК «Меридиан», с 09 00 — 13 00, либо с 14 00 до 16 30
+7 926 2309217 Ольга")</f>
        <v>г. Москва, ул. Ижорская д.7, территория РК «Меридиан», с 09 00 — 13 00, либо с 14 00 до 16 30
+7 926 2309217 Ольга</v>
      </c>
      <c r="R152" s="338"/>
      <c r="S152" s="338"/>
      <c r="T152" s="338"/>
      <c r="U152" s="338"/>
      <c r="V152" s="338"/>
      <c r="W152" s="338"/>
      <c r="X152" s="338"/>
      <c r="Y152" s="338"/>
      <c r="Z152" s="338"/>
    </row>
    <row r="153" ht="22.5" customHeight="1">
      <c r="A153" s="528" t="str">
        <f>IFERROR(__xludf.DUMMYFUNCTION("""COMPUTED_VALUE"""),"ЦРТ")</f>
        <v>ЦРТ</v>
      </c>
      <c r="B153" s="528"/>
      <c r="C153" s="528" t="str">
        <f>IFERROR(__xludf.DUMMYFUNCTION("""COMPUTED_VALUE"""),"Океан 7")</f>
        <v>Океан 7</v>
      </c>
      <c r="D153" s="528">
        <f>IFERROR(__xludf.DUMMYFUNCTION("""COMPUTED_VALUE"""),1814.0)</f>
        <v>1814</v>
      </c>
      <c r="E153" s="528" t="str">
        <f>IFERROR(__xludf.DUMMYFUNCTION("""COMPUTED_VALUE"""),"Шаповалова Юлия")</f>
        <v>Шаповалова Юлия</v>
      </c>
      <c r="F153" s="535" t="str">
        <f>IFERROR(__xludf.DUMMYFUNCTION("""COMPUTED_VALUE"""),"Новая")</f>
        <v>Новая</v>
      </c>
      <c r="G153" s="536" t="str">
        <f>IFERROR(__xludf.DUMMYFUNCTION("""COMPUTED_VALUE"""),"99*144")</f>
        <v>99*144</v>
      </c>
      <c r="H153" s="338" t="str">
        <f>IFERROR(__xludf.DUMMYFUNCTION("""COMPUTED_VALUE"""),"Флексопечать")</f>
        <v>Флексопечать</v>
      </c>
      <c r="I153" s="338" t="str">
        <f>IFERROR(__xludf.DUMMYFUNCTION("""COMPUTED_VALUE"""),"G-200")</f>
        <v>G-200</v>
      </c>
      <c r="J153" s="536">
        <f>IFERROR(__xludf.DUMMYFUNCTION("""COMPUTED_VALUE"""),4000.0)</f>
        <v>4000</v>
      </c>
      <c r="K153" s="537">
        <f>IFERROR(__xludf.DUMMYFUNCTION("""COMPUTED_VALUE"""),46133.0)</f>
        <v>46133</v>
      </c>
      <c r="L153" s="537"/>
      <c r="M153" s="338" t="str">
        <f>IFERROR(__xludf.DUMMYFUNCTION("""COMPUTED_VALUE"""),"Бумага полуглянец акрил")</f>
        <v>Бумага полуглянец акрил</v>
      </c>
      <c r="N153" s="338" t="str">
        <f>IFERROR(__xludf.DUMMYFUNCTION("""COMPUTED_VALUE"""),"Отгружен")</f>
        <v>Отгружен</v>
      </c>
      <c r="O153" s="537"/>
      <c r="P153" s="338"/>
      <c r="Q153" s="338" t="str">
        <f>IFERROR(__xludf.DUMMYFUNCTION("""COMPUTED_VALUE"""),"г. Москва, ул. Ижорская д.7, территория РК «Меридиан», с 09 00 — 13 00, либо с 14 00 до 16 30
+7 926 2309217 Ольга")</f>
        <v>г. Москва, ул. Ижорская д.7, территория РК «Меридиан», с 09 00 — 13 00, либо с 14 00 до 16 30
+7 926 2309217 Ольга</v>
      </c>
      <c r="R153" s="338"/>
      <c r="S153" s="338"/>
      <c r="T153" s="338"/>
      <c r="U153" s="338"/>
      <c r="V153" s="338"/>
      <c r="W153" s="338"/>
      <c r="X153" s="338"/>
      <c r="Y153" s="338"/>
      <c r="Z153" s="338"/>
    </row>
    <row r="154" ht="22.5" customHeight="1">
      <c r="A154" s="528" t="str">
        <f>IFERROR(__xludf.DUMMYFUNCTION("""COMPUTED_VALUE"""),"Нуртдинов")</f>
        <v>Нуртдинов</v>
      </c>
      <c r="B154" s="528"/>
      <c r="C154" s="528" t="str">
        <f>IFERROR(__xludf.DUMMYFUNCTION("""COMPUTED_VALUE"""),"Лакрин витамин С")</f>
        <v>Лакрин витамин С</v>
      </c>
      <c r="D154" s="528">
        <f>IFERROR(__xludf.DUMMYFUNCTION("""COMPUTED_VALUE"""),1817.0)</f>
        <v>1817</v>
      </c>
      <c r="E154" s="528" t="str">
        <f>IFERROR(__xludf.DUMMYFUNCTION("""COMPUTED_VALUE"""),"Римма Лукина")</f>
        <v>Римма Лукина</v>
      </c>
      <c r="F154" s="535" t="str">
        <f>IFERROR(__xludf.DUMMYFUNCTION("""COMPUTED_VALUE"""),"Повтор с изменениями")</f>
        <v>Повтор с изменениями</v>
      </c>
      <c r="G154" s="536" t="str">
        <f>IFERROR(__xludf.DUMMYFUNCTION("""COMPUTED_VALUE"""),"44*95")</f>
        <v>44*95</v>
      </c>
      <c r="H154" s="338" t="str">
        <f>IFERROR(__xludf.DUMMYFUNCTION("""COMPUTED_VALUE"""),"Флексопечать")</f>
        <v>Флексопечать</v>
      </c>
      <c r="I154" s="338" t="str">
        <f>IFERROR(__xludf.DUMMYFUNCTION("""COMPUTED_VALUE"""),"G-160")</f>
        <v>G-160</v>
      </c>
      <c r="J154" s="536">
        <f>IFERROR(__xludf.DUMMYFUNCTION("""COMPUTED_VALUE"""),2000.0)</f>
        <v>2000</v>
      </c>
      <c r="K154" s="537">
        <f>IFERROR(__xludf.DUMMYFUNCTION("""COMPUTED_VALUE"""),46133.0)</f>
        <v>46133</v>
      </c>
      <c r="L154" s="537"/>
      <c r="M154" s="338" t="str">
        <f>IFERROR(__xludf.DUMMYFUNCTION("""COMPUTED_VALUE"""),"Пленка PP белая акрил")</f>
        <v>Пленка PP белая акрил</v>
      </c>
      <c r="N154" s="338" t="str">
        <f>IFERROR(__xludf.DUMMYFUNCTION("""COMPUTED_VALUE"""),"Отгружен")</f>
        <v>Отгружен</v>
      </c>
      <c r="O154" s="537"/>
      <c r="P154" s="338" t="str">
        <f>IFERROR(__xludf.DUMMYFUNCTION("""COMPUTED_VALUE"""),"на роликах логистические стикеры . Название изготовителя, дата, номер заказа, количество в ролике.")</f>
        <v>на роликах логистические стикеры . Название изготовителя, дата, номер заказа, количество в ролике.</v>
      </c>
      <c r="Q154" s="338" t="str">
        <f>IFERROR(__xludf.DUMMYFUNCTION("""COMPUTED_VALUE"""),"сдэк создам заявку, нужно в пятницу отвези в ОПВЗ")</f>
        <v>сдэк создам заявку, нужно в пятницу отвези в ОПВЗ</v>
      </c>
      <c r="R154" s="338"/>
      <c r="S154" s="338"/>
      <c r="T154" s="338"/>
      <c r="U154" s="338"/>
      <c r="V154" s="338"/>
      <c r="W154" s="338"/>
      <c r="X154" s="338"/>
      <c r="Y154" s="338"/>
      <c r="Z154" s="338"/>
    </row>
    <row r="155" ht="22.5" customHeight="1">
      <c r="A155" s="528" t="str">
        <f>IFERROR(__xludf.DUMMYFUNCTION("""COMPUTED_VALUE"""),"Ангстрем/Националь")</f>
        <v>Ангстрем/Националь</v>
      </c>
      <c r="B155" s="528"/>
      <c r="C155" s="528" t="str">
        <f>IFERROR(__xludf.DUMMYFUNCTION("""COMPUTED_VALUE"""),"И/Э Озон Т/П Рис Ризотто 6х500г")</f>
        <v>И/Э Озон Т/П Рис Ризотто 6х500г</v>
      </c>
      <c r="D155" s="528">
        <f>IFERROR(__xludf.DUMMYFUNCTION("""COMPUTED_VALUE"""),1818.0)</f>
        <v>1818</v>
      </c>
      <c r="E155" s="528" t="str">
        <f>IFERROR(__xludf.DUMMYFUNCTION("""COMPUTED_VALUE"""),"Шаповалова Юлия")</f>
        <v>Шаповалова Юлия</v>
      </c>
      <c r="F155" s="535" t="str">
        <f>IFERROR(__xludf.DUMMYFUNCTION("""COMPUTED_VALUE"""),"Новая")</f>
        <v>Новая</v>
      </c>
      <c r="G155" s="536" t="str">
        <f>IFERROR(__xludf.DUMMYFUNCTION("""COMPUTED_VALUE"""),"70*100")</f>
        <v>70*100</v>
      </c>
      <c r="H155" s="338" t="str">
        <f>IFERROR(__xludf.DUMMYFUNCTION("""COMPUTED_VALUE"""),"Флексопечать")</f>
        <v>Флексопечать</v>
      </c>
      <c r="I155" s="338" t="str">
        <f>IFERROR(__xludf.DUMMYFUNCTION("""COMPUTED_VALUE"""),"Wg-450")</f>
        <v>Wg-450</v>
      </c>
      <c r="J155" s="536">
        <f>IFERROR(__xludf.DUMMYFUNCTION("""COMPUTED_VALUE"""),5000.0)</f>
        <v>5000</v>
      </c>
      <c r="K155" s="537">
        <f>IFERROR(__xludf.DUMMYFUNCTION("""COMPUTED_VALUE"""),46133.0)</f>
        <v>46133</v>
      </c>
      <c r="L155" s="537"/>
      <c r="M155" s="338" t="str">
        <f>IFERROR(__xludf.DUMMYFUNCTION("""COMPUTED_VALUE"""),"Бумага полуглянец акрил")</f>
        <v>Бумага полуглянец акрил</v>
      </c>
      <c r="N155" s="338" t="str">
        <f>IFERROR(__xludf.DUMMYFUNCTION("""COMPUTED_VALUE"""),"Отгружен")</f>
        <v>Отгружен</v>
      </c>
      <c r="O155" s="537"/>
      <c r="P155" s="338" t="str">
        <f>IFERROR(__xludf.DUMMYFUNCTION("""COMPUTED_VALUE"""),"Паспорт качества, Приладка")</f>
        <v>Паспорт качества, Приладка</v>
      </c>
      <c r="Q155" s="338" t="str">
        <f>IFERROR(__xludf.DUMMYFUNCTION("""COMPUTED_VALUE"""),"Краснодарский край, Красноармейский р-н, Протичка х, 2000 метров на восток от хутора
Контактное лицо: Мурзинов Дмитрий, 8-989-267-19-51")</f>
        <v>Краснодарский край, Красноармейский р-н, Протичка х, 2000 метров на восток от хутора
Контактное лицо: Мурзинов Дмитрий, 8-989-267-19-51</v>
      </c>
      <c r="R155" s="338"/>
      <c r="S155" s="338"/>
      <c r="T155" s="338"/>
      <c r="U155" s="338"/>
      <c r="V155" s="338"/>
      <c r="W155" s="338"/>
      <c r="X155" s="338"/>
      <c r="Y155" s="338"/>
      <c r="Z155" s="338"/>
    </row>
    <row r="156" ht="22.5" customHeight="1">
      <c r="A156" s="528" t="str">
        <f>IFERROR(__xludf.DUMMYFUNCTION("""COMPUTED_VALUE"""),"ОЗОН")</f>
        <v>ОЗОН</v>
      </c>
      <c r="B156" s="528"/>
      <c r="C156" s="528" t="str">
        <f>IFERROR(__xludf.DUMMYFUNCTION("""COMPUTED_VALUE"""),"Сэндвич с тунцом и маринованным луком")</f>
        <v>Сэндвич с тунцом и маринованным луком</v>
      </c>
      <c r="D156" s="528">
        <f>IFERROR(__xludf.DUMMYFUNCTION("""COMPUTED_VALUE"""),1828.0)</f>
        <v>1828</v>
      </c>
      <c r="E156" s="528" t="str">
        <f>IFERROR(__xludf.DUMMYFUNCTION("""COMPUTED_VALUE"""),"Римма Лукина")</f>
        <v>Римма Лукина</v>
      </c>
      <c r="F156" s="535" t="str">
        <f>IFERROR(__xludf.DUMMYFUNCTION("""COMPUTED_VALUE"""),"Повтор")</f>
        <v>Повтор</v>
      </c>
      <c r="G156" s="536" t="str">
        <f>IFERROR(__xludf.DUMMYFUNCTION("""COMPUTED_VALUE"""),"76*118")</f>
        <v>76*118</v>
      </c>
      <c r="H156" s="338" t="str">
        <f>IFERROR(__xludf.DUMMYFUNCTION("""COMPUTED_VALUE"""),"Флексопечать")</f>
        <v>Флексопечать</v>
      </c>
      <c r="I156" s="338" t="str">
        <f>IFERROR(__xludf.DUMMYFUNCTION("""COMPUTED_VALUE"""),"Bg-330")</f>
        <v>Bg-330</v>
      </c>
      <c r="J156" s="536">
        <f>IFERROR(__xludf.DUMMYFUNCTION("""COMPUTED_VALUE"""),500.0)</f>
        <v>500</v>
      </c>
      <c r="K156" s="537">
        <f>IFERROR(__xludf.DUMMYFUNCTION("""COMPUTED_VALUE"""),46133.0)</f>
        <v>46133</v>
      </c>
      <c r="L156" s="537"/>
      <c r="M156" s="338" t="str">
        <f>IFERROR(__xludf.DUMMYFUNCTION("""COMPUTED_VALUE"""),"Бумага полуглянец акрил")</f>
        <v>Бумага полуглянец акрил</v>
      </c>
      <c r="N156" s="338" t="str">
        <f>IFERROR(__xludf.DUMMYFUNCTION("""COMPUTED_VALUE"""),"Отгружен")</f>
        <v>Отгружен</v>
      </c>
      <c r="O156" s="537"/>
      <c r="P156" s="338" t="str">
        <f>IFERROR(__xludf.DUMMYFUNCTION("""COMPUTED_VALUE"""),"печатали тест, теперь нужно сделать партию для тестирования на оборудовании, обязательно приложить паспорт качества и документы выложить в ЭДО")</f>
        <v>печатали тест, теперь нужно сделать партию для тестирования на оборудовании, обязательно приложить паспорт качества и документы выложить в ЭДО</v>
      </c>
      <c r="Q156" s="338"/>
      <c r="R156" s="338"/>
      <c r="S156" s="338"/>
      <c r="T156" s="338"/>
      <c r="U156" s="338"/>
      <c r="V156" s="338"/>
      <c r="W156" s="338"/>
      <c r="X156" s="338"/>
      <c r="Y156" s="338"/>
      <c r="Z156" s="338"/>
    </row>
    <row r="157" ht="22.5" customHeight="1">
      <c r="A157" s="528" t="str">
        <f>IFERROR(__xludf.DUMMYFUNCTION("""COMPUTED_VALUE"""),"Новапродукт АГ")</f>
        <v>Новапродукт АГ</v>
      </c>
      <c r="B157" s="528"/>
      <c r="C157" s="528" t="str">
        <f>IFERROR(__xludf.DUMMYFUNCTION("""COMPUTED_VALUE"""),"Этикетка Новапродукт заменитель сахара 1200 лицевая Новасвит")</f>
        <v>Этикетка Новапродукт заменитель сахара 1200 лицевая Новасвит</v>
      </c>
      <c r="D157" s="528">
        <f>IFERROR(__xludf.DUMMYFUNCTION("""COMPUTED_VALUE"""),1839.0)</f>
        <v>1839</v>
      </c>
      <c r="E157" s="528" t="str">
        <f>IFERROR(__xludf.DUMMYFUNCTION("""COMPUTED_VALUE"""),"Шаповалова Юлия")</f>
        <v>Шаповалова Юлия</v>
      </c>
      <c r="F157" s="535" t="str">
        <f>IFERROR(__xludf.DUMMYFUNCTION("""COMPUTED_VALUE"""),"Повтор")</f>
        <v>Повтор</v>
      </c>
      <c r="G157" s="536" t="str">
        <f>IFERROR(__xludf.DUMMYFUNCTION("""COMPUTED_VALUE"""),"100,5*31,5 ")</f>
        <v>100,5*31,5 </v>
      </c>
      <c r="H157" s="338" t="str">
        <f>IFERROR(__xludf.DUMMYFUNCTION("""COMPUTED_VALUE"""),"Флексопечать")</f>
        <v>Флексопечать</v>
      </c>
      <c r="I157" s="338" t="str">
        <f>IFERROR(__xludf.DUMMYFUNCTION("""COMPUTED_VALUE"""),"Bg-330")</f>
        <v>Bg-330</v>
      </c>
      <c r="J157" s="536" t="str">
        <f>IFERROR(__xludf.DUMMYFUNCTION("""COMPUTED_VALUE"""),"150 000")</f>
        <v>150 000</v>
      </c>
      <c r="K157" s="537">
        <f>IFERROR(__xludf.DUMMYFUNCTION("""COMPUTED_VALUE"""),46134.0)</f>
        <v>46134</v>
      </c>
      <c r="L157" s="537"/>
      <c r="M157" s="338" t="str">
        <f>IFERROR(__xludf.DUMMYFUNCTION("""COMPUTED_VALUE"""),"Бумага полуглянец акрил")</f>
        <v>Бумага полуглянец акрил</v>
      </c>
      <c r="N157" s="338" t="str">
        <f>IFERROR(__xludf.DUMMYFUNCTION("""COMPUTED_VALUE"""),"Отгружен")</f>
        <v>Отгружен</v>
      </c>
      <c r="O157" s="537"/>
      <c r="P157" s="338" t="str">
        <f>IFERROR(__xludf.DUMMYFUNCTION("""COMPUTED_VALUE"""),"Паспорт качества")</f>
        <v>Паспорт качества</v>
      </c>
      <c r="Q157" s="338" t="str">
        <f>IFERROR(__xludf.DUMMYFUNCTION("""COMPUTED_VALUE"""),"МО г. Подольск д. Северово ул. Кутузовская д. 5  Отгрузка до 16:00, +7 (977) 615-23-51 Екатерина")</f>
        <v>МО г. Подольск д. Северово ул. Кутузовская д. 5  Отгрузка до 16:00, +7 (977) 615-23-51 Екатерина</v>
      </c>
      <c r="R157" s="338"/>
      <c r="S157" s="338"/>
      <c r="T157" s="338"/>
      <c r="U157" s="338"/>
      <c r="V157" s="338"/>
      <c r="W157" s="338"/>
      <c r="X157" s="338"/>
      <c r="Y157" s="338"/>
      <c r="Z157" s="338"/>
    </row>
    <row r="158" ht="22.5" customHeight="1">
      <c r="A158" s="528" t="str">
        <f>IFERROR(__xludf.DUMMYFUNCTION("""COMPUTED_VALUE"""),"Новапродукт АГ")</f>
        <v>Новапродукт АГ</v>
      </c>
      <c r="B158" s="528"/>
      <c r="C158" s="528" t="str">
        <f>IFERROR(__xludf.DUMMYFUNCTION("""COMPUTED_VALUE"""),"Этикетка Новапродукт заменитель сахара 1200 оборотная Новасвит ")</f>
        <v>Этикетка Новапродукт заменитель сахара 1200 оборотная Новасвит </v>
      </c>
      <c r="D158" s="528">
        <f>IFERROR(__xludf.DUMMYFUNCTION("""COMPUTED_VALUE"""),1840.0)</f>
        <v>1840</v>
      </c>
      <c r="E158" s="528" t="str">
        <f>IFERROR(__xludf.DUMMYFUNCTION("""COMPUTED_VALUE"""),"Шаповалова Юлия")</f>
        <v>Шаповалова Юлия</v>
      </c>
      <c r="F158" s="535" t="str">
        <f>IFERROR(__xludf.DUMMYFUNCTION("""COMPUTED_VALUE"""),"Повтор")</f>
        <v>Повтор</v>
      </c>
      <c r="G158" s="536" t="str">
        <f>IFERROR(__xludf.DUMMYFUNCTION("""COMPUTED_VALUE"""),"100,5*31,5 ")</f>
        <v>100,5*31,5 </v>
      </c>
      <c r="H158" s="338" t="str">
        <f>IFERROR(__xludf.DUMMYFUNCTION("""COMPUTED_VALUE"""),"Флексопечать")</f>
        <v>Флексопечать</v>
      </c>
      <c r="I158" s="338" t="str">
        <f>IFERROR(__xludf.DUMMYFUNCTION("""COMPUTED_VALUE"""),"Bg-330")</f>
        <v>Bg-330</v>
      </c>
      <c r="J158" s="536" t="str">
        <f>IFERROR(__xludf.DUMMYFUNCTION("""COMPUTED_VALUE"""),"150 000")</f>
        <v>150 000</v>
      </c>
      <c r="K158" s="537">
        <f>IFERROR(__xludf.DUMMYFUNCTION("""COMPUTED_VALUE"""),46134.0)</f>
        <v>46134</v>
      </c>
      <c r="L158" s="537"/>
      <c r="M158" s="338" t="str">
        <f>IFERROR(__xludf.DUMMYFUNCTION("""COMPUTED_VALUE"""),"Бумага полуглянец акрил")</f>
        <v>Бумага полуглянец акрил</v>
      </c>
      <c r="N158" s="338" t="str">
        <f>IFERROR(__xludf.DUMMYFUNCTION("""COMPUTED_VALUE"""),"Отгружен")</f>
        <v>Отгружен</v>
      </c>
      <c r="O158" s="537"/>
      <c r="P158" s="338" t="str">
        <f>IFERROR(__xludf.DUMMYFUNCTION("""COMPUTED_VALUE"""),"Паспорт качества")</f>
        <v>Паспорт качества</v>
      </c>
      <c r="Q158" s="338" t="str">
        <f>IFERROR(__xludf.DUMMYFUNCTION("""COMPUTED_VALUE"""),"МО г. Подольск д. Северово ул. Кутузовская д. 5  Отгрузка до 16:00, +7 (977) 615-23-51 Екатерина")</f>
        <v>МО г. Подольск д. Северово ул. Кутузовская д. 5  Отгрузка до 16:00, +7 (977) 615-23-51 Екатерина</v>
      </c>
      <c r="R158" s="338"/>
      <c r="S158" s="338"/>
      <c r="T158" s="338"/>
      <c r="U158" s="338"/>
      <c r="V158" s="338"/>
      <c r="W158" s="338"/>
      <c r="X158" s="338"/>
      <c r="Y158" s="338"/>
      <c r="Z158" s="338"/>
    </row>
    <row r="159" ht="22.5" customHeight="1">
      <c r="A159" s="528" t="str">
        <f>IFERROR(__xludf.DUMMYFUNCTION("""COMPUTED_VALUE"""),"Новапродукт АГ")</f>
        <v>Новапродукт АГ</v>
      </c>
      <c r="B159" s="528"/>
      <c r="C159" s="528" t="str">
        <f>IFERROR(__xludf.DUMMYFUNCTION("""COMPUTED_VALUE"""),"Этикетка Новапродукт заменитель сахара 650 лицевая Новасвит")</f>
        <v>Этикетка Новапродукт заменитель сахара 650 лицевая Новасвит</v>
      </c>
      <c r="D159" s="528">
        <f>IFERROR(__xludf.DUMMYFUNCTION("""COMPUTED_VALUE"""),1841.0)</f>
        <v>1841</v>
      </c>
      <c r="E159" s="528" t="str">
        <f>IFERROR(__xludf.DUMMYFUNCTION("""COMPUTED_VALUE"""),"Шаповалова Юлия")</f>
        <v>Шаповалова Юлия</v>
      </c>
      <c r="F159" s="535" t="str">
        <f>IFERROR(__xludf.DUMMYFUNCTION("""COMPUTED_VALUE"""),"Новая")</f>
        <v>Новая</v>
      </c>
      <c r="G159" s="536" t="str">
        <f>IFERROR(__xludf.DUMMYFUNCTION("""COMPUTED_VALUE"""),"86,6*28")</f>
        <v>86,6*28</v>
      </c>
      <c r="H159" s="338" t="str">
        <f>IFERROR(__xludf.DUMMYFUNCTION("""COMPUTED_VALUE"""),"Флексопечать")</f>
        <v>Флексопечать</v>
      </c>
      <c r="I159" s="338" t="str">
        <f>IFERROR(__xludf.DUMMYFUNCTION("""COMPUTED_VALUE"""),"Bg-330")</f>
        <v>Bg-330</v>
      </c>
      <c r="J159" s="536" t="str">
        <f>IFERROR(__xludf.DUMMYFUNCTION("""COMPUTED_VALUE"""),"100 000")</f>
        <v>100 000</v>
      </c>
      <c r="K159" s="537">
        <f>IFERROR(__xludf.DUMMYFUNCTION("""COMPUTED_VALUE"""),46134.0)</f>
        <v>46134</v>
      </c>
      <c r="L159" s="537"/>
      <c r="M159" s="338" t="str">
        <f>IFERROR(__xludf.DUMMYFUNCTION("""COMPUTED_VALUE"""),"Бумага полуглянец акрил")</f>
        <v>Бумага полуглянец акрил</v>
      </c>
      <c r="N159" s="338" t="str">
        <f>IFERROR(__xludf.DUMMYFUNCTION("""COMPUTED_VALUE"""),"Отгружен")</f>
        <v>Отгружен</v>
      </c>
      <c r="O159" s="537"/>
      <c r="P159" s="338" t="str">
        <f>IFERROR(__xludf.DUMMYFUNCTION("""COMPUTED_VALUE"""),"Паспорт качества")</f>
        <v>Паспорт качества</v>
      </c>
      <c r="Q159" s="338" t="str">
        <f>IFERROR(__xludf.DUMMYFUNCTION("""COMPUTED_VALUE"""),"МО г. Подольск д. Северово ул. Кутузовская д. 5  Отгрузка до 16:00, +7 (977) 615-23-51 Екатерина")</f>
        <v>МО г. Подольск д. Северово ул. Кутузовская д. 5  Отгрузка до 16:00, +7 (977) 615-23-51 Екатерина</v>
      </c>
      <c r="R159" s="338"/>
      <c r="S159" s="338"/>
      <c r="T159" s="338"/>
      <c r="U159" s="338"/>
      <c r="V159" s="338"/>
      <c r="W159" s="338"/>
      <c r="X159" s="338"/>
      <c r="Y159" s="338"/>
      <c r="Z159" s="338"/>
    </row>
    <row r="160" ht="22.5" customHeight="1">
      <c r="A160" s="528" t="str">
        <f>IFERROR(__xludf.DUMMYFUNCTION("""COMPUTED_VALUE"""),"Новапродукт АГ")</f>
        <v>Новапродукт АГ</v>
      </c>
      <c r="B160" s="528"/>
      <c r="C160" s="528" t="str">
        <f>IFERROR(__xludf.DUMMYFUNCTION("""COMPUTED_VALUE"""),"Этикетка Новапродукт заменитель сахара 650 оборотная Новасвит")</f>
        <v>Этикетка Новапродукт заменитель сахара 650 оборотная Новасвит</v>
      </c>
      <c r="D160" s="528">
        <f>IFERROR(__xludf.DUMMYFUNCTION("""COMPUTED_VALUE"""),1842.0)</f>
        <v>1842</v>
      </c>
      <c r="E160" s="528" t="str">
        <f>IFERROR(__xludf.DUMMYFUNCTION("""COMPUTED_VALUE"""),"Шаповалова Юлия")</f>
        <v>Шаповалова Юлия</v>
      </c>
      <c r="F160" s="535" t="str">
        <f>IFERROR(__xludf.DUMMYFUNCTION("""COMPUTED_VALUE"""),"Новая")</f>
        <v>Новая</v>
      </c>
      <c r="G160" s="536" t="str">
        <f>IFERROR(__xludf.DUMMYFUNCTION("""COMPUTED_VALUE"""),"86,6*28")</f>
        <v>86,6*28</v>
      </c>
      <c r="H160" s="338" t="str">
        <f>IFERROR(__xludf.DUMMYFUNCTION("""COMPUTED_VALUE"""),"Флексопечать")</f>
        <v>Флексопечать</v>
      </c>
      <c r="I160" s="338" t="str">
        <f>IFERROR(__xludf.DUMMYFUNCTION("""COMPUTED_VALUE"""),"Bg-330")</f>
        <v>Bg-330</v>
      </c>
      <c r="J160" s="536" t="str">
        <f>IFERROR(__xludf.DUMMYFUNCTION("""COMPUTED_VALUE"""),"100 000")</f>
        <v>100 000</v>
      </c>
      <c r="K160" s="537">
        <f>IFERROR(__xludf.DUMMYFUNCTION("""COMPUTED_VALUE"""),46134.0)</f>
        <v>46134</v>
      </c>
      <c r="L160" s="537"/>
      <c r="M160" s="338" t="str">
        <f>IFERROR(__xludf.DUMMYFUNCTION("""COMPUTED_VALUE"""),"Бумага полуглянец акрил")</f>
        <v>Бумага полуглянец акрил</v>
      </c>
      <c r="N160" s="338" t="str">
        <f>IFERROR(__xludf.DUMMYFUNCTION("""COMPUTED_VALUE"""),"Отгружен")</f>
        <v>Отгружен</v>
      </c>
      <c r="O160" s="537"/>
      <c r="P160" s="338" t="str">
        <f>IFERROR(__xludf.DUMMYFUNCTION("""COMPUTED_VALUE"""),"Паспорт качества")</f>
        <v>Паспорт качества</v>
      </c>
      <c r="Q160" s="338" t="str">
        <f>IFERROR(__xludf.DUMMYFUNCTION("""COMPUTED_VALUE"""),"МО г. Подольск д. Северово ул. Кутузовская д. 5  Отгрузка до 16:00, +7 (977) 615-23-51 Екатерина")</f>
        <v>МО г. Подольск д. Северово ул. Кутузовская д. 5  Отгрузка до 16:00, +7 (977) 615-23-51 Екатерина</v>
      </c>
      <c r="R160" s="338"/>
      <c r="S160" s="338"/>
      <c r="T160" s="338"/>
      <c r="U160" s="338"/>
      <c r="V160" s="338"/>
      <c r="W160" s="338"/>
      <c r="X160" s="338"/>
      <c r="Y160" s="338"/>
      <c r="Z160" s="338"/>
    </row>
    <row r="161" ht="22.5" customHeight="1">
      <c r="A161" s="528" t="str">
        <f>IFERROR(__xludf.DUMMYFUNCTION("""COMPUTED_VALUE"""),"ООО""ФэрельГам""")</f>
        <v>ООО"ФэрельГам"</v>
      </c>
      <c r="B161" s="528"/>
      <c r="C161" s="528" t="str">
        <f>IFERROR(__xludf.DUMMYFUNCTION("""COMPUTED_VALUE"""),"470782 Морс вишневый 400 гр. 65х180 этик.")</f>
        <v>470782 Морс вишневый 400 гр. 65х180 этик.</v>
      </c>
      <c r="D161" s="528">
        <f>IFERROR(__xludf.DUMMYFUNCTION("""COMPUTED_VALUE"""),1859.0)</f>
        <v>1859</v>
      </c>
      <c r="E161" s="528" t="str">
        <f>IFERROR(__xludf.DUMMYFUNCTION("""COMPUTED_VALUE"""),"Баранов Александр")</f>
        <v>Баранов Александр</v>
      </c>
      <c r="F161" s="535" t="str">
        <f>IFERROR(__xludf.DUMMYFUNCTION("""COMPUTED_VALUE"""),"Новая")</f>
        <v>Новая</v>
      </c>
      <c r="G161" s="536" t="str">
        <f>IFERROR(__xludf.DUMMYFUNCTION("""COMPUTED_VALUE"""),"65*180")</f>
        <v>65*180</v>
      </c>
      <c r="H161" s="338" t="str">
        <f>IFERROR(__xludf.DUMMYFUNCTION("""COMPUTED_VALUE"""),"Флексопечать")</f>
        <v>Флексопечать</v>
      </c>
      <c r="I161" s="338" t="str">
        <f>IFERROR(__xludf.DUMMYFUNCTION("""COMPUTED_VALUE"""),"Wg-450")</f>
        <v>Wg-450</v>
      </c>
      <c r="J161" s="536">
        <f>IFERROR(__xludf.DUMMYFUNCTION("""COMPUTED_VALUE"""),10000.0)</f>
        <v>10000</v>
      </c>
      <c r="K161" s="537">
        <f>IFERROR(__xludf.DUMMYFUNCTION("""COMPUTED_VALUE"""),46134.0)</f>
        <v>46134</v>
      </c>
      <c r="L161" s="537"/>
      <c r="M161" s="338" t="str">
        <f>IFERROR(__xludf.DUMMYFUNCTION("""COMPUTED_VALUE"""),"Пленка PP белая каучук")</f>
        <v>Пленка PP белая каучук</v>
      </c>
      <c r="N161" s="338" t="str">
        <f>IFERROR(__xludf.DUMMYFUNCTION("""COMPUTED_VALUE"""),"Отгружен")</f>
        <v>Отгружен</v>
      </c>
      <c r="O161" s="537"/>
      <c r="P161" s="338" t="str">
        <f>IFERROR(__xludf.DUMMYFUNCTION("""COMPUTED_VALUE"""),"СОГЛАСОВАН")</f>
        <v>СОГЛАСОВАН</v>
      </c>
      <c r="Q161" s="338"/>
      <c r="R161" s="338"/>
      <c r="S161" s="338"/>
      <c r="T161" s="338"/>
      <c r="U161" s="338"/>
      <c r="V161" s="338"/>
      <c r="W161" s="338"/>
      <c r="X161" s="338"/>
      <c r="Y161" s="338"/>
      <c r="Z161" s="338"/>
    </row>
    <row r="162" ht="22.5" customHeight="1">
      <c r="A162" s="528" t="str">
        <f>IFERROR(__xludf.DUMMYFUNCTION("""COMPUTED_VALUE"""),"ООО""ФэрельГам""")</f>
        <v>ООО"ФэрельГам"</v>
      </c>
      <c r="B162" s="528"/>
      <c r="C162" s="528" t="str">
        <f>IFERROR(__xludf.DUMMYFUNCTION("""COMPUTED_VALUE"""),"470795 Огурцы соленые 1100 гр. круг Ваш выбор Этик.")</f>
        <v>470795 Огурцы соленые 1100 гр. круг Ваш выбор Этик.</v>
      </c>
      <c r="D162" s="528">
        <f>IFERROR(__xludf.DUMMYFUNCTION("""COMPUTED_VALUE"""),1882.0)</f>
        <v>1882</v>
      </c>
      <c r="E162" s="528" t="str">
        <f>IFERROR(__xludf.DUMMYFUNCTION("""COMPUTED_VALUE"""),"Баранов Александр")</f>
        <v>Баранов Александр</v>
      </c>
      <c r="F162" s="535" t="str">
        <f>IFERROR(__xludf.DUMMYFUNCTION("""COMPUTED_VALUE"""),"Новая")</f>
        <v>Новая</v>
      </c>
      <c r="G162" s="536" t="str">
        <f>IFERROR(__xludf.DUMMYFUNCTION("""COMPUTED_VALUE"""),"д108")</f>
        <v>д108</v>
      </c>
      <c r="H162" s="338" t="str">
        <f>IFERROR(__xludf.DUMMYFUNCTION("""COMPUTED_VALUE"""),"Флексопечать")</f>
        <v>Флексопечать</v>
      </c>
      <c r="I162" s="338" t="str">
        <f>IFERROR(__xludf.DUMMYFUNCTION("""COMPUTED_VALUE"""),"Bg-330")</f>
        <v>Bg-330</v>
      </c>
      <c r="J162" s="536">
        <f>IFERROR(__xludf.DUMMYFUNCTION("""COMPUTED_VALUE"""),10000.0)</f>
        <v>10000</v>
      </c>
      <c r="K162" s="537">
        <f>IFERROR(__xludf.DUMMYFUNCTION("""COMPUTED_VALUE"""),46134.0)</f>
        <v>46134</v>
      </c>
      <c r="L162" s="537"/>
      <c r="M162" s="338" t="str">
        <f>IFERROR(__xludf.DUMMYFUNCTION("""COMPUTED_VALUE"""),"Пленка PP белая каучук")</f>
        <v>Пленка PP белая каучук</v>
      </c>
      <c r="N162" s="338" t="str">
        <f>IFERROR(__xludf.DUMMYFUNCTION("""COMPUTED_VALUE"""),"Отгружен")</f>
        <v>Отгружен</v>
      </c>
      <c r="O162" s="537"/>
      <c r="P162" s="338" t="str">
        <f>IFERROR(__xludf.DUMMYFUNCTION("""COMPUTED_VALUE"""),"СОГЛАСОВАН")</f>
        <v>СОГЛАСОВАН</v>
      </c>
      <c r="Q162" s="338"/>
      <c r="R162" s="338"/>
      <c r="S162" s="338"/>
      <c r="T162" s="338"/>
      <c r="U162" s="338"/>
      <c r="V162" s="338"/>
      <c r="W162" s="338"/>
      <c r="X162" s="338"/>
      <c r="Y162" s="338"/>
      <c r="Z162" s="338"/>
    </row>
    <row r="163" ht="22.5" customHeight="1">
      <c r="A163" s="528" t="str">
        <f>IFERROR(__xludf.DUMMYFUNCTION("""COMPUTED_VALUE"""),"ООО""ФэрельГам""")</f>
        <v>ООО"ФэрельГам"</v>
      </c>
      <c r="B163" s="528"/>
      <c r="C163" s="528" t="str">
        <f>IFERROR(__xludf.DUMMYFUNCTION("""COMPUTED_VALUE"""),"470796 Огурцы соленые 1100 гр. бок Ваш выбор Этик.")</f>
        <v>470796 Огурцы соленые 1100 гр. бок Ваш выбор Этик.</v>
      </c>
      <c r="D163" s="528">
        <f>IFERROR(__xludf.DUMMYFUNCTION("""COMPUTED_VALUE"""),1883.0)</f>
        <v>1883</v>
      </c>
      <c r="E163" s="528" t="str">
        <f>IFERROR(__xludf.DUMMYFUNCTION("""COMPUTED_VALUE"""),"Баранов Александр")</f>
        <v>Баранов Александр</v>
      </c>
      <c r="F163" s="535" t="str">
        <f>IFERROR(__xludf.DUMMYFUNCTION("""COMPUTED_VALUE"""),"Новая")</f>
        <v>Новая</v>
      </c>
      <c r="G163" s="536" t="str">
        <f>IFERROR(__xludf.DUMMYFUNCTION("""COMPUTED_VALUE"""),"60*110")</f>
        <v>60*110</v>
      </c>
      <c r="H163" s="338" t="str">
        <f>IFERROR(__xludf.DUMMYFUNCTION("""COMPUTED_VALUE"""),"Флексопечать")</f>
        <v>Флексопечать</v>
      </c>
      <c r="I163" s="338" t="str">
        <f>IFERROR(__xludf.DUMMYFUNCTION("""COMPUTED_VALUE"""),"Bg-330")</f>
        <v>Bg-330</v>
      </c>
      <c r="J163" s="536">
        <f>IFERROR(__xludf.DUMMYFUNCTION("""COMPUTED_VALUE"""),10000.0)</f>
        <v>10000</v>
      </c>
      <c r="K163" s="537">
        <f>IFERROR(__xludf.DUMMYFUNCTION("""COMPUTED_VALUE"""),46134.0)</f>
        <v>46134</v>
      </c>
      <c r="L163" s="537"/>
      <c r="M163" s="338" t="str">
        <f>IFERROR(__xludf.DUMMYFUNCTION("""COMPUTED_VALUE"""),"Пленка PP белая каучук")</f>
        <v>Пленка PP белая каучук</v>
      </c>
      <c r="N163" s="338" t="str">
        <f>IFERROR(__xludf.DUMMYFUNCTION("""COMPUTED_VALUE"""),"Отгружен")</f>
        <v>Отгружен</v>
      </c>
      <c r="O163" s="537"/>
      <c r="P163" s="338" t="str">
        <f>IFERROR(__xludf.DUMMYFUNCTION("""COMPUTED_VALUE"""),"СОГЛАСОВАН")</f>
        <v>СОГЛАСОВАН</v>
      </c>
      <c r="Q163" s="338"/>
      <c r="R163" s="338"/>
      <c r="S163" s="338"/>
      <c r="T163" s="338"/>
      <c r="U163" s="338"/>
      <c r="V163" s="338"/>
      <c r="W163" s="338"/>
      <c r="X163" s="338"/>
      <c r="Y163" s="338"/>
      <c r="Z163" s="338"/>
    </row>
    <row r="164" ht="22.5" customHeight="1">
      <c r="A164" s="528" t="str">
        <f>IFERROR(__xludf.DUMMYFUNCTION("""COMPUTED_VALUE"""),"Меренга")</f>
        <v>Меренга</v>
      </c>
      <c r="B164" s="528"/>
      <c r="C164" s="528" t="str">
        <f>IFERROR(__xludf.DUMMYFUNCTION("""COMPUTED_VALUE"""),"Фисташковый эклер")</f>
        <v>Фисташковый эклер</v>
      </c>
      <c r="D164" s="528">
        <f>IFERROR(__xludf.DUMMYFUNCTION("""COMPUTED_VALUE"""),1741.0)</f>
        <v>1741</v>
      </c>
      <c r="E164" s="528" t="str">
        <f>IFERROR(__xludf.DUMMYFUNCTION("""COMPUTED_VALUE"""),"Римма Лукина")</f>
        <v>Римма Лукина</v>
      </c>
      <c r="F164" s="535" t="str">
        <f>IFERROR(__xludf.DUMMYFUNCTION("""COMPUTED_VALUE"""),"Повтор")</f>
        <v>Повтор</v>
      </c>
      <c r="G164" s="536" t="str">
        <f>IFERROR(__xludf.DUMMYFUNCTION("""COMPUTED_VALUE"""),"70*165")</f>
        <v>70*165</v>
      </c>
      <c r="H164" s="338" t="str">
        <f>IFERROR(__xludf.DUMMYFUNCTION("""COMPUTED_VALUE"""),"Флексопечать")</f>
        <v>Флексопечать</v>
      </c>
      <c r="I164" s="338" t="str">
        <f>IFERROR(__xludf.DUMMYFUNCTION("""COMPUTED_VALUE"""),"Bg-330")</f>
        <v>Bg-330</v>
      </c>
      <c r="J164" s="536">
        <f>IFERROR(__xludf.DUMMYFUNCTION("""COMPUTED_VALUE"""),10000.0)</f>
        <v>10000</v>
      </c>
      <c r="K164" s="537">
        <f>IFERROR(__xludf.DUMMYFUNCTION("""COMPUTED_VALUE"""),46128.0)</f>
        <v>46128</v>
      </c>
      <c r="L164" s="537"/>
      <c r="M164" s="338" t="str">
        <f>IFERROR(__xludf.DUMMYFUNCTION("""COMPUTED_VALUE"""),"Бумага полуглянец акрил")</f>
        <v>Бумага полуглянец акрил</v>
      </c>
      <c r="N164" s="338" t="str">
        <f>IFERROR(__xludf.DUMMYFUNCTION("""COMPUTED_VALUE"""),"Отгружен")</f>
        <v>Отгружен</v>
      </c>
      <c r="O164" s="537"/>
      <c r="P164" s="338"/>
      <c r="Q164" s="338"/>
      <c r="R164" s="338"/>
      <c r="S164" s="338"/>
      <c r="T164" s="338"/>
      <c r="U164" s="338"/>
      <c r="V164" s="338"/>
      <c r="W164" s="338"/>
      <c r="X164" s="338"/>
      <c r="Y164" s="338"/>
      <c r="Z164" s="338"/>
    </row>
    <row r="165" ht="22.5" customHeight="1">
      <c r="A165" s="528" t="str">
        <f>IFERROR(__xludf.DUMMYFUNCTION("""COMPUTED_VALUE"""),"ОЗОН")</f>
        <v>ОЗОН</v>
      </c>
      <c r="B165" s="528"/>
      <c r="C165" s="528" t="str">
        <f>IFERROR(__xludf.DUMMYFUNCTION("""COMPUTED_VALUE"""),"Стикер ""Важно что ешь""")</f>
        <v>Стикер "Важно что ешь"</v>
      </c>
      <c r="D165" s="528">
        <f>IFERROR(__xludf.DUMMYFUNCTION("""COMPUTED_VALUE"""),1756.0)</f>
        <v>1756</v>
      </c>
      <c r="E165" s="528" t="str">
        <f>IFERROR(__xludf.DUMMYFUNCTION("""COMPUTED_VALUE"""),"Римма Лукина")</f>
        <v>Римма Лукина</v>
      </c>
      <c r="F165" s="535" t="str">
        <f>IFERROR(__xludf.DUMMYFUNCTION("""COMPUTED_VALUE"""),"Повтор")</f>
        <v>Повтор</v>
      </c>
      <c r="G165" s="536" t="str">
        <f>IFERROR(__xludf.DUMMYFUNCTION("""COMPUTED_VALUE"""),"D 70")</f>
        <v>D 70</v>
      </c>
      <c r="H165" s="338" t="str">
        <f>IFERROR(__xludf.DUMMYFUNCTION("""COMPUTED_VALUE"""),"Флексопечать")</f>
        <v>Флексопечать</v>
      </c>
      <c r="I165" s="338" t="str">
        <f>IFERROR(__xludf.DUMMYFUNCTION("""COMPUTED_VALUE"""),"Bg-330")</f>
        <v>Bg-330</v>
      </c>
      <c r="J165" s="536">
        <f>IFERROR(__xludf.DUMMYFUNCTION("""COMPUTED_VALUE"""),100000.0)</f>
        <v>100000</v>
      </c>
      <c r="K165" s="537">
        <f>IFERROR(__xludf.DUMMYFUNCTION("""COMPUTED_VALUE"""),46129.0)</f>
        <v>46129</v>
      </c>
      <c r="L165" s="537"/>
      <c r="M165" s="338" t="str">
        <f>IFERROR(__xludf.DUMMYFUNCTION("""COMPUTED_VALUE"""),"Бумага полуглянец акрил")</f>
        <v>Бумага полуглянец акрил</v>
      </c>
      <c r="N165" s="338" t="str">
        <f>IFERROR(__xludf.DUMMYFUNCTION("""COMPUTED_VALUE"""),"Отгружен")</f>
        <v>Отгружен</v>
      </c>
      <c r="O165" s="537"/>
      <c r="P165" s="338" t="str">
        <f>IFERROR(__xludf.DUMMYFUNCTION("""COMPUTED_VALUE"""),"уже печатали тест этой этикетки")</f>
        <v>уже печатали тест этой этикетки</v>
      </c>
      <c r="Q165" s="338"/>
      <c r="R165" s="338"/>
      <c r="S165" s="338"/>
      <c r="T165" s="338"/>
      <c r="U165" s="338"/>
      <c r="V165" s="338"/>
      <c r="W165" s="338"/>
      <c r="X165" s="338"/>
      <c r="Y165" s="338"/>
      <c r="Z165" s="338"/>
    </row>
    <row r="166" ht="22.5" customHeight="1">
      <c r="A166" s="528" t="str">
        <f>IFERROR(__xludf.DUMMYFUNCTION("""COMPUTED_VALUE"""),"ООО""ФэрельГам""")</f>
        <v>ООО"ФэрельГам"</v>
      </c>
      <c r="B166" s="528"/>
      <c r="C166" s="528" t="str">
        <f>IFERROR(__xludf.DUMMYFUNCTION("""COMPUTED_VALUE"""),"470830 Хренодер Классический 220 г (Green vitamin) этик.")</f>
        <v>470830 Хренодер Классический 220 г (Green vitamin) этик.</v>
      </c>
      <c r="D166" s="528">
        <f>IFERROR(__xludf.DUMMYFUNCTION("""COMPUTED_VALUE"""),1884.0)</f>
        <v>1884</v>
      </c>
      <c r="E166" s="528" t="str">
        <f>IFERROR(__xludf.DUMMYFUNCTION("""COMPUTED_VALUE"""),"Баранов Александр")</f>
        <v>Баранов Александр</v>
      </c>
      <c r="F166" s="535" t="str">
        <f>IFERROR(__xludf.DUMMYFUNCTION("""COMPUTED_VALUE"""),"Новая")</f>
        <v>Новая</v>
      </c>
      <c r="G166" s="536" t="str">
        <f>IFERROR(__xludf.DUMMYFUNCTION("""COMPUTED_VALUE"""),"60*160")</f>
        <v>60*160</v>
      </c>
      <c r="H166" s="338" t="str">
        <f>IFERROR(__xludf.DUMMYFUNCTION("""COMPUTED_VALUE"""),"Флексопечать")</f>
        <v>Флексопечать</v>
      </c>
      <c r="I166" s="338" t="str">
        <f>IFERROR(__xludf.DUMMYFUNCTION("""COMPUTED_VALUE"""),"Wg-450")</f>
        <v>Wg-450</v>
      </c>
      <c r="J166" s="536">
        <f>IFERROR(__xludf.DUMMYFUNCTION("""COMPUTED_VALUE"""),20000.0)</f>
        <v>20000</v>
      </c>
      <c r="K166" s="537">
        <f>IFERROR(__xludf.DUMMYFUNCTION("""COMPUTED_VALUE"""),46134.0)</f>
        <v>46134</v>
      </c>
      <c r="L166" s="537"/>
      <c r="M166" s="338" t="str">
        <f>IFERROR(__xludf.DUMMYFUNCTION("""COMPUTED_VALUE"""),"Пленка PP белая каучук")</f>
        <v>Пленка PP белая каучук</v>
      </c>
      <c r="N166" s="338" t="str">
        <f>IFERROR(__xludf.DUMMYFUNCTION("""COMPUTED_VALUE"""),"Отгружен")</f>
        <v>Отгружен</v>
      </c>
      <c r="O166" s="537"/>
      <c r="P166" s="338" t="str">
        <f>IFERROR(__xludf.DUMMYFUNCTION("""COMPUTED_VALUE"""),"СОГЛАСОВАН")</f>
        <v>СОГЛАСОВАН</v>
      </c>
      <c r="Q166" s="338"/>
      <c r="R166" s="338"/>
      <c r="S166" s="338"/>
      <c r="T166" s="338"/>
      <c r="U166" s="338"/>
      <c r="V166" s="338"/>
      <c r="W166" s="338"/>
      <c r="X166" s="338"/>
      <c r="Y166" s="338"/>
      <c r="Z166" s="338"/>
    </row>
    <row r="167" ht="22.5" customHeight="1">
      <c r="A167" s="528" t="str">
        <f>IFERROR(__xludf.DUMMYFUNCTION("""COMPUTED_VALUE"""),"ООО""ФэрельГам""")</f>
        <v>ООО"ФэрельГам"</v>
      </c>
      <c r="B167" s="528"/>
      <c r="C167" s="528" t="str">
        <f>IFERROR(__xludf.DUMMYFUNCTION("""COMPUTED_VALUE"""),"стикеры")</f>
        <v>стикеры</v>
      </c>
      <c r="D167" s="528">
        <f>IFERROR(__xludf.DUMMYFUNCTION("""COMPUTED_VALUE"""),1929.0)</f>
        <v>1929</v>
      </c>
      <c r="E167" s="528" t="str">
        <f>IFERROR(__xludf.DUMMYFUNCTION("""COMPUTED_VALUE"""),"Баранов Александр")</f>
        <v>Баранов Александр</v>
      </c>
      <c r="F167" s="535" t="str">
        <f>IFERROR(__xludf.DUMMYFUNCTION("""COMPUTED_VALUE"""),"Новая")</f>
        <v>Новая</v>
      </c>
      <c r="G167" s="536" t="str">
        <f>IFERROR(__xludf.DUMMYFUNCTION("""COMPUTED_VALUE"""),"58*30")</f>
        <v>58*30</v>
      </c>
      <c r="H167" s="338" t="str">
        <f>IFERROR(__xludf.DUMMYFUNCTION("""COMPUTED_VALUE"""),"Флексопечать")</f>
        <v>Флексопечать</v>
      </c>
      <c r="I167" s="338" t="str">
        <f>IFERROR(__xludf.DUMMYFUNCTION("""COMPUTED_VALUE"""),"G-160")</f>
        <v>G-160</v>
      </c>
      <c r="J167" s="536">
        <f>IFERROR(__xludf.DUMMYFUNCTION("""COMPUTED_VALUE"""),300000.0)</f>
        <v>300000</v>
      </c>
      <c r="K167" s="537">
        <f>IFERROR(__xludf.DUMMYFUNCTION("""COMPUTED_VALUE"""),46139.0)</f>
        <v>46139</v>
      </c>
      <c r="L167" s="537"/>
      <c r="M167" s="338" t="str">
        <f>IFERROR(__xludf.DUMMYFUNCTION("""COMPUTED_VALUE"""),"Термо Топ")</f>
        <v>Термо Топ</v>
      </c>
      <c r="N167" s="338" t="str">
        <f>IFERROR(__xludf.DUMMYFUNCTION("""COMPUTED_VALUE"""),"Отгружен")</f>
        <v>Отгружен</v>
      </c>
      <c r="O167" s="537"/>
      <c r="P167" s="338"/>
      <c r="Q167" s="338"/>
      <c r="R167" s="338"/>
      <c r="S167" s="338"/>
      <c r="T167" s="338"/>
      <c r="U167" s="338"/>
      <c r="V167" s="338"/>
      <c r="W167" s="338"/>
      <c r="X167" s="338"/>
      <c r="Y167" s="338"/>
      <c r="Z167" s="338"/>
    </row>
    <row r="168" ht="22.5" customHeight="1">
      <c r="A168" s="528" t="str">
        <f>IFERROR(__xludf.DUMMYFUNCTION("""COMPUTED_VALUE"""),"Калье")</f>
        <v>Калье</v>
      </c>
      <c r="B168" s="528"/>
      <c r="C168" s="528" t="str">
        <f>IFERROR(__xludf.DUMMYFUNCTION("""COMPUTED_VALUE"""),"Кислотная смывка Swap Color, ADRICOCO, 200 мл КОМПЛЕКТ")</f>
        <v>Кислотная смывка Swap Color, ADRICOCO, 200 мл КОМПЛЕКТ</v>
      </c>
      <c r="D168" s="528" t="str">
        <f>IFERROR(__xludf.DUMMYFUNCTION("""COMPUTED_VALUE"""),"1718/1719")</f>
        <v>1718/1719</v>
      </c>
      <c r="E168" s="528" t="str">
        <f>IFERROR(__xludf.DUMMYFUNCTION("""COMPUTED_VALUE"""),"Татьяна Денисова")</f>
        <v>Татьяна Денисова</v>
      </c>
      <c r="F168" s="535" t="str">
        <f>IFERROR(__xludf.DUMMYFUNCTION("""COMPUTED_VALUE"""),"Новая")</f>
        <v>Новая</v>
      </c>
      <c r="G168" s="536" t="str">
        <f>IFERROR(__xludf.DUMMYFUNCTION("""COMPUTED_VALUE"""),"115*140")</f>
        <v>115*140</v>
      </c>
      <c r="H168" s="338" t="str">
        <f>IFERROR(__xludf.DUMMYFUNCTION("""COMPUTED_VALUE"""),"Флексопечать")</f>
        <v>Флексопечать</v>
      </c>
      <c r="I168" s="338" t="str">
        <f>IFERROR(__xludf.DUMMYFUNCTION("""COMPUTED_VALUE"""),"Wg-450")</f>
        <v>Wg-450</v>
      </c>
      <c r="J168" s="536">
        <f>IFERROR(__xludf.DUMMYFUNCTION("""COMPUTED_VALUE"""),80000.0)</f>
        <v>80000</v>
      </c>
      <c r="K168" s="537">
        <f>IFERROR(__xludf.DUMMYFUNCTION("""COMPUTED_VALUE"""),46126.0)</f>
        <v>46126</v>
      </c>
      <c r="L168" s="537"/>
      <c r="M168" s="338" t="str">
        <f>IFERROR(__xludf.DUMMYFUNCTION("""COMPUTED_VALUE"""),"Пленка PP белая акрил")</f>
        <v>Пленка PP белая акрил</v>
      </c>
      <c r="N168" s="338" t="str">
        <f>IFERROR(__xludf.DUMMYFUNCTION("""COMPUTED_VALUE"""),"Отгружен")</f>
        <v>Отгружен</v>
      </c>
      <c r="O168" s="537"/>
      <c r="P168" s="338" t="str">
        <f>IFERROR(__xludf.DUMMYFUNCTION("""COMPUTED_VALUE"""),"Приладка заказа как и всегда в раб дни с 8:30 до 17:30. Упаковать бобины в стрейч и коробки")</f>
        <v>Приладка заказа как и всегда в раб дни с 8:30 до 17:30. Упаковать бобины в стрейч и коробки</v>
      </c>
      <c r="Q168" s="338" t="str">
        <f>IFERROR(__xludf.DUMMYFUNCTION("""COMPUTED_VALUE"""),"Сама заказываю ТК")</f>
        <v>Сама заказываю ТК</v>
      </c>
      <c r="R168" s="338"/>
      <c r="S168" s="338"/>
      <c r="T168" s="338"/>
      <c r="U168" s="338"/>
      <c r="V168" s="338"/>
      <c r="W168" s="338"/>
      <c r="X168" s="338"/>
      <c r="Y168" s="338"/>
      <c r="Z168" s="338"/>
    </row>
    <row r="169" ht="22.5" customHeight="1">
      <c r="A169" s="528" t="str">
        <f>IFERROR(__xludf.DUMMYFUNCTION("""COMPUTED_VALUE"""),"Калье")</f>
        <v>Калье</v>
      </c>
      <c r="B169" s="528"/>
      <c r="C169" s="528" t="str">
        <f>IFERROR(__xludf.DUMMYFUNCTION("""COMPUTED_VALUE"""),"Бальзам + Шампунь WEEL Кератиновый комплекс TNL Professional, 1000 мл")</f>
        <v>Бальзам + Шампунь WEEL Кератиновый комплекс TNL Professional, 1000 мл</v>
      </c>
      <c r="D169" s="528" t="str">
        <f>IFERROR(__xludf.DUMMYFUNCTION("""COMPUTED_VALUE"""),"1722/1723")</f>
        <v>1722/1723</v>
      </c>
      <c r="E169" s="528" t="str">
        <f>IFERROR(__xludf.DUMMYFUNCTION("""COMPUTED_VALUE"""),"Татьяна Денисова")</f>
        <v>Татьяна Денисова</v>
      </c>
      <c r="F169" s="535" t="str">
        <f>IFERROR(__xludf.DUMMYFUNCTION("""COMPUTED_VALUE"""),"Повтор с изменениями")</f>
        <v>Повтор с изменениями</v>
      </c>
      <c r="G169" s="536" t="str">
        <f>IFERROR(__xludf.DUMMYFUNCTION("""COMPUTED_VALUE"""),"150*230 ")</f>
        <v>150*230 </v>
      </c>
      <c r="H169" s="338" t="str">
        <f>IFERROR(__xludf.DUMMYFUNCTION("""COMPUTED_VALUE"""),"Флексопечать")</f>
        <v>Флексопечать</v>
      </c>
      <c r="I169" s="338" t="str">
        <f>IFERROR(__xludf.DUMMYFUNCTION("""COMPUTED_VALUE"""),"Bg-330")</f>
        <v>Bg-330</v>
      </c>
      <c r="J169" s="536" t="str">
        <f>IFERROR(__xludf.DUMMYFUNCTION("""COMPUTED_VALUE"""),"10000+20000")</f>
        <v>10000+20000</v>
      </c>
      <c r="K169" s="537">
        <f>IFERROR(__xludf.DUMMYFUNCTION("""COMPUTED_VALUE"""),46127.0)</f>
        <v>46127</v>
      </c>
      <c r="L169" s="537"/>
      <c r="M169" s="338" t="str">
        <f>IFERROR(__xludf.DUMMYFUNCTION("""COMPUTED_VALUE"""),"Пленка PP белая акрил")</f>
        <v>Пленка PP белая акрил</v>
      </c>
      <c r="N169" s="338" t="str">
        <f>IFERROR(__xludf.DUMMYFUNCTION("""COMPUTED_VALUE"""),"Отгружен")</f>
        <v>Отгружен</v>
      </c>
      <c r="O169" s="537"/>
      <c r="P169" s="338" t="str">
        <f>IFERROR(__xludf.DUMMYFUNCTION("""COMPUTED_VALUE"""),"Приладка заказа как и всегда в раб дни с 8:30 до 17:30. Упаковать бобины в стрейч и коробки")</f>
        <v>Приладка заказа как и всегда в раб дни с 8:30 до 17:30. Упаковать бобины в стрейч и коробки</v>
      </c>
      <c r="Q169" s="338" t="str">
        <f>IFERROR(__xludf.DUMMYFUNCTION("""COMPUTED_VALUE"""),"Сама заказываю ТК")</f>
        <v>Сама заказываю ТК</v>
      </c>
      <c r="R169" s="338"/>
      <c r="S169" s="338"/>
      <c r="T169" s="338"/>
      <c r="U169" s="338"/>
      <c r="V169" s="338"/>
      <c r="W169" s="338"/>
      <c r="X169" s="338"/>
      <c r="Y169" s="338"/>
      <c r="Z169" s="338"/>
    </row>
    <row r="170" ht="22.5" customHeight="1">
      <c r="A170" s="528" t="str">
        <f>IFERROR(__xludf.DUMMYFUNCTION("""COMPUTED_VALUE"""),"Калье")</f>
        <v>Калье</v>
      </c>
      <c r="B170" s="528"/>
      <c r="C170" s="528" t="str">
        <f>IFERROR(__xludf.DUMMYFUNCTION("""COMPUTED_VALUE"""),"Бальзам + Шампунь WEEL формула с церамидами TNL Professional, 1000 мл")</f>
        <v>Бальзам + Шампунь WEEL формула с церамидами TNL Professional, 1000 мл</v>
      </c>
      <c r="D170" s="528" t="str">
        <f>IFERROR(__xludf.DUMMYFUNCTION("""COMPUTED_VALUE"""),"1724/1725")</f>
        <v>1724/1725</v>
      </c>
      <c r="E170" s="528" t="str">
        <f>IFERROR(__xludf.DUMMYFUNCTION("""COMPUTED_VALUE"""),"Татьяна Денисова")</f>
        <v>Татьяна Денисова</v>
      </c>
      <c r="F170" s="535" t="str">
        <f>IFERROR(__xludf.DUMMYFUNCTION("""COMPUTED_VALUE"""),"Повтор с изменениями")</f>
        <v>Повтор с изменениями</v>
      </c>
      <c r="G170" s="536" t="str">
        <f>IFERROR(__xludf.DUMMYFUNCTION("""COMPUTED_VALUE"""),"150*230 ")</f>
        <v>150*230 </v>
      </c>
      <c r="H170" s="338" t="str">
        <f>IFERROR(__xludf.DUMMYFUNCTION("""COMPUTED_VALUE"""),"Флексопечать")</f>
        <v>Флексопечать</v>
      </c>
      <c r="I170" s="338" t="str">
        <f>IFERROR(__xludf.DUMMYFUNCTION("""COMPUTED_VALUE"""),"Bg-330")</f>
        <v>Bg-330</v>
      </c>
      <c r="J170" s="536" t="str">
        <f>IFERROR(__xludf.DUMMYFUNCTION("""COMPUTED_VALUE"""),"2*10000")</f>
        <v>2*10000</v>
      </c>
      <c r="K170" s="537">
        <f>IFERROR(__xludf.DUMMYFUNCTION("""COMPUTED_VALUE"""),46127.0)</f>
        <v>46127</v>
      </c>
      <c r="L170" s="537"/>
      <c r="M170" s="338" t="str">
        <f>IFERROR(__xludf.DUMMYFUNCTION("""COMPUTED_VALUE"""),"Пленка PP белая акрил")</f>
        <v>Пленка PP белая акрил</v>
      </c>
      <c r="N170" s="338" t="str">
        <f>IFERROR(__xludf.DUMMYFUNCTION("""COMPUTED_VALUE"""),"Отгружен")</f>
        <v>Отгружен</v>
      </c>
      <c r="O170" s="537"/>
      <c r="P170" s="338" t="str">
        <f>IFERROR(__xludf.DUMMYFUNCTION("""COMPUTED_VALUE"""),"Приладка заказа как и всегда в раб дни с 8:30 до 17:30. Упаковать бобины в стрейч и коробки")</f>
        <v>Приладка заказа как и всегда в раб дни с 8:30 до 17:30. Упаковать бобины в стрейч и коробки</v>
      </c>
      <c r="Q170" s="338" t="str">
        <f>IFERROR(__xludf.DUMMYFUNCTION("""COMPUTED_VALUE"""),"Сама заказываю ТК")</f>
        <v>Сама заказываю ТК</v>
      </c>
      <c r="R170" s="338"/>
      <c r="S170" s="338"/>
      <c r="T170" s="338"/>
      <c r="U170" s="338"/>
      <c r="V170" s="338"/>
      <c r="W170" s="338"/>
      <c r="X170" s="338"/>
      <c r="Y170" s="338"/>
      <c r="Z170" s="338"/>
    </row>
    <row r="171" ht="22.5" customHeight="1">
      <c r="A171" s="528" t="str">
        <f>IFERROR(__xludf.DUMMYFUNCTION("""COMPUTED_VALUE"""),"Калье")</f>
        <v>Калье</v>
      </c>
      <c r="B171" s="528"/>
      <c r="C171" s="528" t="str">
        <f>IFERROR(__xludf.DUMMYFUNCTION("""COMPUTED_VALUE"""),"Линейка Prof Adri 1000 мл коричневые")</f>
        <v>Линейка Prof Adri 1000 мл коричневые</v>
      </c>
      <c r="D171" s="528" t="str">
        <f>IFERROR(__xludf.DUMMYFUNCTION("""COMPUTED_VALUE"""),"1726-1730")</f>
        <v>1726-1730</v>
      </c>
      <c r="E171" s="528" t="str">
        <f>IFERROR(__xludf.DUMMYFUNCTION("""COMPUTED_VALUE"""),"Татьяна Денисова")</f>
        <v>Татьяна Денисова</v>
      </c>
      <c r="F171" s="535" t="str">
        <f>IFERROR(__xludf.DUMMYFUNCTION("""COMPUTED_VALUE"""),"Новая")</f>
        <v>Новая</v>
      </c>
      <c r="G171" s="536" t="str">
        <f>IFERROR(__xludf.DUMMYFUNCTION("""COMPUTED_VALUE"""),"150*230 ")</f>
        <v>150*230 </v>
      </c>
      <c r="H171" s="338" t="str">
        <f>IFERROR(__xludf.DUMMYFUNCTION("""COMPUTED_VALUE"""),"Флексопечать")</f>
        <v>Флексопечать</v>
      </c>
      <c r="I171" s="338" t="str">
        <f>IFERROR(__xludf.DUMMYFUNCTION("""COMPUTED_VALUE"""),"Bg-330")</f>
        <v>Bg-330</v>
      </c>
      <c r="J171" s="536" t="str">
        <f>IFERROR(__xludf.DUMMYFUNCTION("""COMPUTED_VALUE"""),"5*10000")</f>
        <v>5*10000</v>
      </c>
      <c r="K171" s="537">
        <f>IFERROR(__xludf.DUMMYFUNCTION("""COMPUTED_VALUE"""),46127.0)</f>
        <v>46127</v>
      </c>
      <c r="L171" s="537"/>
      <c r="M171" s="338" t="str">
        <f>IFERROR(__xludf.DUMMYFUNCTION("""COMPUTED_VALUE"""),"Пленка PP белая акрил")</f>
        <v>Пленка PP белая акрил</v>
      </c>
      <c r="N171" s="338" t="str">
        <f>IFERROR(__xludf.DUMMYFUNCTION("""COMPUTED_VALUE"""),"Отгружен")</f>
        <v>Отгружен</v>
      </c>
      <c r="O171" s="537"/>
      <c r="P171" s="338" t="str">
        <f>IFERROR(__xludf.DUMMYFUNCTION("""COMPUTED_VALUE"""),"Коричневый в цвет литрового темно-коричневого флакона!! Флакон на производстве (14 числа печатали такой коричневый маленькую этикетку) На приладке показать этикетку полностью + на флаконе. Этикетка должна сливаться цветом с флаконом)) Приладка заказа как "&amp;"и всегда в раб дни с 8:30 до 17:30. Упаковать бобины в стрейч и коробки")</f>
        <v>Коричневый в цвет литрового темно-коричневого флакона!! Флакон на производстве (14 числа печатали такой коричневый маленькую этикетку) На приладке показать этикетку полностью + на флаконе. Этикетка должна сливаться цветом с флаконом)) Приладка заказа как и всегда в раб дни с 8:30 до 17:30. Упаковать бобины в стрейч и коробки</v>
      </c>
      <c r="Q171" s="338" t="str">
        <f>IFERROR(__xludf.DUMMYFUNCTION("""COMPUTED_VALUE"""),"Сама заказываю ТК")</f>
        <v>Сама заказываю ТК</v>
      </c>
      <c r="R171" s="338"/>
      <c r="S171" s="338"/>
      <c r="T171" s="338"/>
      <c r="U171" s="338"/>
      <c r="V171" s="338"/>
      <c r="W171" s="338"/>
      <c r="X171" s="338"/>
      <c r="Y171" s="338"/>
      <c r="Z171" s="338"/>
    </row>
    <row r="172" ht="22.5" customHeight="1">
      <c r="A172" s="528" t="str">
        <f>IFERROR(__xludf.DUMMYFUNCTION("""COMPUTED_VALUE"""),"Калье")</f>
        <v>Калье</v>
      </c>
      <c r="B172" s="528"/>
      <c r="C172" s="528" t="str">
        <f>IFERROR(__xludf.DUMMYFUNCTION("""COMPUTED_VALUE"""),"2 Шампуня Pharm Helper против выпадения / против перхоти 400 мл")</f>
        <v>2 Шампуня Pharm Helper против выпадения / против перхоти 400 мл</v>
      </c>
      <c r="D172" s="528" t="str">
        <f>IFERROR(__xludf.DUMMYFUNCTION("""COMPUTED_VALUE"""),"1731/1732")</f>
        <v>1731/1732</v>
      </c>
      <c r="E172" s="528" t="str">
        <f>IFERROR(__xludf.DUMMYFUNCTION("""COMPUTED_VALUE"""),"Татьяна Денисова")</f>
        <v>Татьяна Денисова</v>
      </c>
      <c r="F172" s="535" t="str">
        <f>IFERROR(__xludf.DUMMYFUNCTION("""COMPUTED_VALUE"""),"Новая")</f>
        <v>Новая</v>
      </c>
      <c r="G172" s="536" t="str">
        <f>IFERROR(__xludf.DUMMYFUNCTION("""COMPUTED_VALUE"""),"100*204")</f>
        <v>100*204</v>
      </c>
      <c r="H172" s="338" t="str">
        <f>IFERROR(__xludf.DUMMYFUNCTION("""COMPUTED_VALUE"""),"Флексопечать")</f>
        <v>Флексопечать</v>
      </c>
      <c r="I172" s="338" t="str">
        <f>IFERROR(__xludf.DUMMYFUNCTION("""COMPUTED_VALUE"""),"Bg-330")</f>
        <v>Bg-330</v>
      </c>
      <c r="J172" s="536" t="str">
        <f>IFERROR(__xludf.DUMMYFUNCTION("""COMPUTED_VALUE"""),"2*5000")</f>
        <v>2*5000</v>
      </c>
      <c r="K172" s="537">
        <f>IFERROR(__xludf.DUMMYFUNCTION("""COMPUTED_VALUE"""),46127.0)</f>
        <v>46127</v>
      </c>
      <c r="L172" s="537"/>
      <c r="M172" s="338" t="str">
        <f>IFERROR(__xludf.DUMMYFUNCTION("""COMPUTED_VALUE"""),"Пленка PP белая акрил")</f>
        <v>Пленка PP белая акрил</v>
      </c>
      <c r="N172" s="338" t="str">
        <f>IFERROR(__xludf.DUMMYFUNCTION("""COMPUTED_VALUE"""),"Отгружен")</f>
        <v>Отгружен</v>
      </c>
      <c r="O172" s="537"/>
      <c r="P172" s="338" t="str">
        <f>IFERROR(__xludf.DUMMYFUNCTION("""COMPUTED_VALUE"""),"Приладка заказа как и всегда в раб дни с 8:30 до 17:30. Упаковать бобины в стрейч и коробки")</f>
        <v>Приладка заказа как и всегда в раб дни с 8:30 до 17:30. Упаковать бобины в стрейч и коробки</v>
      </c>
      <c r="Q172" s="338" t="str">
        <f>IFERROR(__xludf.DUMMYFUNCTION("""COMPUTED_VALUE"""),"Сама заказываю ТК")</f>
        <v>Сама заказываю ТК</v>
      </c>
      <c r="R172" s="338"/>
      <c r="S172" s="338"/>
      <c r="T172" s="338"/>
      <c r="U172" s="338"/>
      <c r="V172" s="338"/>
      <c r="W172" s="338"/>
      <c r="X172" s="338"/>
      <c r="Y172" s="338"/>
      <c r="Z172" s="338"/>
    </row>
    <row r="173" ht="22.5" customHeight="1">
      <c r="A173" s="528" t="str">
        <f>IFERROR(__xludf.DUMMYFUNCTION("""COMPUTED_VALUE"""),"Калье")</f>
        <v>Калье</v>
      </c>
      <c r="B173" s="528"/>
      <c r="C173" s="528" t="str">
        <f>IFERROR(__xludf.DUMMYFUNCTION("""COMPUTED_VALUE"""),"Nuar Спреи 200 мл")</f>
        <v>Nuar Спреи 200 мл</v>
      </c>
      <c r="D173" s="528" t="str">
        <f>IFERROR(__xludf.DUMMYFUNCTION("""COMPUTED_VALUE"""),"1785-1786")</f>
        <v>1785-1786</v>
      </c>
      <c r="E173" s="528" t="str">
        <f>IFERROR(__xludf.DUMMYFUNCTION("""COMPUTED_VALUE"""),"Татьяна Денисова")</f>
        <v>Татьяна Денисова</v>
      </c>
      <c r="F173" s="535" t="str">
        <f>IFERROR(__xludf.DUMMYFUNCTION("""COMPUTED_VALUE"""),"Повтор с изменениями")</f>
        <v>Повтор с изменениями</v>
      </c>
      <c r="G173" s="536" t="str">
        <f>IFERROR(__xludf.DUMMYFUNCTION("""COMPUTED_VALUE"""),"105*145")</f>
        <v>105*145</v>
      </c>
      <c r="H173" s="338" t="str">
        <f>IFERROR(__xludf.DUMMYFUNCTION("""COMPUTED_VALUE"""),"Флексопечать")</f>
        <v>Флексопечать</v>
      </c>
      <c r="I173" s="338" t="str">
        <f>IFERROR(__xludf.DUMMYFUNCTION("""COMPUTED_VALUE"""),"Bg-330")</f>
        <v>Bg-330</v>
      </c>
      <c r="J173" s="536" t="str">
        <f>IFERROR(__xludf.DUMMYFUNCTION("""COMPUTED_VALUE"""),"2*10000")</f>
        <v>2*10000</v>
      </c>
      <c r="K173" s="537">
        <f>IFERROR(__xludf.DUMMYFUNCTION("""COMPUTED_VALUE"""),46132.0)</f>
        <v>46132</v>
      </c>
      <c r="L173" s="537"/>
      <c r="M173" s="338" t="str">
        <f>IFERROR(__xludf.DUMMYFUNCTION("""COMPUTED_VALUE"""),"Пленка PP белая акрил")</f>
        <v>Пленка PP белая акрил</v>
      </c>
      <c r="N173" s="338" t="str">
        <f>IFERROR(__xludf.DUMMYFUNCTION("""COMPUTED_VALUE"""),"Отгружен")</f>
        <v>Отгружен</v>
      </c>
      <c r="O173" s="537"/>
      <c r="P173" s="338" t="str">
        <f>IFERROR(__xludf.DUMMYFUNCTION("""COMPUTED_VALUE"""),"ДЛЯ АЛЕКСАНДРА: контроль плотности двух слоев белил, должен быть плотный белый!! при приклейке на флакон (светло-коричневый маленький) - белый должен быть плотным и не просвечивать. особенно в месте квадрата под честный знак. Приладка в раб дни до 17:30 к"&amp;"ак обычно 
Розовый в цвет крышки после приклейки на флакон. Печать на прозрачке покачественнее (на ней печатали все пред поставки, кроме последней - по последней были претензии!! Нужна старая пленка, как обсуждали")</f>
        <v>ДЛЯ АЛЕКСАНДРА: контроль плотности двух слоев белил, должен быть плотный белый!! при приклейке на флакон (светло-коричневый маленький) - белый должен быть плотным и не просвечивать. особенно в месте квадрата под честный знак. Приладка в раб дни до 17:30 как обычно 
Розовый в цвет крышки после приклейки на флакон. Печать на прозрачке покачественнее (на ней печатали все пред поставки, кроме последней - по последней были претензии!! Нужна старая пленка, как обсуждали</v>
      </c>
      <c r="Q173" s="338" t="str">
        <f>IFERROR(__xludf.DUMMYFUNCTION("""COMPUTED_VALUE"""),"сама ТК заказываю")</f>
        <v>сама ТК заказываю</v>
      </c>
      <c r="R173" s="338"/>
      <c r="S173" s="338"/>
      <c r="T173" s="338"/>
      <c r="U173" s="338"/>
      <c r="V173" s="338"/>
      <c r="W173" s="338"/>
      <c r="X173" s="338"/>
      <c r="Y173" s="338"/>
      <c r="Z173" s="338"/>
    </row>
    <row r="174" ht="22.5" customHeight="1">
      <c r="A174" s="528" t="str">
        <f>IFERROR(__xludf.DUMMYFUNCTION("""COMPUTED_VALUE"""),"ЯПД")</f>
        <v>ЯПД</v>
      </c>
      <c r="B174" s="528"/>
      <c r="C174" s="528" t="str">
        <f>IFERROR(__xludf.DUMMYFUNCTION("""COMPUTED_VALUE"""),"Сердечки Сбер + самокат")</f>
        <v>Сердечки Сбер + самокат</v>
      </c>
      <c r="D174" s="528" t="str">
        <f>IFERROR(__xludf.DUMMYFUNCTION("""COMPUTED_VALUE"""),"1800-1801")</f>
        <v>1800-1801</v>
      </c>
      <c r="E174" s="528" t="str">
        <f>IFERROR(__xludf.DUMMYFUNCTION("""COMPUTED_VALUE"""),"Татьяна Денисова")</f>
        <v>Татьяна Денисова</v>
      </c>
      <c r="F174" s="535" t="str">
        <f>IFERROR(__xludf.DUMMYFUNCTION("""COMPUTED_VALUE"""),"Новая")</f>
        <v>Новая</v>
      </c>
      <c r="G174" s="536" t="str">
        <f>IFERROR(__xludf.DUMMYFUNCTION("""COMPUTED_VALUE"""),"125*100")</f>
        <v>125*100</v>
      </c>
      <c r="H174" s="338" t="str">
        <f>IFERROR(__xludf.DUMMYFUNCTION("""COMPUTED_VALUE"""),"Цифра+Лазер")</f>
        <v>Цифра+Лазер</v>
      </c>
      <c r="I174" s="338" t="str">
        <f>IFERROR(__xludf.DUMMYFUNCTION("""COMPUTED_VALUE"""),"LS(ЦПМ)")</f>
        <v>LS(ЦПМ)</v>
      </c>
      <c r="J174" s="536" t="str">
        <f>IFERROR(__xludf.DUMMYFUNCTION("""COMPUTED_VALUE"""),"2*910")</f>
        <v>2*910</v>
      </c>
      <c r="K174" s="537">
        <f>IFERROR(__xludf.DUMMYFUNCTION("""COMPUTED_VALUE"""),46132.0)</f>
        <v>46132</v>
      </c>
      <c r="L174" s="537"/>
      <c r="M174" s="338" t="str">
        <f>IFERROR(__xludf.DUMMYFUNCTION("""COMPUTED_VALUE"""),"Бумага полуглянец акрил")</f>
        <v>Бумага полуглянец акрил</v>
      </c>
      <c r="N174" s="338" t="str">
        <f>IFERROR(__xludf.DUMMYFUNCTION("""COMPUTED_VALUE"""),"Отгружен")</f>
        <v>Отгружен</v>
      </c>
      <c r="O174" s="537"/>
      <c r="P174" s="338" t="str">
        <f>IFERROR(__xludf.DUMMYFUNCTION("""COMPUTED_VALUE"""),"Маркировка!")</f>
        <v>Маркировка!</v>
      </c>
      <c r="Q174" s="338" t="str">
        <f>IFERROR(__xludf.DUMMYFUNCTION("""COMPUTED_VALUE"""),"Самовывоз")</f>
        <v>Самовывоз</v>
      </c>
      <c r="R174" s="338"/>
      <c r="S174" s="338"/>
      <c r="T174" s="338"/>
      <c r="U174" s="338"/>
      <c r="V174" s="338"/>
      <c r="W174" s="338"/>
      <c r="X174" s="338"/>
      <c r="Y174" s="338"/>
      <c r="Z174" s="338"/>
    </row>
    <row r="175" ht="22.5" customHeight="1">
      <c r="A175" s="528" t="str">
        <f>IFERROR(__xludf.DUMMYFUNCTION("""COMPUTED_VALUE"""),"ООО""ФэрельГам""")</f>
        <v>ООО"ФэрельГам"</v>
      </c>
      <c r="B175" s="528"/>
      <c r="C175" s="528" t="str">
        <f>IFERROR(__xludf.DUMMYFUNCTION("""COMPUTED_VALUE"""),"470759 Спаржа по-корейски 400 г этик.")</f>
        <v>470759 Спаржа по-корейски 400 г этик.</v>
      </c>
      <c r="D175" s="528">
        <f>IFERROR(__xludf.DUMMYFUNCTION("""COMPUTED_VALUE"""),1945.0)</f>
        <v>1945</v>
      </c>
      <c r="E175" s="528" t="str">
        <f>IFERROR(__xludf.DUMMYFUNCTION("""COMPUTED_VALUE"""),"Баранов Александр")</f>
        <v>Баранов Александр</v>
      </c>
      <c r="F175" s="535" t="str">
        <f>IFERROR(__xludf.DUMMYFUNCTION("""COMPUTED_VALUE"""),"Новая")</f>
        <v>Новая</v>
      </c>
      <c r="G175" s="536" t="str">
        <f>IFERROR(__xludf.DUMMYFUNCTION("""COMPUTED_VALUE"""),"д110")</f>
        <v>д110</v>
      </c>
      <c r="H175" s="338" t="str">
        <f>IFERROR(__xludf.DUMMYFUNCTION("""COMPUTED_VALUE"""),"Флексопечать")</f>
        <v>Флексопечать</v>
      </c>
      <c r="I175" s="338" t="str">
        <f>IFERROR(__xludf.DUMMYFUNCTION("""COMPUTED_VALUE"""),"Wg-450")</f>
        <v>Wg-450</v>
      </c>
      <c r="J175" s="536">
        <f>IFERROR(__xludf.DUMMYFUNCTION("""COMPUTED_VALUE"""),10000.0)</f>
        <v>10000</v>
      </c>
      <c r="K175" s="537">
        <f>IFERROR(__xludf.DUMMYFUNCTION("""COMPUTED_VALUE"""),46134.0)</f>
        <v>46134</v>
      </c>
      <c r="L175" s="537"/>
      <c r="M175" s="338" t="str">
        <f>IFERROR(__xludf.DUMMYFUNCTION("""COMPUTED_VALUE"""),"Пленка PP белая каучук")</f>
        <v>Пленка PP белая каучук</v>
      </c>
      <c r="N175" s="338" t="str">
        <f>IFERROR(__xludf.DUMMYFUNCTION("""COMPUTED_VALUE"""),"Отгружен")</f>
        <v>Отгружен</v>
      </c>
      <c r="O175" s="537"/>
      <c r="P175" s="338" t="str">
        <f>IFERROR(__xludf.DUMMYFUNCTION("""COMPUTED_VALUE"""),"согласован/ НАПЕЧАТАТЬ БИРКИ ")</f>
        <v>согласован/ НАПЕЧАТАТЬ БИРКИ </v>
      </c>
      <c r="Q175" s="338"/>
      <c r="R175" s="338"/>
      <c r="S175" s="338"/>
      <c r="T175" s="338"/>
      <c r="U175" s="338"/>
      <c r="V175" s="338"/>
      <c r="W175" s="338"/>
      <c r="X175" s="338"/>
      <c r="Y175" s="338"/>
      <c r="Z175" s="338"/>
    </row>
    <row r="176" ht="22.5" customHeight="1">
      <c r="A176" s="528" t="str">
        <f>IFERROR(__xludf.DUMMYFUNCTION("""COMPUTED_VALUE"""),"ООО""ФэрельГам""")</f>
        <v>ООО"ФэрельГам"</v>
      </c>
      <c r="B176" s="528"/>
      <c r="C176" s="528" t="str">
        <f>IFERROR(__xludf.DUMMYFUNCTION("""COMPUTED_VALUE"""),"470518 Салат Огурцы соленые по-корейски 300 г этик.")</f>
        <v>470518 Салат Огурцы соленые по-корейски 300 г этик.</v>
      </c>
      <c r="D176" s="528">
        <f>IFERROR(__xludf.DUMMYFUNCTION("""COMPUTED_VALUE"""),1954.0)</f>
        <v>1954</v>
      </c>
      <c r="E176" s="528" t="str">
        <f>IFERROR(__xludf.DUMMYFUNCTION("""COMPUTED_VALUE"""),"Баранов Александр")</f>
        <v>Баранов Александр</v>
      </c>
      <c r="F176" s="535" t="str">
        <f>IFERROR(__xludf.DUMMYFUNCTION("""COMPUTED_VALUE"""),"Новая")</f>
        <v>Новая</v>
      </c>
      <c r="G176" s="536" t="str">
        <f>IFERROR(__xludf.DUMMYFUNCTION("""COMPUTED_VALUE"""),"д110")</f>
        <v>д110</v>
      </c>
      <c r="H176" s="338" t="str">
        <f>IFERROR(__xludf.DUMMYFUNCTION("""COMPUTED_VALUE"""),"Флексопечать")</f>
        <v>Флексопечать</v>
      </c>
      <c r="I176" s="338" t="str">
        <f>IFERROR(__xludf.DUMMYFUNCTION("""COMPUTED_VALUE"""),"Wg-450")</f>
        <v>Wg-450</v>
      </c>
      <c r="J176" s="536">
        <f>IFERROR(__xludf.DUMMYFUNCTION("""COMPUTED_VALUE"""),10000.0)</f>
        <v>10000</v>
      </c>
      <c r="K176" s="537">
        <f>IFERROR(__xludf.DUMMYFUNCTION("""COMPUTED_VALUE"""),46134.0)</f>
        <v>46134</v>
      </c>
      <c r="L176" s="537"/>
      <c r="M176" s="338" t="str">
        <f>IFERROR(__xludf.DUMMYFUNCTION("""COMPUTED_VALUE"""),"Пленка PP белая каучук")</f>
        <v>Пленка PP белая каучук</v>
      </c>
      <c r="N176" s="338" t="str">
        <f>IFERROR(__xludf.DUMMYFUNCTION("""COMPUTED_VALUE"""),"Отгружен")</f>
        <v>Отгружен</v>
      </c>
      <c r="O176" s="537"/>
      <c r="P176" s="338" t="str">
        <f>IFERROR(__xludf.DUMMYFUNCTION("""COMPUTED_VALUE"""),"согласован/ НАПЕЧАТАТЬ БИРКИ ")</f>
        <v>согласован/ НАПЕЧАТАТЬ БИРКИ </v>
      </c>
      <c r="Q176" s="338"/>
      <c r="R176" s="338"/>
      <c r="S176" s="338"/>
      <c r="T176" s="338"/>
      <c r="U176" s="338"/>
      <c r="V176" s="338"/>
      <c r="W176" s="338"/>
      <c r="X176" s="338"/>
      <c r="Y176" s="338"/>
      <c r="Z176" s="338"/>
    </row>
    <row r="177" ht="22.5" customHeight="1">
      <c r="A177" s="528" t="str">
        <f>IFERROR(__xludf.DUMMYFUNCTION("""COMPUTED_VALUE""")," Новапродукт АГ")</f>
        <v> Новапродукт АГ</v>
      </c>
      <c r="B177" s="528"/>
      <c r="C177" s="528" t="str">
        <f>IFERROR(__xludf.DUMMYFUNCTION("""COMPUTED_VALUE"""),"Этикетка заменитель сахара 350 лицевая Сукралоза Новасвит ")</f>
        <v>Этикетка заменитель сахара 350 лицевая Сукралоза Новасвит </v>
      </c>
      <c r="D177" s="528">
        <f>IFERROR(__xludf.DUMMYFUNCTION("""COMPUTED_VALUE"""),1955.0)</f>
        <v>1955</v>
      </c>
      <c r="E177" s="528" t="str">
        <f>IFERROR(__xludf.DUMMYFUNCTION("""COMPUTED_VALUE"""),"Шаповалова Юлия")</f>
        <v>Шаповалова Юлия</v>
      </c>
      <c r="F177" s="535" t="str">
        <f>IFERROR(__xludf.DUMMYFUNCTION("""COMPUTED_VALUE"""),"Новая")</f>
        <v>Новая</v>
      </c>
      <c r="G177" s="536" t="str">
        <f>IFERROR(__xludf.DUMMYFUNCTION("""COMPUTED_VALUE"""),"70.7*24.4")</f>
        <v>70.7*24.4</v>
      </c>
      <c r="H177" s="338" t="str">
        <f>IFERROR(__xludf.DUMMYFUNCTION("""COMPUTED_VALUE"""),"Флексопечать")</f>
        <v>Флексопечать</v>
      </c>
      <c r="I177" s="338" t="str">
        <f>IFERROR(__xludf.DUMMYFUNCTION("""COMPUTED_VALUE"""),"Bg-330")</f>
        <v>Bg-330</v>
      </c>
      <c r="J177" s="536" t="str">
        <f>IFERROR(__xludf.DUMMYFUNCTION("""COMPUTED_VALUE"""),"50 000")</f>
        <v>50 000</v>
      </c>
      <c r="K177" s="537">
        <f>IFERROR(__xludf.DUMMYFUNCTION("""COMPUTED_VALUE"""),46139.0)</f>
        <v>46139</v>
      </c>
      <c r="L177" s="537"/>
      <c r="M177" s="338" t="str">
        <f>IFERROR(__xludf.DUMMYFUNCTION("""COMPUTED_VALUE"""),"Бумага полуглянец акрил")</f>
        <v>Бумага полуглянец акрил</v>
      </c>
      <c r="N177" s="338" t="str">
        <f>IFERROR(__xludf.DUMMYFUNCTION("""COMPUTED_VALUE"""),"Отгружен")</f>
        <v>Отгружен</v>
      </c>
      <c r="O177" s="537"/>
      <c r="P177" s="338" t="str">
        <f>IFERROR(__xludf.DUMMYFUNCTION("""COMPUTED_VALUE"""),"паспорт качества")</f>
        <v>паспорт качества</v>
      </c>
      <c r="Q177" s="338" t="str">
        <f>IFERROR(__xludf.DUMMYFUNCTION("""COMPUTED_VALUE"""),"МО г. Подольск д. Северово ул. Кутузовская д. 5  Отгрузка до 16:00, +7 (977) 615-23-51 Екатерина")</f>
        <v>МО г. Подольск д. Северово ул. Кутузовская д. 5  Отгрузка до 16:00, +7 (977) 615-23-51 Екатерина</v>
      </c>
      <c r="R177" s="338"/>
      <c r="S177" s="338"/>
      <c r="T177" s="338"/>
      <c r="U177" s="338"/>
      <c r="V177" s="338"/>
      <c r="W177" s="338"/>
      <c r="X177" s="338"/>
      <c r="Y177" s="338"/>
      <c r="Z177" s="338"/>
    </row>
    <row r="178" ht="22.5" customHeight="1">
      <c r="A178" s="528" t="str">
        <f>IFERROR(__xludf.DUMMYFUNCTION("""COMPUTED_VALUE"""),"Новапродукт АГ")</f>
        <v>Новапродукт АГ</v>
      </c>
      <c r="B178" s="528"/>
      <c r="C178" s="528" t="str">
        <f>IFERROR(__xludf.DUMMYFUNCTION("""COMPUTED_VALUE"""),"Этикетка заменитель сахара 350 оборотная Сукралоза Новасвит ")</f>
        <v>Этикетка заменитель сахара 350 оборотная Сукралоза Новасвит </v>
      </c>
      <c r="D178" s="528">
        <f>IFERROR(__xludf.DUMMYFUNCTION("""COMPUTED_VALUE"""),1956.0)</f>
        <v>1956</v>
      </c>
      <c r="E178" s="528" t="str">
        <f>IFERROR(__xludf.DUMMYFUNCTION("""COMPUTED_VALUE"""),"Шаповалова Юлия")</f>
        <v>Шаповалова Юлия</v>
      </c>
      <c r="F178" s="535" t="str">
        <f>IFERROR(__xludf.DUMMYFUNCTION("""COMPUTED_VALUE"""),"Новая")</f>
        <v>Новая</v>
      </c>
      <c r="G178" s="536" t="str">
        <f>IFERROR(__xludf.DUMMYFUNCTION("""COMPUTED_VALUE"""),"70.7*24.4")</f>
        <v>70.7*24.4</v>
      </c>
      <c r="H178" s="338" t="str">
        <f>IFERROR(__xludf.DUMMYFUNCTION("""COMPUTED_VALUE"""),"Флексопечать")</f>
        <v>Флексопечать</v>
      </c>
      <c r="I178" s="338" t="str">
        <f>IFERROR(__xludf.DUMMYFUNCTION("""COMPUTED_VALUE"""),"Bg-330")</f>
        <v>Bg-330</v>
      </c>
      <c r="J178" s="536" t="str">
        <f>IFERROR(__xludf.DUMMYFUNCTION("""COMPUTED_VALUE"""),"50 000")</f>
        <v>50 000</v>
      </c>
      <c r="K178" s="537">
        <f>IFERROR(__xludf.DUMMYFUNCTION("""COMPUTED_VALUE"""),46139.0)</f>
        <v>46139</v>
      </c>
      <c r="L178" s="537"/>
      <c r="M178" s="338" t="str">
        <f>IFERROR(__xludf.DUMMYFUNCTION("""COMPUTED_VALUE"""),"Бумага полуглянец акрил")</f>
        <v>Бумага полуглянец акрил</v>
      </c>
      <c r="N178" s="338" t="str">
        <f>IFERROR(__xludf.DUMMYFUNCTION("""COMPUTED_VALUE"""),"Отгружен")</f>
        <v>Отгружен</v>
      </c>
      <c r="O178" s="537"/>
      <c r="P178" s="338" t="str">
        <f>IFERROR(__xludf.DUMMYFUNCTION("""COMPUTED_VALUE"""),"паспорт качества")</f>
        <v>паспорт качества</v>
      </c>
      <c r="Q178" s="338" t="str">
        <f>IFERROR(__xludf.DUMMYFUNCTION("""COMPUTED_VALUE"""),"МО г. Подольск д. Северово ул. Кутузовская д. 5  Отгрузка до 16:00, +7 (977) 615-23-51 Екатерина")</f>
        <v>МО г. Подольск д. Северово ул. Кутузовская д. 5  Отгрузка до 16:00, +7 (977) 615-23-51 Екатерина</v>
      </c>
      <c r="R178" s="338"/>
      <c r="S178" s="338"/>
      <c r="T178" s="338"/>
      <c r="U178" s="338"/>
      <c r="V178" s="338"/>
      <c r="W178" s="338"/>
      <c r="X178" s="338"/>
      <c r="Y178" s="338"/>
      <c r="Z178" s="338"/>
    </row>
    <row r="179" ht="22.5" customHeight="1">
      <c r="A179" s="528" t="str">
        <f>IFERROR(__xludf.DUMMYFUNCTION("""COMPUTED_VALUE"""),"Меренга")</f>
        <v>Меренга</v>
      </c>
      <c r="B179" s="528"/>
      <c r="C179" s="528" t="str">
        <f>IFERROR(__xludf.DUMMYFUNCTION("""COMPUTED_VALUE"""),"Пироженное Шу с вишней")</f>
        <v>Пироженное Шу с вишней</v>
      </c>
      <c r="D179" s="528">
        <f>IFERROR(__xludf.DUMMYFUNCTION("""COMPUTED_VALUE"""),1962.0)</f>
        <v>1962</v>
      </c>
      <c r="E179" s="528" t="str">
        <f>IFERROR(__xludf.DUMMYFUNCTION("""COMPUTED_VALUE"""),"Римма Лукина")</f>
        <v>Римма Лукина</v>
      </c>
      <c r="F179" s="535" t="str">
        <f>IFERROR(__xludf.DUMMYFUNCTION("""COMPUTED_VALUE"""),"Повтор")</f>
        <v>Повтор</v>
      </c>
      <c r="G179" s="536" t="str">
        <f>IFERROR(__xludf.DUMMYFUNCTION("""COMPUTED_VALUE"""),"50*180")</f>
        <v>50*180</v>
      </c>
      <c r="H179" s="338" t="str">
        <f>IFERROR(__xludf.DUMMYFUNCTION("""COMPUTED_VALUE"""),"Флексопечать")</f>
        <v>Флексопечать</v>
      </c>
      <c r="I179" s="338" t="str">
        <f>IFERROR(__xludf.DUMMYFUNCTION("""COMPUTED_VALUE"""),"Bg-330")</f>
        <v>Bg-330</v>
      </c>
      <c r="J179" s="536">
        <f>IFERROR(__xludf.DUMMYFUNCTION("""COMPUTED_VALUE"""),20000.0)</f>
        <v>20000</v>
      </c>
      <c r="K179" s="537">
        <f>IFERROR(__xludf.DUMMYFUNCTION("""COMPUTED_VALUE"""),46140.0)</f>
        <v>46140</v>
      </c>
      <c r="L179" s="537"/>
      <c r="M179" s="338" t="str">
        <f>IFERROR(__xludf.DUMMYFUNCTION("""COMPUTED_VALUE"""),"Бумага полуглянец акрил")</f>
        <v>Бумага полуглянец акрил</v>
      </c>
      <c r="N179" s="338" t="str">
        <f>IFERROR(__xludf.DUMMYFUNCTION("""COMPUTED_VALUE"""),"Отгружен")</f>
        <v>Отгружен</v>
      </c>
      <c r="O179" s="537"/>
      <c r="P179" s="338"/>
      <c r="Q179" s="338"/>
      <c r="R179" s="338"/>
      <c r="S179" s="338"/>
      <c r="T179" s="338"/>
      <c r="U179" s="338"/>
      <c r="V179" s="338"/>
      <c r="W179" s="338"/>
      <c r="X179" s="338"/>
      <c r="Y179" s="338"/>
      <c r="Z179" s="338"/>
    </row>
    <row r="180" ht="22.5" customHeight="1">
      <c r="A180" s="528" t="str">
        <f>IFERROR(__xludf.DUMMYFUNCTION("""COMPUTED_VALUE"""),"ОЗОН ВКУС")</f>
        <v>ОЗОН ВКУС</v>
      </c>
      <c r="B180" s="528"/>
      <c r="C180" s="528" t="str">
        <f>IFERROR(__xludf.DUMMYFUNCTION("""COMPUTED_VALUE"""),"Стикер розовый 60x250")</f>
        <v>Стикер розовый 60x250</v>
      </c>
      <c r="D180" s="528">
        <f>IFERROR(__xludf.DUMMYFUNCTION("""COMPUTED_VALUE"""),1967.0)</f>
        <v>1967</v>
      </c>
      <c r="E180" s="528" t="str">
        <f>IFERROR(__xludf.DUMMYFUNCTION("""COMPUTED_VALUE"""),"Римма Лукина")</f>
        <v>Римма Лукина</v>
      </c>
      <c r="F180" s="535" t="str">
        <f>IFERROR(__xludf.DUMMYFUNCTION("""COMPUTED_VALUE"""),"ТЕСТ")</f>
        <v>ТЕСТ</v>
      </c>
      <c r="G180" s="536" t="str">
        <f>IFERROR(__xludf.DUMMYFUNCTION("""COMPUTED_VALUE"""),"60*250")</f>
        <v>60*250</v>
      </c>
      <c r="H180" s="338" t="str">
        <f>IFERROR(__xludf.DUMMYFUNCTION("""COMPUTED_VALUE"""),"Флексопечать")</f>
        <v>Флексопечать</v>
      </c>
      <c r="I180" s="338"/>
      <c r="J180" s="536">
        <f>IFERROR(__xludf.DUMMYFUNCTION("""COMPUTED_VALUE"""),10.0)</f>
        <v>10</v>
      </c>
      <c r="K180" s="537">
        <f>IFERROR(__xludf.DUMMYFUNCTION("""COMPUTED_VALUE"""),46140.0)</f>
        <v>46140</v>
      </c>
      <c r="L180" s="537"/>
      <c r="M180" s="338" t="str">
        <f>IFERROR(__xludf.DUMMYFUNCTION("""COMPUTED_VALUE"""),"Бумага полуглянец акрил")</f>
        <v>Бумага полуглянец акрил</v>
      </c>
      <c r="N180" s="338" t="str">
        <f>IFERROR(__xludf.DUMMYFUNCTION("""COMPUTED_VALUE"""),"Отгружен")</f>
        <v>Отгружен</v>
      </c>
      <c r="O180" s="537"/>
      <c r="P180" s="338"/>
      <c r="Q180" s="338"/>
      <c r="R180" s="338"/>
      <c r="S180" s="338"/>
      <c r="T180" s="338"/>
      <c r="U180" s="338"/>
      <c r="V180" s="338"/>
      <c r="W180" s="338"/>
      <c r="X180" s="338"/>
      <c r="Y180" s="338"/>
      <c r="Z180" s="338"/>
    </row>
    <row r="181" ht="22.5" customHeight="1">
      <c r="A181" s="528" t="str">
        <f>IFERROR(__xludf.DUMMYFUNCTION("""COMPUTED_VALUE"""),"ОЗОН ВКУС")</f>
        <v>ОЗОН ВКУС</v>
      </c>
      <c r="B181" s="528"/>
      <c r="C181" s="528" t="str">
        <f>IFERROR(__xludf.DUMMYFUNCTION("""COMPUTED_VALUE"""),"Стикер розовый 45x240")</f>
        <v>Стикер розовый 45x240</v>
      </c>
      <c r="D181" s="528">
        <f>IFERROR(__xludf.DUMMYFUNCTION("""COMPUTED_VALUE"""),1967.0)</f>
        <v>1967</v>
      </c>
      <c r="E181" s="528" t="str">
        <f>IFERROR(__xludf.DUMMYFUNCTION("""COMPUTED_VALUE"""),"Римма Лукина")</f>
        <v>Римма Лукина</v>
      </c>
      <c r="F181" s="535" t="str">
        <f>IFERROR(__xludf.DUMMYFUNCTION("""COMPUTED_VALUE"""),"ТЕСТ")</f>
        <v>ТЕСТ</v>
      </c>
      <c r="G181" s="536" t="str">
        <f>IFERROR(__xludf.DUMMYFUNCTION("""COMPUTED_VALUE"""),"45*240")</f>
        <v>45*240</v>
      </c>
      <c r="H181" s="338" t="str">
        <f>IFERROR(__xludf.DUMMYFUNCTION("""COMPUTED_VALUE"""),"Флексопечать")</f>
        <v>Флексопечать</v>
      </c>
      <c r="I181" s="338"/>
      <c r="J181" s="536">
        <f>IFERROR(__xludf.DUMMYFUNCTION("""COMPUTED_VALUE"""),10.0)</f>
        <v>10</v>
      </c>
      <c r="K181" s="537">
        <f>IFERROR(__xludf.DUMMYFUNCTION("""COMPUTED_VALUE"""),46140.0)</f>
        <v>46140</v>
      </c>
      <c r="L181" s="537"/>
      <c r="M181" s="338" t="str">
        <f>IFERROR(__xludf.DUMMYFUNCTION("""COMPUTED_VALUE"""),"Бумага полуглянец акрил")</f>
        <v>Бумага полуглянец акрил</v>
      </c>
      <c r="N181" s="338" t="str">
        <f>IFERROR(__xludf.DUMMYFUNCTION("""COMPUTED_VALUE"""),"Отгружен")</f>
        <v>Отгружен</v>
      </c>
      <c r="O181" s="537"/>
      <c r="P181" s="338"/>
      <c r="Q181" s="338"/>
      <c r="R181" s="338"/>
      <c r="S181" s="338"/>
      <c r="T181" s="338"/>
      <c r="U181" s="338"/>
      <c r="V181" s="338"/>
      <c r="W181" s="338"/>
      <c r="X181" s="338"/>
      <c r="Y181" s="338"/>
      <c r="Z181" s="338"/>
    </row>
    <row r="182" ht="22.5" customHeight="1">
      <c r="A182" s="528" t="str">
        <f>IFERROR(__xludf.DUMMYFUNCTION("""COMPUTED_VALUE"""),"ОЗОН ВКУС")</f>
        <v>ОЗОН ВКУС</v>
      </c>
      <c r="B182" s="528"/>
      <c r="C182" s="528" t="str">
        <f>IFERROR(__xludf.DUMMYFUNCTION("""COMPUTED_VALUE"""),"Стикер розовый 45x160")</f>
        <v>Стикер розовый 45x160</v>
      </c>
      <c r="D182" s="528">
        <f>IFERROR(__xludf.DUMMYFUNCTION("""COMPUTED_VALUE"""),1967.0)</f>
        <v>1967</v>
      </c>
      <c r="E182" s="528" t="str">
        <f>IFERROR(__xludf.DUMMYFUNCTION("""COMPUTED_VALUE"""),"Римма Лукина")</f>
        <v>Римма Лукина</v>
      </c>
      <c r="F182" s="535" t="str">
        <f>IFERROR(__xludf.DUMMYFUNCTION("""COMPUTED_VALUE"""),"ТЕСТ")</f>
        <v>ТЕСТ</v>
      </c>
      <c r="G182" s="536" t="str">
        <f>IFERROR(__xludf.DUMMYFUNCTION("""COMPUTED_VALUE"""),"45*160")</f>
        <v>45*160</v>
      </c>
      <c r="H182" s="338" t="str">
        <f>IFERROR(__xludf.DUMMYFUNCTION("""COMPUTED_VALUE"""),"Флексопечать")</f>
        <v>Флексопечать</v>
      </c>
      <c r="I182" s="338"/>
      <c r="J182" s="536">
        <f>IFERROR(__xludf.DUMMYFUNCTION("""COMPUTED_VALUE"""),10.0)</f>
        <v>10</v>
      </c>
      <c r="K182" s="537">
        <f>IFERROR(__xludf.DUMMYFUNCTION("""COMPUTED_VALUE"""),46140.0)</f>
        <v>46140</v>
      </c>
      <c r="L182" s="537"/>
      <c r="M182" s="338" t="str">
        <f>IFERROR(__xludf.DUMMYFUNCTION("""COMPUTED_VALUE"""),"Бумага полуглянец акрил")</f>
        <v>Бумага полуглянец акрил</v>
      </c>
      <c r="N182" s="338" t="str">
        <f>IFERROR(__xludf.DUMMYFUNCTION("""COMPUTED_VALUE"""),"Отгружен")</f>
        <v>Отгружен</v>
      </c>
      <c r="O182" s="537"/>
      <c r="P182" s="338"/>
      <c r="Q182" s="338"/>
      <c r="R182" s="338"/>
      <c r="S182" s="338"/>
      <c r="T182" s="338"/>
      <c r="U182" s="338"/>
      <c r="V182" s="338"/>
      <c r="W182" s="338"/>
      <c r="X182" s="338"/>
      <c r="Y182" s="338"/>
      <c r="Z182" s="338"/>
    </row>
    <row r="183" ht="22.5" customHeight="1">
      <c r="A183" s="528" t="str">
        <f>IFERROR(__xludf.DUMMYFUNCTION("""COMPUTED_VALUE"""),"Пульсар")</f>
        <v>Пульсар</v>
      </c>
      <c r="B183" s="528"/>
      <c r="C183" s="528" t="str">
        <f>IFERROR(__xludf.DUMMYFUNCTION("""COMPUTED_VALUE"""),"Автохимия 89*170")</f>
        <v>Автохимия 89*170</v>
      </c>
      <c r="D183" s="528"/>
      <c r="E183" s="528" t="str">
        <f>IFERROR(__xludf.DUMMYFUNCTION("""COMPUTED_VALUE"""),"Татьяна Денисова")</f>
        <v>Татьяна Денисова</v>
      </c>
      <c r="F183" s="535" t="str">
        <f>IFERROR(__xludf.DUMMYFUNCTION("""COMPUTED_VALUE"""),"Новая")</f>
        <v>Новая</v>
      </c>
      <c r="G183" s="536" t="str">
        <f>IFERROR(__xludf.DUMMYFUNCTION("""COMPUTED_VALUE"""),"89*170")</f>
        <v>89*170</v>
      </c>
      <c r="H183" s="338" t="str">
        <f>IFERROR(__xludf.DUMMYFUNCTION("""COMPUTED_VALUE"""),"Цифра+Полуротация")</f>
        <v>Цифра+Полуротация</v>
      </c>
      <c r="I183" s="338" t="str">
        <f>IFERROR(__xludf.DUMMYFUNCTION("""COMPUTED_VALUE"""),"LS(ЦПМ)")</f>
        <v>LS(ЦПМ)</v>
      </c>
      <c r="J183" s="536" t="str">
        <f>IFERROR(__xludf.DUMMYFUNCTION("""COMPUTED_VALUE"""),"1000+2000+2*5000+10.000, всего 23.000 шт")</f>
        <v>1000+2000+2*5000+10.000, всего 23.000 шт</v>
      </c>
      <c r="K183" s="537">
        <f>IFERROR(__xludf.DUMMYFUNCTION("""COMPUTED_VALUE"""),46127.0)</f>
        <v>46127</v>
      </c>
      <c r="L183" s="537"/>
      <c r="M183" s="338" t="str">
        <f>IFERROR(__xludf.DUMMYFUNCTION("""COMPUTED_VALUE"""),"Пленка PP белая акрил")</f>
        <v>Пленка PP белая акрил</v>
      </c>
      <c r="N183" s="338" t="str">
        <f>IFERROR(__xludf.DUMMYFUNCTION("""COMPUTED_VALUE"""),"Отгружен")</f>
        <v>Отгружен</v>
      </c>
      <c r="O183" s="537"/>
      <c r="P183" s="338" t="str">
        <f>IFERROR(__xludf.DUMMYFUNCTION("""COMPUTED_VALUE"""),"С заказом отправить конверты (21 числа дам информацию по этим конвертам)")</f>
        <v>С заказом отправить конверты (21 числа дам информацию по этим конвертам)</v>
      </c>
      <c r="Q183" s="338" t="str">
        <f>IFERROR(__xludf.DUMMYFUNCTION("""COMPUTED_VALUE"""),"г. Москва, ул. Подольских Курсантов, вл.24 Д, строение 4
+7 926 002-49-23 Иван")</f>
        <v>г. Москва, ул. Подольских Курсантов, вл.24 Д, строение 4
+7 926 002-49-23 Иван</v>
      </c>
      <c r="R183" s="338"/>
      <c r="S183" s="338"/>
      <c r="T183" s="338"/>
      <c r="U183" s="338"/>
      <c r="V183" s="338"/>
      <c r="W183" s="338"/>
      <c r="X183" s="338"/>
      <c r="Y183" s="338"/>
      <c r="Z183" s="338"/>
    </row>
    <row r="184" ht="22.5" customHeight="1">
      <c r="A184" s="528" t="str">
        <f>IFERROR(__xludf.DUMMYFUNCTION("""COMPUTED_VALUE"""),"ОЗОН ВКУС")</f>
        <v>ОЗОН ВКУС</v>
      </c>
      <c r="B184" s="528"/>
      <c r="C184" s="528" t="str">
        <f>IFERROR(__xludf.DUMMYFUNCTION("""COMPUTED_VALUE"""),"Этикетка ЯЛ язык говяжий отварной ")</f>
        <v>Этикетка ЯЛ язык говяжий отварной </v>
      </c>
      <c r="D184" s="528">
        <f>IFERROR(__xludf.DUMMYFUNCTION("""COMPUTED_VALUE"""),1980.0)</f>
        <v>1980</v>
      </c>
      <c r="E184" s="528" t="str">
        <f>IFERROR(__xludf.DUMMYFUNCTION("""COMPUTED_VALUE"""),"Римма Лукина")</f>
        <v>Римма Лукина</v>
      </c>
      <c r="F184" s="535" t="str">
        <f>IFERROR(__xludf.DUMMYFUNCTION("""COMPUTED_VALUE"""),"Новая")</f>
        <v>Новая</v>
      </c>
      <c r="G184" s="536" t="str">
        <f>IFERROR(__xludf.DUMMYFUNCTION("""COMPUTED_VALUE"""),"76*118")</f>
        <v>76*118</v>
      </c>
      <c r="H184" s="338" t="str">
        <f>IFERROR(__xludf.DUMMYFUNCTION("""COMPUTED_VALUE"""),"Флексопечать")</f>
        <v>Флексопечать</v>
      </c>
      <c r="I184" s="338" t="str">
        <f>IFERROR(__xludf.DUMMYFUNCTION("""COMPUTED_VALUE"""),"Bg-330")</f>
        <v>Bg-330</v>
      </c>
      <c r="J184" s="536">
        <f>IFERROR(__xludf.DUMMYFUNCTION("""COMPUTED_VALUE"""),500.0)</f>
        <v>500</v>
      </c>
      <c r="K184" s="537">
        <f>IFERROR(__xludf.DUMMYFUNCTION("""COMPUTED_VALUE"""),46126.0)</f>
        <v>46126</v>
      </c>
      <c r="L184" s="537"/>
      <c r="M184" s="338" t="str">
        <f>IFERROR(__xludf.DUMMYFUNCTION("""COMPUTED_VALUE"""),"Бумага полуглянец акрил")</f>
        <v>Бумага полуглянец акрил</v>
      </c>
      <c r="N184" s="338" t="str">
        <f>IFERROR(__xludf.DUMMYFUNCTION("""COMPUTED_VALUE"""),"Отгружен")</f>
        <v>Отгружен</v>
      </c>
      <c r="O184" s="537"/>
      <c r="P184" s="338"/>
      <c r="Q184" s="338"/>
      <c r="R184" s="338"/>
      <c r="S184" s="338"/>
      <c r="T184" s="338"/>
      <c r="U184" s="338"/>
      <c r="V184" s="338"/>
      <c r="W184" s="338"/>
      <c r="X184" s="338"/>
      <c r="Y184" s="338"/>
      <c r="Z184" s="338"/>
    </row>
    <row r="185" ht="22.5" customHeight="1">
      <c r="A185" s="528" t="str">
        <f>IFERROR(__xludf.DUMMYFUNCTION("""COMPUTED_VALUE"""),"ОЗОН ВКУС")</f>
        <v>ОЗОН ВКУС</v>
      </c>
      <c r="B185" s="528"/>
      <c r="C185" s="528" t="str">
        <f>IFERROR(__xludf.DUMMYFUNCTION("""COMPUTED_VALUE"""),"Этикетка ЯЛ Сэндвич с курицей и печёным перцем, кремчизом, шпинатом и мёдом с чесноком")</f>
        <v>Этикетка ЯЛ Сэндвич с курицей и печёным перцем, кремчизом, шпинатом и мёдом с чесноком</v>
      </c>
      <c r="D185" s="528">
        <f>IFERROR(__xludf.DUMMYFUNCTION("""COMPUTED_VALUE"""),1981.0)</f>
        <v>1981</v>
      </c>
      <c r="E185" s="528" t="str">
        <f>IFERROR(__xludf.DUMMYFUNCTION("""COMPUTED_VALUE"""),"Римма Лукина")</f>
        <v>Римма Лукина</v>
      </c>
      <c r="F185" s="535" t="str">
        <f>IFERROR(__xludf.DUMMYFUNCTION("""COMPUTED_VALUE"""),"Новая")</f>
        <v>Новая</v>
      </c>
      <c r="G185" s="536" t="str">
        <f>IFERROR(__xludf.DUMMYFUNCTION("""COMPUTED_VALUE"""),"87*117")</f>
        <v>87*117</v>
      </c>
      <c r="H185" s="338" t="str">
        <f>IFERROR(__xludf.DUMMYFUNCTION("""COMPUTED_VALUE"""),"Флексопечать")</f>
        <v>Флексопечать</v>
      </c>
      <c r="I185" s="338" t="str">
        <f>IFERROR(__xludf.DUMMYFUNCTION("""COMPUTED_VALUE"""),"Bg-330")</f>
        <v>Bg-330</v>
      </c>
      <c r="J185" s="536">
        <f>IFERROR(__xludf.DUMMYFUNCTION("""COMPUTED_VALUE"""),500.0)</f>
        <v>500</v>
      </c>
      <c r="K185" s="537">
        <f>IFERROR(__xludf.DUMMYFUNCTION("""COMPUTED_VALUE"""),46126.0)</f>
        <v>46126</v>
      </c>
      <c r="L185" s="537"/>
      <c r="M185" s="338" t="str">
        <f>IFERROR(__xludf.DUMMYFUNCTION("""COMPUTED_VALUE"""),"Бумага полуглянец акрил")</f>
        <v>Бумага полуглянец акрил</v>
      </c>
      <c r="N185" s="338" t="str">
        <f>IFERROR(__xludf.DUMMYFUNCTION("""COMPUTED_VALUE"""),"Отгружен")</f>
        <v>Отгружен</v>
      </c>
      <c r="O185" s="537"/>
      <c r="P185" s="338"/>
      <c r="Q185" s="338"/>
      <c r="R185" s="338"/>
      <c r="S185" s="338"/>
      <c r="T185" s="338"/>
      <c r="U185" s="338"/>
      <c r="V185" s="338"/>
      <c r="W185" s="338"/>
      <c r="X185" s="338"/>
      <c r="Y185" s="338"/>
      <c r="Z185" s="338"/>
    </row>
    <row r="186" ht="22.5" customHeight="1">
      <c r="A186" s="528" t="str">
        <f>IFERROR(__xludf.DUMMYFUNCTION("""COMPUTED_VALUE"""),"ОЗОН ВКУС")</f>
        <v>ОЗОН ВКУС</v>
      </c>
      <c r="B186" s="528"/>
      <c r="C186" s="528" t="str">
        <f>IFERROR(__xludf.DUMMYFUNCTION("""COMPUTED_VALUE"""),"Этикетка ЯЛ Сэндвич Гриль-чиз болонезе с песто")</f>
        <v>Этикетка ЯЛ Сэндвич Гриль-чиз болонезе с песто</v>
      </c>
      <c r="D186" s="528">
        <f>IFERROR(__xludf.DUMMYFUNCTION("""COMPUTED_VALUE"""),1982.0)</f>
        <v>1982</v>
      </c>
      <c r="E186" s="528" t="str">
        <f>IFERROR(__xludf.DUMMYFUNCTION("""COMPUTED_VALUE"""),"Римма Лукина")</f>
        <v>Римма Лукина</v>
      </c>
      <c r="F186" s="535" t="str">
        <f>IFERROR(__xludf.DUMMYFUNCTION("""COMPUTED_VALUE"""),"Новая")</f>
        <v>Новая</v>
      </c>
      <c r="G186" s="536" t="str">
        <f>IFERROR(__xludf.DUMMYFUNCTION("""COMPUTED_VALUE"""),"87*117")</f>
        <v>87*117</v>
      </c>
      <c r="H186" s="338" t="str">
        <f>IFERROR(__xludf.DUMMYFUNCTION("""COMPUTED_VALUE"""),"Флексопечать")</f>
        <v>Флексопечать</v>
      </c>
      <c r="I186" s="338" t="str">
        <f>IFERROR(__xludf.DUMMYFUNCTION("""COMPUTED_VALUE"""),"Bg-330")</f>
        <v>Bg-330</v>
      </c>
      <c r="J186" s="536">
        <f>IFERROR(__xludf.DUMMYFUNCTION("""COMPUTED_VALUE"""),500.0)</f>
        <v>500</v>
      </c>
      <c r="K186" s="537">
        <f>IFERROR(__xludf.DUMMYFUNCTION("""COMPUTED_VALUE"""),46126.0)</f>
        <v>46126</v>
      </c>
      <c r="L186" s="537"/>
      <c r="M186" s="338" t="str">
        <f>IFERROR(__xludf.DUMMYFUNCTION("""COMPUTED_VALUE"""),"Бумага полуглянец акрил")</f>
        <v>Бумага полуглянец акрил</v>
      </c>
      <c r="N186" s="338" t="str">
        <f>IFERROR(__xludf.DUMMYFUNCTION("""COMPUTED_VALUE"""),"Отгружен")</f>
        <v>Отгружен</v>
      </c>
      <c r="O186" s="537"/>
      <c r="P186" s="338"/>
      <c r="Q186" s="338"/>
      <c r="R186" s="338"/>
      <c r="S186" s="338"/>
      <c r="T186" s="338"/>
      <c r="U186" s="338"/>
      <c r="V186" s="338"/>
      <c r="W186" s="338"/>
      <c r="X186" s="338"/>
      <c r="Y186" s="338"/>
      <c r="Z186" s="338"/>
    </row>
    <row r="187" ht="22.5" customHeight="1">
      <c r="A187" s="528" t="str">
        <f>IFERROR(__xludf.DUMMYFUNCTION("""COMPUTED_VALUE"""),"Акватерра")</f>
        <v>Акватерра</v>
      </c>
      <c r="B187" s="528"/>
      <c r="C187" s="528" t="str">
        <f>IFERROR(__xludf.DUMMYFUNCTION("""COMPUTED_VALUE"""),"стикер без печати")</f>
        <v>стикер без печати</v>
      </c>
      <c r="D187" s="538" t="str">
        <f>IFERROR(__xludf.DUMMYFUNCTION("""COMPUTED_VALUE"""),"1630-1631")</f>
        <v>1630-1631</v>
      </c>
      <c r="E187" s="528" t="str">
        <f>IFERROR(__xludf.DUMMYFUNCTION("""COMPUTED_VALUE"""),"Римма Лукина")</f>
        <v>Римма Лукина</v>
      </c>
      <c r="F187" s="535" t="str">
        <f>IFERROR(__xludf.DUMMYFUNCTION("""COMPUTED_VALUE"""),"ТЕСТ")</f>
        <v>ТЕСТ</v>
      </c>
      <c r="G187" s="536" t="str">
        <f>IFERROR(__xludf.DUMMYFUNCTION("""COMPUTED_VALUE"""),"15х15")</f>
        <v>15х15</v>
      </c>
      <c r="H187" s="338"/>
      <c r="I187" s="338"/>
      <c r="J187" s="536">
        <f>IFERROR(__xludf.DUMMYFUNCTION("""COMPUTED_VALUE"""),10000.0)</f>
        <v>10000</v>
      </c>
      <c r="K187" s="537">
        <f>IFERROR(__xludf.DUMMYFUNCTION("""COMPUTED_VALUE"""),46122.0)</f>
        <v>46122</v>
      </c>
      <c r="L187" s="537"/>
      <c r="M187" s="338" t="str">
        <f>IFERROR(__xludf.DUMMYFUNCTION("""COMPUTED_VALUE"""),"Пленка PP прозрачная")</f>
        <v>Пленка PP прозрачная</v>
      </c>
      <c r="N187" s="338" t="str">
        <f>IFERROR(__xludf.DUMMYFUNCTION("""COMPUTED_VALUE"""),"Отгружен")</f>
        <v>Отгружен</v>
      </c>
      <c r="O187" s="537"/>
      <c r="P187" s="338" t="str">
        <f>IFERROR(__xludf.DUMMYFUNCTION("""COMPUTED_VALUE"""),"сопроводительные документы для возмодности идентификации")</f>
        <v>сопроводительные документы для возмодности идентификации</v>
      </c>
      <c r="Q187" s="338" t="str">
        <f>IFERROR(__xludf.DUMMYFUNCTION("""COMPUTED_VALUE"""),"Республика Адыгея (Адыгея), Г.О. город Майкоп, ул.Загородная, д.8,Атаянц Вартан Александрович,тел. +7 (952) 824 86 56.")</f>
        <v>Республика Адыгея (Адыгея), Г.О. город Майкоп, ул.Загородная, д.8,Атаянц Вартан Александрович,тел. +7 (952) 824 86 56.</v>
      </c>
      <c r="R187" s="338"/>
      <c r="S187" s="338"/>
      <c r="T187" s="338"/>
      <c r="U187" s="338"/>
      <c r="V187" s="338"/>
      <c r="W187" s="338"/>
      <c r="X187" s="338"/>
      <c r="Y187" s="338"/>
      <c r="Z187" s="338"/>
    </row>
    <row r="188" ht="22.5" customHeight="1">
      <c r="A188" s="528" t="str">
        <f>IFERROR(__xludf.DUMMYFUNCTION("""COMPUTED_VALUE"""),"Кимберли Кларк")</f>
        <v>Кимберли Кларк</v>
      </c>
      <c r="B188" s="528"/>
      <c r="C188" s="528" t="str">
        <f>IFERROR(__xludf.DUMMYFUNCTION("""COMPUTED_VALUE"""),"61284789 Наклейка на палету самоклеющаяся А5 АЛ")</f>
        <v>61284789 Наклейка на палету самоклеющаяся А5 АЛ</v>
      </c>
      <c r="D188" s="528">
        <f>IFERROR(__xludf.DUMMYFUNCTION("""COMPUTED_VALUE"""),2044.0)</f>
        <v>2044</v>
      </c>
      <c r="E188" s="528" t="str">
        <f>IFERROR(__xludf.DUMMYFUNCTION("""COMPUTED_VALUE"""),"Римма Лукина")</f>
        <v>Римма Лукина</v>
      </c>
      <c r="F188" s="535" t="str">
        <f>IFERROR(__xludf.DUMMYFUNCTION("""COMPUTED_VALUE"""),"Повтор")</f>
        <v>Повтор</v>
      </c>
      <c r="G188" s="536" t="str">
        <f>IFERROR(__xludf.DUMMYFUNCTION("""COMPUTED_VALUE"""),"148*210")</f>
        <v>148*210</v>
      </c>
      <c r="H188" s="338" t="str">
        <f>IFERROR(__xludf.DUMMYFUNCTION("""COMPUTED_VALUE"""),"Полуротация")</f>
        <v>Полуротация</v>
      </c>
      <c r="I188" s="338" t="str">
        <f>IFERROR(__xludf.DUMMYFUNCTION("""COMPUTED_VALUE"""),"Montax")</f>
        <v>Montax</v>
      </c>
      <c r="J188" s="536" t="str">
        <f>IFERROR(__xludf.DUMMYFUNCTION("""COMPUTED_VALUE"""),"52 500")</f>
        <v>52 500</v>
      </c>
      <c r="K188" s="537">
        <f>IFERROR(__xludf.DUMMYFUNCTION("""COMPUTED_VALUE"""),46141.0)</f>
        <v>46141</v>
      </c>
      <c r="L188" s="537"/>
      <c r="M188" s="338" t="str">
        <f>IFERROR(__xludf.DUMMYFUNCTION("""COMPUTED_VALUE"""),"Бумага полуглянец акрил")</f>
        <v>Бумага полуглянец акрил</v>
      </c>
      <c r="N188" s="338" t="str">
        <f>IFERROR(__xludf.DUMMYFUNCTION("""COMPUTED_VALUE"""),"Отгружен")</f>
        <v>Отгружен</v>
      </c>
      <c r="O188" s="537"/>
      <c r="P188" s="338" t="str">
        <f>IFERROR(__xludf.DUMMYFUNCTION("""COMPUTED_VALUE"""),"очень внимательно. постарайтесь не сделать пересорт")</f>
        <v>очень внимательно. постарайтесь не сделать пересорт</v>
      </c>
      <c r="Q188" s="338" t="str">
        <f>IFERROR(__xludf.DUMMYFUNCTION("""COMPUTED_VALUE"""),"СДЭК сама оформлю")</f>
        <v>СДЭК сама оформлю</v>
      </c>
      <c r="R188" s="338"/>
      <c r="S188" s="338"/>
      <c r="T188" s="338"/>
      <c r="U188" s="338"/>
      <c r="V188" s="338"/>
      <c r="W188" s="338"/>
      <c r="X188" s="338"/>
      <c r="Y188" s="338"/>
      <c r="Z188" s="338"/>
    </row>
    <row r="189" ht="22.5" customHeight="1">
      <c r="A189" s="528" t="str">
        <f>IFERROR(__xludf.DUMMYFUNCTION("""COMPUTED_VALUE"""),"ЯПД")</f>
        <v>ЯПД</v>
      </c>
      <c r="B189" s="528"/>
      <c r="C189" s="528" t="str">
        <f>IFERROR(__xludf.DUMMYFUNCTION("""COMPUTED_VALUE"""),"Barilla")</f>
        <v>Barilla</v>
      </c>
      <c r="D189" s="528">
        <f>IFERROR(__xludf.DUMMYFUNCTION("""COMPUTED_VALUE"""),2049.0)</f>
        <v>2049</v>
      </c>
      <c r="E189" s="528" t="str">
        <f>IFERROR(__xludf.DUMMYFUNCTION("""COMPUTED_VALUE"""),"Татьяна Денисова")</f>
        <v>Татьяна Денисова</v>
      </c>
      <c r="F189" s="535" t="str">
        <f>IFERROR(__xludf.DUMMYFUNCTION("""COMPUTED_VALUE"""),"Новая")</f>
        <v>Новая</v>
      </c>
      <c r="G189" s="536" t="str">
        <f>IFERROR(__xludf.DUMMYFUNCTION("""COMPUTED_VALUE"""),"30*50")</f>
        <v>30*50</v>
      </c>
      <c r="H189" s="338" t="str">
        <f>IFERROR(__xludf.DUMMYFUNCTION("""COMPUTED_VALUE"""),"Флексопечать")</f>
        <v>Флексопечать</v>
      </c>
      <c r="I189" s="338" t="str">
        <f>IFERROR(__xludf.DUMMYFUNCTION("""COMPUTED_VALUE"""),"G-160")</f>
        <v>G-160</v>
      </c>
      <c r="J189" s="536">
        <f>IFERROR(__xludf.DUMMYFUNCTION("""COMPUTED_VALUE"""),12100.0)</f>
        <v>12100</v>
      </c>
      <c r="K189" s="537">
        <f>IFERROR(__xludf.DUMMYFUNCTION("""COMPUTED_VALUE"""),46142.0)</f>
        <v>46142</v>
      </c>
      <c r="L189" s="537"/>
      <c r="M189" s="338" t="str">
        <f>IFERROR(__xludf.DUMMYFUNCTION("""COMPUTED_VALUE"""),"Бумага полуглянец акрил")</f>
        <v>Бумага полуглянец акрил</v>
      </c>
      <c r="N189" s="338" t="str">
        <f>IFERROR(__xludf.DUMMYFUNCTION("""COMPUTED_VALUE"""),"Отгружен")</f>
        <v>Отгружен</v>
      </c>
      <c r="O189" s="537"/>
      <c r="P189" s="338"/>
      <c r="Q189" s="338" t="str">
        <f>IFERROR(__xludf.DUMMYFUNCTION("""COMPUTED_VALUE"""),"Самовывоз")</f>
        <v>Самовывоз</v>
      </c>
      <c r="R189" s="338"/>
      <c r="S189" s="338"/>
      <c r="T189" s="338"/>
      <c r="U189" s="338"/>
      <c r="V189" s="338"/>
      <c r="W189" s="338"/>
      <c r="X189" s="338"/>
      <c r="Y189" s="338"/>
      <c r="Z189" s="338"/>
    </row>
    <row r="190" ht="22.5" customHeight="1">
      <c r="A190" s="528" t="str">
        <f>IFERROR(__xludf.DUMMYFUNCTION("""COMPUTED_VALUE"""),"Фосфорель")</f>
        <v>Фосфорель</v>
      </c>
      <c r="B190" s="528"/>
      <c r="C190" s="528" t="str">
        <f>IFERROR(__xludf.DUMMYFUNCTION("""COMPUTED_VALUE"""),"Этикетка «Крема-паста из кальмара» 150 г")</f>
        <v>Этикетка «Крема-паста из кальмара» 150 г</v>
      </c>
      <c r="D190" s="528">
        <f>IFERROR(__xludf.DUMMYFUNCTION("""COMPUTED_VALUE"""),2062.0)</f>
        <v>2062</v>
      </c>
      <c r="E190" s="528" t="str">
        <f>IFERROR(__xludf.DUMMYFUNCTION("""COMPUTED_VALUE"""),"Римма Лукина")</f>
        <v>Римма Лукина</v>
      </c>
      <c r="F190" s="535" t="str">
        <f>IFERROR(__xludf.DUMMYFUNCTION("""COMPUTED_VALUE"""),"Новая")</f>
        <v>Новая</v>
      </c>
      <c r="G190" s="536" t="str">
        <f>IFERROR(__xludf.DUMMYFUNCTION("""COMPUTED_VALUE"""),"38х236")</f>
        <v>38х236</v>
      </c>
      <c r="H190" s="338" t="str">
        <f>IFERROR(__xludf.DUMMYFUNCTION("""COMPUTED_VALUE"""),"Цифра+Полуротация")</f>
        <v>Цифра+Полуротация</v>
      </c>
      <c r="I190" s="338" t="str">
        <f>IFERROR(__xludf.DUMMYFUNCTION("""COMPUTED_VALUE"""),"LS(ЦПМ)")</f>
        <v>LS(ЦПМ)</v>
      </c>
      <c r="J190" s="536">
        <f>IFERROR(__xludf.DUMMYFUNCTION("""COMPUTED_VALUE"""),1000.0)</f>
        <v>1000</v>
      </c>
      <c r="K190" s="537">
        <f>IFERROR(__xludf.DUMMYFUNCTION("""COMPUTED_VALUE"""),46141.0)</f>
        <v>46141</v>
      </c>
      <c r="L190" s="537"/>
      <c r="M190" s="338" t="str">
        <f>IFERROR(__xludf.DUMMYFUNCTION("""COMPUTED_VALUE"""),"Пленка PP белая каучук")</f>
        <v>Пленка PP белая каучук</v>
      </c>
      <c r="N190" s="338" t="str">
        <f>IFERROR(__xludf.DUMMYFUNCTION("""COMPUTED_VALUE"""),"Отгружен")</f>
        <v>Отгружен</v>
      </c>
      <c r="O190" s="537"/>
      <c r="P190" s="338" t="str">
        <f>IFERROR(__xludf.DUMMYFUNCTION("""COMPUTED_VALUE"""),"макет на согласовании ")</f>
        <v>макет на согласовании </v>
      </c>
      <c r="Q190" s="338" t="str">
        <f>IFERROR(__xludf.DUMMYFUNCTION("""COMPUTED_VALUE"""),"394065, Воронежская область, г. Воронеж, Патриотов, д. 65-Н.")</f>
        <v>394065, Воронежская область, г. Воронеж, Патриотов, д. 65-Н.</v>
      </c>
      <c r="R190" s="338"/>
      <c r="S190" s="338"/>
      <c r="T190" s="338"/>
      <c r="U190" s="338"/>
      <c r="V190" s="338"/>
      <c r="W190" s="338"/>
      <c r="X190" s="338"/>
      <c r="Y190" s="338"/>
      <c r="Z190" s="338"/>
    </row>
    <row r="191" ht="22.5" customHeight="1">
      <c r="A191" s="528" t="str">
        <f>IFERROR(__xludf.DUMMYFUNCTION("""COMPUTED_VALUE"""),"Фосфорель")</f>
        <v>Фосфорель</v>
      </c>
      <c r="B191" s="528"/>
      <c r="C191" s="528" t="str">
        <f>IFERROR(__xludf.DUMMYFUNCTION("""COMPUTED_VALUE"""),"Этикетка «Рубленная горбуша и скумбрия» 150 г")</f>
        <v>Этикетка «Рубленная горбуша и скумбрия» 150 г</v>
      </c>
      <c r="D191" s="528">
        <f>IFERROR(__xludf.DUMMYFUNCTION("""COMPUTED_VALUE"""),2062.0)</f>
        <v>2062</v>
      </c>
      <c r="E191" s="528" t="str">
        <f>IFERROR(__xludf.DUMMYFUNCTION("""COMPUTED_VALUE"""),"Римма Лукина")</f>
        <v>Римма Лукина</v>
      </c>
      <c r="F191" s="535" t="str">
        <f>IFERROR(__xludf.DUMMYFUNCTION("""COMPUTED_VALUE"""),"Новая")</f>
        <v>Новая</v>
      </c>
      <c r="G191" s="536" t="str">
        <f>IFERROR(__xludf.DUMMYFUNCTION("""COMPUTED_VALUE"""),"38х236")</f>
        <v>38х236</v>
      </c>
      <c r="H191" s="338" t="str">
        <f>IFERROR(__xludf.DUMMYFUNCTION("""COMPUTED_VALUE"""),"Цифра+Полуротация")</f>
        <v>Цифра+Полуротация</v>
      </c>
      <c r="I191" s="338" t="str">
        <f>IFERROR(__xludf.DUMMYFUNCTION("""COMPUTED_VALUE"""),"LS(ЦПМ)")</f>
        <v>LS(ЦПМ)</v>
      </c>
      <c r="J191" s="536">
        <f>IFERROR(__xludf.DUMMYFUNCTION("""COMPUTED_VALUE"""),1000.0)</f>
        <v>1000</v>
      </c>
      <c r="K191" s="537">
        <f>IFERROR(__xludf.DUMMYFUNCTION("""COMPUTED_VALUE"""),46141.0)</f>
        <v>46141</v>
      </c>
      <c r="L191" s="537"/>
      <c r="M191" s="338" t="str">
        <f>IFERROR(__xludf.DUMMYFUNCTION("""COMPUTED_VALUE"""),"Пленка PP белая каучук")</f>
        <v>Пленка PP белая каучук</v>
      </c>
      <c r="N191" s="338" t="str">
        <f>IFERROR(__xludf.DUMMYFUNCTION("""COMPUTED_VALUE"""),"Отгружен")</f>
        <v>Отгружен</v>
      </c>
      <c r="O191" s="537"/>
      <c r="P191" s="338" t="str">
        <f>IFERROR(__xludf.DUMMYFUNCTION("""COMPUTED_VALUE"""),"макет на согласовании ")</f>
        <v>макет на согласовании </v>
      </c>
      <c r="Q191" s="338" t="str">
        <f>IFERROR(__xludf.DUMMYFUNCTION("""COMPUTED_VALUE"""),"394065, Воронежская область, г. Воронеж, Патриотов, д. 65-Н.")</f>
        <v>394065, Воронежская область, г. Воронеж, Патриотов, д. 65-Н.</v>
      </c>
      <c r="R191" s="338"/>
      <c r="S191" s="338"/>
      <c r="T191" s="338"/>
      <c r="U191" s="338"/>
      <c r="V191" s="338"/>
      <c r="W191" s="338"/>
      <c r="X191" s="338"/>
      <c r="Y191" s="338"/>
      <c r="Z191" s="338"/>
    </row>
    <row r="192" ht="22.5" customHeight="1">
      <c r="A192" s="528" t="str">
        <f>IFERROR(__xludf.DUMMYFUNCTION("""COMPUTED_VALUE"""),"Фосфорель")</f>
        <v>Фосфорель</v>
      </c>
      <c r="B192" s="528"/>
      <c r="C192" s="528" t="str">
        <f>IFERROR(__xludf.DUMMYFUNCTION("""COMPUTED_VALUE"""),"Этикетка «Форшмак из рубленной сельди» 150 г")</f>
        <v>Этикетка «Форшмак из рубленной сельди» 150 г</v>
      </c>
      <c r="D192" s="528">
        <f>IFERROR(__xludf.DUMMYFUNCTION("""COMPUTED_VALUE"""),2062.0)</f>
        <v>2062</v>
      </c>
      <c r="E192" s="528" t="str">
        <f>IFERROR(__xludf.DUMMYFUNCTION("""COMPUTED_VALUE"""),"Римма Лукина")</f>
        <v>Римма Лукина</v>
      </c>
      <c r="F192" s="535" t="str">
        <f>IFERROR(__xludf.DUMMYFUNCTION("""COMPUTED_VALUE"""),"Новая")</f>
        <v>Новая</v>
      </c>
      <c r="G192" s="536" t="str">
        <f>IFERROR(__xludf.DUMMYFUNCTION("""COMPUTED_VALUE"""),"38х236")</f>
        <v>38х236</v>
      </c>
      <c r="H192" s="338" t="str">
        <f>IFERROR(__xludf.DUMMYFUNCTION("""COMPUTED_VALUE"""),"Цифра+Полуротация")</f>
        <v>Цифра+Полуротация</v>
      </c>
      <c r="I192" s="338" t="str">
        <f>IFERROR(__xludf.DUMMYFUNCTION("""COMPUTED_VALUE"""),"LS(ЦПМ)")</f>
        <v>LS(ЦПМ)</v>
      </c>
      <c r="J192" s="536">
        <f>IFERROR(__xludf.DUMMYFUNCTION("""COMPUTED_VALUE"""),1000.0)</f>
        <v>1000</v>
      </c>
      <c r="K192" s="537">
        <f>IFERROR(__xludf.DUMMYFUNCTION("""COMPUTED_VALUE"""),46141.0)</f>
        <v>46141</v>
      </c>
      <c r="L192" s="537"/>
      <c r="M192" s="338" t="str">
        <f>IFERROR(__xludf.DUMMYFUNCTION("""COMPUTED_VALUE"""),"Пленка PP белая каучук")</f>
        <v>Пленка PP белая каучук</v>
      </c>
      <c r="N192" s="338" t="str">
        <f>IFERROR(__xludf.DUMMYFUNCTION("""COMPUTED_VALUE"""),"Отгружен")</f>
        <v>Отгружен</v>
      </c>
      <c r="O192" s="537"/>
      <c r="P192" s="338" t="str">
        <f>IFERROR(__xludf.DUMMYFUNCTION("""COMPUTED_VALUE"""),"макет на согласовании ")</f>
        <v>макет на согласовании </v>
      </c>
      <c r="Q192" s="338" t="str">
        <f>IFERROR(__xludf.DUMMYFUNCTION("""COMPUTED_VALUE"""),"394065, Воронежская область, г. Воронеж, Патриотов, д. 65-Н.")</f>
        <v>394065, Воронежская область, г. Воронеж, Патриотов, д. 65-Н.</v>
      </c>
      <c r="R192" s="338"/>
      <c r="S192" s="338"/>
      <c r="T192" s="338"/>
      <c r="U192" s="338"/>
      <c r="V192" s="338"/>
      <c r="W192" s="338"/>
      <c r="X192" s="338"/>
      <c r="Y192" s="338"/>
      <c r="Z192" s="338"/>
    </row>
    <row r="193" ht="22.5" customHeight="1">
      <c r="A193" s="528" t="str">
        <f>IFERROR(__xludf.DUMMYFUNCTION("""COMPUTED_VALUE"""),"Фосфорель")</f>
        <v>Фосфорель</v>
      </c>
      <c r="B193" s="528"/>
      <c r="C193" s="528" t="str">
        <f>IFERROR(__xludf.DUMMYFUNCTION("""COMPUTED_VALUE"""),"Сельдь малосольная филе в масле 250")</f>
        <v>Сельдь малосольная филе в масле 250</v>
      </c>
      <c r="D193" s="528">
        <f>IFERROR(__xludf.DUMMYFUNCTION("""COMPUTED_VALUE"""),2069.0)</f>
        <v>2069</v>
      </c>
      <c r="E193" s="528" t="str">
        <f>IFERROR(__xludf.DUMMYFUNCTION("""COMPUTED_VALUE"""),"Римма Лукина")</f>
        <v>Римма Лукина</v>
      </c>
      <c r="F193" s="535" t="str">
        <f>IFERROR(__xludf.DUMMYFUNCTION("""COMPUTED_VALUE"""),"Новая")</f>
        <v>Новая</v>
      </c>
      <c r="G193" s="536" t="str">
        <f>IFERROR(__xludf.DUMMYFUNCTION("""COMPUTED_VALUE"""),"100*115")</f>
        <v>100*115</v>
      </c>
      <c r="H193" s="338" t="str">
        <f>IFERROR(__xludf.DUMMYFUNCTION("""COMPUTED_VALUE"""),"Флексопечать")</f>
        <v>Флексопечать</v>
      </c>
      <c r="I193" s="338" t="str">
        <f>IFERROR(__xludf.DUMMYFUNCTION("""COMPUTED_VALUE"""),"Bg-330")</f>
        <v>Bg-330</v>
      </c>
      <c r="J193" s="536">
        <f>IFERROR(__xludf.DUMMYFUNCTION("""COMPUTED_VALUE"""),4000.0)</f>
        <v>4000</v>
      </c>
      <c r="K193" s="537">
        <f>IFERROR(__xludf.DUMMYFUNCTION("""COMPUTED_VALUE"""),46141.0)</f>
        <v>46141</v>
      </c>
      <c r="L193" s="537"/>
      <c r="M193" s="338" t="str">
        <f>IFERROR(__xludf.DUMMYFUNCTION("""COMPUTED_VALUE"""),"Пленка PP белая акрил")</f>
        <v>Пленка PP белая акрил</v>
      </c>
      <c r="N193" s="338" t="str">
        <f>IFERROR(__xludf.DUMMYFUNCTION("""COMPUTED_VALUE"""),"Отгружен")</f>
        <v>Отгружен</v>
      </c>
      <c r="O193" s="537"/>
      <c r="P193" s="338"/>
      <c r="Q193" s="338" t="str">
        <f>IFERROR(__xludf.DUMMYFUNCTION("""COMPUTED_VALUE"""),"СДЭК сама оформлю")</f>
        <v>СДЭК сама оформлю</v>
      </c>
      <c r="R193" s="338"/>
      <c r="S193" s="338"/>
      <c r="T193" s="338"/>
      <c r="U193" s="338"/>
      <c r="V193" s="338"/>
      <c r="W193" s="338"/>
      <c r="X193" s="338"/>
      <c r="Y193" s="338"/>
      <c r="Z193" s="338"/>
    </row>
    <row r="194" ht="22.5" customHeight="1">
      <c r="A194" s="528" t="str">
        <f>IFERROR(__xludf.DUMMYFUNCTION("""COMPUTED_VALUE"""),"Фосфорель")</f>
        <v>Фосфорель</v>
      </c>
      <c r="B194" s="528"/>
      <c r="C194" s="528" t="str">
        <f>IFERROR(__xludf.DUMMYFUNCTION("""COMPUTED_VALUE"""),"Этикетка Тунец рубленный в сладком соусе чили  150гр")</f>
        <v>Этикетка Тунец рубленный в сладком соусе чили  150гр</v>
      </c>
      <c r="D194" s="528">
        <f>IFERROR(__xludf.DUMMYFUNCTION("""COMPUTED_VALUE"""),2070.0)</f>
        <v>2070</v>
      </c>
      <c r="E194" s="528" t="str">
        <f>IFERROR(__xludf.DUMMYFUNCTION("""COMPUTED_VALUE"""),"Римма Лукина")</f>
        <v>Римма Лукина</v>
      </c>
      <c r="F194" s="535" t="str">
        <f>IFERROR(__xludf.DUMMYFUNCTION("""COMPUTED_VALUE"""),"Повтор")</f>
        <v>Повтор</v>
      </c>
      <c r="G194" s="536" t="str">
        <f>IFERROR(__xludf.DUMMYFUNCTION("""COMPUTED_VALUE"""),"38*236")</f>
        <v>38*236</v>
      </c>
      <c r="H194" s="338" t="str">
        <f>IFERROR(__xludf.DUMMYFUNCTION("""COMPUTED_VALUE"""),"Флексопечать")</f>
        <v>Флексопечать</v>
      </c>
      <c r="I194" s="338" t="str">
        <f>IFERROR(__xludf.DUMMYFUNCTION("""COMPUTED_VALUE"""),"Bg-330")</f>
        <v>Bg-330</v>
      </c>
      <c r="J194" s="536">
        <f>IFERROR(__xludf.DUMMYFUNCTION("""COMPUTED_VALUE"""),15000.0)</f>
        <v>15000</v>
      </c>
      <c r="K194" s="537">
        <f>IFERROR(__xludf.DUMMYFUNCTION("""COMPUTED_VALUE"""),46146.0)</f>
        <v>46146</v>
      </c>
      <c r="L194" s="537"/>
      <c r="M194" s="338" t="str">
        <f>IFERROR(__xludf.DUMMYFUNCTION("""COMPUTED_VALUE"""),"Пленка PP белая каучук")</f>
        <v>Пленка PP белая каучук</v>
      </c>
      <c r="N194" s="338" t="str">
        <f>IFERROR(__xludf.DUMMYFUNCTION("""COMPUTED_VALUE"""),"Отгружен")</f>
        <v>Отгружен</v>
      </c>
      <c r="O194" s="537"/>
      <c r="P194" s="338" t="str">
        <f>IFERROR(__xludf.DUMMYFUNCTION("""COMPUTED_VALUE"""),"материал посмотрите из прошлой заявки, нужно всятьименно его")</f>
        <v>материал посмотрите из прошлой заявки, нужно всятьименно его</v>
      </c>
      <c r="Q194" s="338" t="str">
        <f>IFERROR(__xludf.DUMMYFUNCTION("""COMPUTED_VALUE"""),"Курьер заберет")</f>
        <v>Курьер заберет</v>
      </c>
      <c r="R194" s="338"/>
      <c r="S194" s="338"/>
      <c r="T194" s="338"/>
      <c r="U194" s="338"/>
      <c r="V194" s="338"/>
      <c r="W194" s="338"/>
      <c r="X194" s="338"/>
      <c r="Y194" s="338"/>
      <c r="Z194" s="338"/>
    </row>
    <row r="195" ht="22.5" customHeight="1">
      <c r="A195" s="528" t="str">
        <f>IFERROR(__xludf.DUMMYFUNCTION("""COMPUTED_VALUE"""),"Нуртдинов")</f>
        <v>Нуртдинов</v>
      </c>
      <c r="B195" s="528"/>
      <c r="C195" s="528" t="str">
        <f>IFERROR(__xludf.DUMMYFUNCTION("""COMPUTED_VALUE"""),"Лакрин витамин С")</f>
        <v>Лакрин витамин С</v>
      </c>
      <c r="D195" s="528">
        <f>IFERROR(__xludf.DUMMYFUNCTION("""COMPUTED_VALUE"""),2097.0)</f>
        <v>2097</v>
      </c>
      <c r="E195" s="528" t="str">
        <f>IFERROR(__xludf.DUMMYFUNCTION("""COMPUTED_VALUE"""),"Римма Лукина")</f>
        <v>Римма Лукина</v>
      </c>
      <c r="F195" s="535" t="str">
        <f>IFERROR(__xludf.DUMMYFUNCTION("""COMPUTED_VALUE"""),"Повтор с изменениями")</f>
        <v>Повтор с изменениями</v>
      </c>
      <c r="G195" s="536" t="str">
        <f>IFERROR(__xludf.DUMMYFUNCTION("""COMPUTED_VALUE"""),"44*95")</f>
        <v>44*95</v>
      </c>
      <c r="H195" s="338" t="str">
        <f>IFERROR(__xludf.DUMMYFUNCTION("""COMPUTED_VALUE"""),"Флексопечать")</f>
        <v>Флексопечать</v>
      </c>
      <c r="I195" s="338" t="str">
        <f>IFERROR(__xludf.DUMMYFUNCTION("""COMPUTED_VALUE"""),"G-160")</f>
        <v>G-160</v>
      </c>
      <c r="J195" s="536">
        <f>IFERROR(__xludf.DUMMYFUNCTION("""COMPUTED_VALUE"""),2000.0)</f>
        <v>2000</v>
      </c>
      <c r="K195" s="537">
        <f>IFERROR(__xludf.DUMMYFUNCTION("""COMPUTED_VALUE"""),46147.0)</f>
        <v>46147</v>
      </c>
      <c r="L195" s="537"/>
      <c r="M195" s="338" t="str">
        <f>IFERROR(__xludf.DUMMYFUNCTION("""COMPUTED_VALUE"""),"Пленка PP белая акрил")</f>
        <v>Пленка PP белая акрил</v>
      </c>
      <c r="N195" s="338" t="str">
        <f>IFERROR(__xludf.DUMMYFUNCTION("""COMPUTED_VALUE"""),"Отгружен")</f>
        <v>Отгружен</v>
      </c>
      <c r="O195" s="537"/>
      <c r="P195" s="338" t="str">
        <f>IFERROR(__xludf.DUMMYFUNCTION("""COMPUTED_VALUE"""),"на роликах логистические стикеры . Название изготовителя, дата, номер заказа, количество в ролике.")</f>
        <v>на роликах логистические стикеры . Название изготовителя, дата, номер заказа, количество в ролике.</v>
      </c>
      <c r="Q195" s="338" t="str">
        <f>IFERROR(__xludf.DUMMYFUNCTION("""COMPUTED_VALUE"""),"Сама создам заявку СДЭК")</f>
        <v>Сама создам заявку СДЭК</v>
      </c>
      <c r="R195" s="338"/>
      <c r="S195" s="338"/>
      <c r="T195" s="338"/>
      <c r="U195" s="338"/>
      <c r="V195" s="338"/>
      <c r="W195" s="338"/>
      <c r="X195" s="338"/>
      <c r="Y195" s="338"/>
      <c r="Z195" s="338"/>
    </row>
    <row r="196" ht="22.5" customHeight="1">
      <c r="A196" s="528" t="str">
        <f>IFERROR(__xludf.DUMMYFUNCTION("""COMPUTED_VALUE"""),"Калье")</f>
        <v>Калье</v>
      </c>
      <c r="B196" s="528"/>
      <c r="C196" s="528" t="str">
        <f>IFERROR(__xludf.DUMMYFUNCTION("""COMPUTED_VALUE"""),"СТМ Nerio Липидная маска")</f>
        <v>СТМ Nerio Липидная маска</v>
      </c>
      <c r="D196" s="528">
        <f>IFERROR(__xludf.DUMMYFUNCTION("""COMPUTED_VALUE"""),2107.0)</f>
        <v>2107</v>
      </c>
      <c r="E196" s="528" t="str">
        <f>IFERROR(__xludf.DUMMYFUNCTION("""COMPUTED_VALUE"""),"Татьяна Денисова")</f>
        <v>Татьяна Денисова</v>
      </c>
      <c r="F196" s="535" t="str">
        <f>IFERROR(__xludf.DUMMYFUNCTION("""COMPUTED_VALUE"""),"Новая")</f>
        <v>Новая</v>
      </c>
      <c r="G196" s="536" t="str">
        <f>IFERROR(__xludf.DUMMYFUNCTION("""COMPUTED_VALUE"""),"58*280")</f>
        <v>58*280</v>
      </c>
      <c r="H196" s="338" t="str">
        <f>IFERROR(__xludf.DUMMYFUNCTION("""COMPUTED_VALUE"""),"Флексопечать")</f>
        <v>Флексопечать</v>
      </c>
      <c r="I196" s="338" t="str">
        <f>IFERROR(__xludf.DUMMYFUNCTION("""COMPUTED_VALUE"""),"Bg-330")</f>
        <v>Bg-330</v>
      </c>
      <c r="J196" s="536">
        <f>IFERROR(__xludf.DUMMYFUNCTION("""COMPUTED_VALUE"""),2030.0)</f>
        <v>2030</v>
      </c>
      <c r="K196" s="537">
        <f>IFERROR(__xludf.DUMMYFUNCTION("""COMPUTED_VALUE"""),46147.0)</f>
        <v>46147</v>
      </c>
      <c r="L196" s="537"/>
      <c r="M196" s="338" t="str">
        <f>IFERROR(__xludf.DUMMYFUNCTION("""COMPUTED_VALUE"""),"Пленка PP белая акрил")</f>
        <v>Пленка PP белая акрил</v>
      </c>
      <c r="N196" s="338" t="str">
        <f>IFERROR(__xludf.DUMMYFUNCTION("""COMPUTED_VALUE"""),"Отгружен")</f>
        <v>Отгружен</v>
      </c>
      <c r="O196" s="537"/>
      <c r="P196" s="338" t="str">
        <f>IFERROR(__xludf.DUMMYFUNCTION("""COMPUTED_VALUE"""),"Приладка в раб дни до 17:30 как обычно")</f>
        <v>Приладка в раб дни до 17:30 как обычно</v>
      </c>
      <c r="Q196" s="338" t="str">
        <f>IFERROR(__xludf.DUMMYFUNCTION("""COMPUTED_VALUE"""),"Сама заказываю ТК")</f>
        <v>Сама заказываю ТК</v>
      </c>
      <c r="R196" s="338"/>
      <c r="S196" s="338"/>
      <c r="T196" s="338"/>
      <c r="U196" s="338"/>
      <c r="V196" s="338"/>
      <c r="W196" s="338"/>
      <c r="X196" s="338"/>
      <c r="Y196" s="338"/>
      <c r="Z196" s="338"/>
    </row>
    <row r="197" ht="22.5" customHeight="1">
      <c r="A197" s="528" t="str">
        <f>IFERROR(__xludf.DUMMYFUNCTION("""COMPUTED_VALUE"""),"Кимберли Кларк ")</f>
        <v>Кимберли Кларк </v>
      </c>
      <c r="B197" s="528"/>
      <c r="C197" s="528" t="str">
        <f>IFERROR(__xludf.DUMMYFUNCTION("""COMPUTED_VALUE"""),"61284823 Белая наклейка 55х55 мм АЛ")</f>
        <v>61284823 Белая наклейка 55х55 мм АЛ</v>
      </c>
      <c r="D197" s="528">
        <f>IFERROR(__xludf.DUMMYFUNCTION("""COMPUTED_VALUE"""),2109.0)</f>
        <v>2109</v>
      </c>
      <c r="E197" s="528" t="str">
        <f>IFERROR(__xludf.DUMMYFUNCTION("""COMPUTED_VALUE"""),"Римма Лукина")</f>
        <v>Римма Лукина</v>
      </c>
      <c r="F197" s="535"/>
      <c r="G197" s="536"/>
      <c r="H197" s="338"/>
      <c r="I197" s="338"/>
      <c r="J197" s="536">
        <f>IFERROR(__xludf.DUMMYFUNCTION("""COMPUTED_VALUE"""),10000.0)</f>
        <v>10000</v>
      </c>
      <c r="K197" s="537">
        <f>IFERROR(__xludf.DUMMYFUNCTION("""COMPUTED_VALUE"""),46147.0)</f>
        <v>46147</v>
      </c>
      <c r="L197" s="537"/>
      <c r="M197" s="338" t="str">
        <f>IFERROR(__xludf.DUMMYFUNCTION("""COMPUTED_VALUE"""),"Бумага полуглянец акрил")</f>
        <v>Бумага полуглянец акрил</v>
      </c>
      <c r="N197" s="338" t="str">
        <f>IFERROR(__xludf.DUMMYFUNCTION("""COMPUTED_VALUE"""),"Отгружен")</f>
        <v>Отгружен</v>
      </c>
      <c r="O197" s="537"/>
      <c r="P197" s="338" t="str">
        <f>IFERROR(__xludf.DUMMYFUNCTION("""COMPUTED_VALUE"""),"чистая этикетка, просто вырубить")</f>
        <v>чистая этикетка, просто вырубить</v>
      </c>
      <c r="Q197" s="338" t="str">
        <f>IFERROR(__xludf.DUMMYFUNCTION("""COMPUTED_VALUE"""),"СДЭК сама оформлю")</f>
        <v>СДЭК сама оформлю</v>
      </c>
      <c r="R197" s="338"/>
      <c r="S197" s="338"/>
      <c r="T197" s="338"/>
      <c r="U197" s="338"/>
      <c r="V197" s="338"/>
      <c r="W197" s="338"/>
      <c r="X197" s="338"/>
      <c r="Y197" s="338"/>
      <c r="Z197" s="338"/>
    </row>
    <row r="198" ht="22.5" customHeight="1">
      <c r="A198" s="528" t="str">
        <f>IFERROR(__xludf.DUMMYFUNCTION("""COMPUTED_VALUE"""),"ООО ТД ""ВЕТ-ЦЗДОР ПРОДАКТ""")</f>
        <v>ООО ТД "ВЕТ-ЦЗДОР ПРОДАКТ"</v>
      </c>
      <c r="B198" s="528"/>
      <c r="C198" s="528" t="str">
        <f>IFERROR(__xludf.DUMMYFUNCTION("""COMPUTED_VALUE"""),"Полезное лакомство для собак 30 шт/120 гр ")</f>
        <v>Полезное лакомство для собак 30 шт/120 гр </v>
      </c>
      <c r="D198" s="528">
        <f>IFERROR(__xludf.DUMMYFUNCTION("""COMPUTED_VALUE"""),2112.0)</f>
        <v>2112</v>
      </c>
      <c r="E198" s="528" t="str">
        <f>IFERROR(__xludf.DUMMYFUNCTION("""COMPUTED_VALUE"""),"Шаповалов Дмитрий")</f>
        <v>Шаповалов Дмитрий</v>
      </c>
      <c r="F198" s="535" t="str">
        <f>IFERROR(__xludf.DUMMYFUNCTION("""COMPUTED_VALUE"""),"Новая")</f>
        <v>Новая</v>
      </c>
      <c r="G198" s="536" t="str">
        <f>IFERROR(__xludf.DUMMYFUNCTION("""COMPUTED_VALUE"""),"d85")</f>
        <v>d85</v>
      </c>
      <c r="H198" s="338" t="str">
        <f>IFERROR(__xludf.DUMMYFUNCTION("""COMPUTED_VALUE"""),"Цифра+Лазер")</f>
        <v>Цифра+Лазер</v>
      </c>
      <c r="I198" s="338" t="str">
        <f>IFERROR(__xludf.DUMMYFUNCTION("""COMPUTED_VALUE"""),"LS(ЦПМ)")</f>
        <v>LS(ЦПМ)</v>
      </c>
      <c r="J198" s="536">
        <f>IFERROR(__xludf.DUMMYFUNCTION("""COMPUTED_VALUE"""),2000.0)</f>
        <v>2000</v>
      </c>
      <c r="K198" s="537">
        <f>IFERROR(__xludf.DUMMYFUNCTION("""COMPUTED_VALUE"""),46135.0)</f>
        <v>46135</v>
      </c>
      <c r="L198" s="537"/>
      <c r="M198" s="338" t="str">
        <f>IFERROR(__xludf.DUMMYFUNCTION("""COMPUTED_VALUE"""),"Бумага полуглянец каучук")</f>
        <v>Бумага полуглянец каучук</v>
      </c>
      <c r="N198" s="338" t="str">
        <f>IFERROR(__xludf.DUMMYFUNCTION("""COMPUTED_VALUE"""),"Отгружен")</f>
        <v>Отгружен</v>
      </c>
      <c r="O198" s="537"/>
      <c r="P198" s="338"/>
      <c r="Q198" s="338" t="str">
        <f>IFERROR(__xludf.DUMMYFUNCTION("""COMPUTED_VALUE"""),"Подольск, д. Борисовка, территория ПромТехальянс 1, стр.1. Получатель: +7 921 553 29 46 Елена")</f>
        <v>Подольск, д. Борисовка, территория ПромТехальянс 1, стр.1. Получатель: +7 921 553 29 46 Елена</v>
      </c>
      <c r="R198" s="338"/>
      <c r="S198" s="338"/>
      <c r="T198" s="338"/>
      <c r="U198" s="338"/>
      <c r="V198" s="338"/>
      <c r="W198" s="338"/>
      <c r="X198" s="338"/>
      <c r="Y198" s="338"/>
      <c r="Z198" s="338"/>
    </row>
    <row r="199" ht="22.5" customHeight="1">
      <c r="A199" s="528" t="str">
        <f>IFERROR(__xludf.DUMMYFUNCTION("""COMPUTED_VALUE"""),"ООО ТД ""ВЕТ-ЦЗДОР ПРОДАКТ""")</f>
        <v>ООО ТД "ВЕТ-ЦЗДОР ПРОДАКТ"</v>
      </c>
      <c r="B199" s="528"/>
      <c r="C199" s="528" t="str">
        <f>IFERROR(__xludf.DUMMYFUNCTION("""COMPUTED_VALUE"""),"Полезное лакомство для собак 30 шт/120 гр ")</f>
        <v>Полезное лакомство для собак 30 шт/120 гр </v>
      </c>
      <c r="D199" s="528">
        <f>IFERROR(__xludf.DUMMYFUNCTION("""COMPUTED_VALUE"""),2113.0)</f>
        <v>2113</v>
      </c>
      <c r="E199" s="528" t="str">
        <f>IFERROR(__xludf.DUMMYFUNCTION("""COMPUTED_VALUE"""),"Шаповалов Дмитрий")</f>
        <v>Шаповалов Дмитрий</v>
      </c>
      <c r="F199" s="535" t="str">
        <f>IFERROR(__xludf.DUMMYFUNCTION("""COMPUTED_VALUE"""),"Новая")</f>
        <v>Новая</v>
      </c>
      <c r="G199" s="536" t="str">
        <f>IFERROR(__xludf.DUMMYFUNCTION("""COMPUTED_VALUE"""),"37*295")</f>
        <v>37*295</v>
      </c>
      <c r="H199" s="338" t="str">
        <f>IFERROR(__xludf.DUMMYFUNCTION("""COMPUTED_VALUE"""),"Цифра+Лазер")</f>
        <v>Цифра+Лазер</v>
      </c>
      <c r="I199" s="338" t="str">
        <f>IFERROR(__xludf.DUMMYFUNCTION("""COMPUTED_VALUE"""),"LS(ЦПМ)")</f>
        <v>LS(ЦПМ)</v>
      </c>
      <c r="J199" s="536">
        <f>IFERROR(__xludf.DUMMYFUNCTION("""COMPUTED_VALUE"""),2000.0)</f>
        <v>2000</v>
      </c>
      <c r="K199" s="537">
        <f>IFERROR(__xludf.DUMMYFUNCTION("""COMPUTED_VALUE"""),46135.0)</f>
        <v>46135</v>
      </c>
      <c r="L199" s="537"/>
      <c r="M199" s="338" t="str">
        <f>IFERROR(__xludf.DUMMYFUNCTION("""COMPUTED_VALUE"""),"Бумага полуглянец каучук")</f>
        <v>Бумага полуглянец каучук</v>
      </c>
      <c r="N199" s="338" t="str">
        <f>IFERROR(__xludf.DUMMYFUNCTION("""COMPUTED_VALUE"""),"Отгружен")</f>
        <v>Отгружен</v>
      </c>
      <c r="O199" s="537"/>
      <c r="P199" s="338"/>
      <c r="Q199" s="338" t="str">
        <f>IFERROR(__xludf.DUMMYFUNCTION("""COMPUTED_VALUE"""),"Подольск, д. Борисовка, территория ПромТехальянс 1, стр.1. Получатель: +7 921 553 29 46 Елена")</f>
        <v>Подольск, д. Борисовка, территория ПромТехальянс 1, стр.1. Получатель: +7 921 553 29 46 Елена</v>
      </c>
      <c r="R199" s="338"/>
      <c r="S199" s="338"/>
      <c r="T199" s="338"/>
      <c r="U199" s="338"/>
      <c r="V199" s="338"/>
      <c r="W199" s="338"/>
      <c r="X199" s="338"/>
      <c r="Y199" s="338"/>
      <c r="Z199" s="338"/>
    </row>
    <row r="200" ht="22.5" customHeight="1">
      <c r="A200" s="528" t="str">
        <f>IFERROR(__xludf.DUMMYFUNCTION("""COMPUTED_VALUE"""),"ООО ""Кнауф Гипс""")</f>
        <v>ООО "Кнауф Гипс"</v>
      </c>
      <c r="B200" s="528"/>
      <c r="C200" s="528" t="str">
        <f>IFERROR(__xludf.DUMMYFUNCTION("""COMPUTED_VALUE"""),"Профиль потолочный направляющий  28*27 мм/ Профиль потолочный 60*27 мм")</f>
        <v>Профиль потолочный направляющий  28*27 мм/ Профиль потолочный 60*27 мм</v>
      </c>
      <c r="D200" s="528" t="str">
        <f>IFERROR(__xludf.DUMMYFUNCTION("""COMPUTED_VALUE"""),"2024/2025")</f>
        <v>2024/2025</v>
      </c>
      <c r="E200" s="528" t="str">
        <f>IFERROR(__xludf.DUMMYFUNCTION("""COMPUTED_VALUE"""),"Баранов Александр")</f>
        <v>Баранов Александр</v>
      </c>
      <c r="F200" s="535" t="str">
        <f>IFERROR(__xludf.DUMMYFUNCTION("""COMPUTED_VALUE"""),"ТЕСТ")</f>
        <v>ТЕСТ</v>
      </c>
      <c r="G200" s="536" t="str">
        <f>IFERROR(__xludf.DUMMYFUNCTION("""COMPUTED_VALUE"""),"22*68")</f>
        <v>22*68</v>
      </c>
      <c r="H200" s="338" t="str">
        <f>IFERROR(__xludf.DUMMYFUNCTION("""COMPUTED_VALUE"""),"Флексопечать")</f>
        <v>Флексопечать</v>
      </c>
      <c r="I200" s="338" t="str">
        <f>IFERROR(__xludf.DUMMYFUNCTION("""COMPUTED_VALUE"""),"G-200")</f>
        <v>G-200</v>
      </c>
      <c r="J200" s="539">
        <f>IFERROR(__xludf.DUMMYFUNCTION("""COMPUTED_VALUE"""),767042.0)</f>
        <v>767042</v>
      </c>
      <c r="K200" s="537">
        <f>IFERROR(__xludf.DUMMYFUNCTION("""COMPUTED_VALUE"""),46140.0)</f>
        <v>46140</v>
      </c>
      <c r="L200" s="537"/>
      <c r="M200" s="338" t="str">
        <f>IFERROR(__xludf.DUMMYFUNCTION("""COMPUTED_VALUE"""),"Бумага полуглянец акрил")</f>
        <v>Бумага полуглянец акрил</v>
      </c>
      <c r="N200" s="338" t="str">
        <f>IFERROR(__xludf.DUMMYFUNCTION("""COMPUTED_VALUE"""),"Отгружен")</f>
        <v>Отгружен</v>
      </c>
      <c r="O200" s="537"/>
      <c r="P200" s="338"/>
      <c r="Q200" s="338" t="str">
        <f>IFERROR(__xludf.DUMMYFUNCTION("""COMPUTED_VALUE"""),"До терминала Деловые Линии г.Пермь ( терминал на ул. Промышленная)")</f>
        <v>До терминала Деловые Линии г.Пермь ( терминал на ул. Промышленная)</v>
      </c>
      <c r="R200" s="338"/>
      <c r="S200" s="338"/>
      <c r="T200" s="338"/>
      <c r="U200" s="338"/>
      <c r="V200" s="338"/>
      <c r="W200" s="338"/>
      <c r="X200" s="338"/>
      <c r="Y200" s="338"/>
      <c r="Z200" s="338"/>
    </row>
    <row r="201" ht="22.5" customHeight="1">
      <c r="A201" s="528" t="str">
        <f>IFERROR(__xludf.DUMMYFUNCTION("""COMPUTED_VALUE"""),"Калье")</f>
        <v>Калье</v>
      </c>
      <c r="B201" s="528"/>
      <c r="C201" s="528" t="str">
        <f>IFERROR(__xludf.DUMMYFUNCTION("""COMPUTED_VALUE"""),"Sistema Mist")</f>
        <v>Sistema Mist</v>
      </c>
      <c r="D201" s="528">
        <f>IFERROR(__xludf.DUMMYFUNCTION("""COMPUTED_VALUE"""),2127.0)</f>
        <v>2127</v>
      </c>
      <c r="E201" s="528" t="str">
        <f>IFERROR(__xludf.DUMMYFUNCTION("""COMPUTED_VALUE"""),"Татьяна Денисова")</f>
        <v>Татьяна Денисова</v>
      </c>
      <c r="F201" s="535" t="str">
        <f>IFERROR(__xludf.DUMMYFUNCTION("""COMPUTED_VALUE"""),"Новая")</f>
        <v>Новая</v>
      </c>
      <c r="G201" s="536" t="str">
        <f>IFERROR(__xludf.DUMMYFUNCTION("""COMPUTED_VALUE"""),"130*145")</f>
        <v>130*145</v>
      </c>
      <c r="H201" s="338" t="str">
        <f>IFERROR(__xludf.DUMMYFUNCTION("""COMPUTED_VALUE"""),"Флексопечать")</f>
        <v>Флексопечать</v>
      </c>
      <c r="I201" s="338" t="str">
        <f>IFERROR(__xludf.DUMMYFUNCTION("""COMPUTED_VALUE"""),"Bg-330")</f>
        <v>Bg-330</v>
      </c>
      <c r="J201" s="536">
        <f>IFERROR(__xludf.DUMMYFUNCTION("""COMPUTED_VALUE"""),10000.0)</f>
        <v>10000</v>
      </c>
      <c r="K201" s="537">
        <f>IFERROR(__xludf.DUMMYFUNCTION("""COMPUTED_VALUE"""),46146.0)</f>
        <v>46146</v>
      </c>
      <c r="L201" s="537"/>
      <c r="M201" s="338" t="str">
        <f>IFERROR(__xludf.DUMMYFUNCTION("""COMPUTED_VALUE"""),"Пленка PP белая акрил")</f>
        <v>Пленка PP белая акрил</v>
      </c>
      <c r="N201" s="338" t="str">
        <f>IFERROR(__xludf.DUMMYFUNCTION("""COMPUTED_VALUE"""),"Отгружен")</f>
        <v>Отгружен</v>
      </c>
      <c r="O201" s="537"/>
      <c r="P201" s="338" t="str">
        <f>IFERROR(__xludf.DUMMYFUNCTION("""COMPUTED_VALUE"""),"Приладка в раб дни до 17:30 как обычно")</f>
        <v>Приладка в раб дни до 17:30 как обычно</v>
      </c>
      <c r="Q201" s="338" t="str">
        <f>IFERROR(__xludf.DUMMYFUNCTION("""COMPUTED_VALUE"""),"Сама заказываю ТК")</f>
        <v>Сама заказываю ТК</v>
      </c>
      <c r="R201" s="338"/>
      <c r="S201" s="338"/>
      <c r="T201" s="338"/>
      <c r="U201" s="338"/>
      <c r="V201" s="338"/>
      <c r="W201" s="338"/>
      <c r="X201" s="338"/>
      <c r="Y201" s="338"/>
      <c r="Z201" s="338"/>
    </row>
    <row r="202" ht="22.5" customHeight="1">
      <c r="A202" s="528" t="str">
        <f>IFERROR(__xludf.DUMMYFUNCTION("""COMPUTED_VALUE"""),"Кимберли Кларк")</f>
        <v>Кимберли Кларк</v>
      </c>
      <c r="B202" s="528"/>
      <c r="C202" s="528" t="str">
        <f>IFERROR(__xludf.DUMMYFUNCTION("""COMPUTED_VALUE"""),"61284168 УК ПТГ1.5 Накл/пакет S5 Jumbo 42x4 УНИ Н")</f>
        <v>61284168 УК ПТГ1.5 Накл/пакет S5 Jumbo 42x4 УНИ Н</v>
      </c>
      <c r="D202" s="528">
        <f>IFERROR(__xludf.DUMMYFUNCTION("""COMPUTED_VALUE"""),2129.0)</f>
        <v>2129</v>
      </c>
      <c r="E202" s="528" t="str">
        <f>IFERROR(__xludf.DUMMYFUNCTION("""COMPUTED_VALUE"""),"Римма Лукина")</f>
        <v>Римма Лукина</v>
      </c>
      <c r="F202" s="535" t="str">
        <f>IFERROR(__xludf.DUMMYFUNCTION("""COMPUTED_VALUE"""),"Повтор")</f>
        <v>Повтор</v>
      </c>
      <c r="G202" s="536" t="str">
        <f>IFERROR(__xludf.DUMMYFUNCTION("""COMPUTED_VALUE"""),"55*55")</f>
        <v>55*55</v>
      </c>
      <c r="H202" s="338" t="str">
        <f>IFERROR(__xludf.DUMMYFUNCTION("""COMPUTED_VALUE"""),"Флексопечать")</f>
        <v>Флексопечать</v>
      </c>
      <c r="I202" s="338" t="str">
        <f>IFERROR(__xludf.DUMMYFUNCTION("""COMPUTED_VALUE"""),"G-160")</f>
        <v>G-160</v>
      </c>
      <c r="J202" s="536" t="str">
        <f>IFERROR(__xludf.DUMMYFUNCTION("""COMPUTED_VALUE"""),"5 000")</f>
        <v>5 000</v>
      </c>
      <c r="K202" s="537">
        <f>IFERROR(__xludf.DUMMYFUNCTION("""COMPUTED_VALUE"""),46141.0)</f>
        <v>46141</v>
      </c>
      <c r="L202" s="537"/>
      <c r="M202" s="338" t="str">
        <f>IFERROR(__xludf.DUMMYFUNCTION("""COMPUTED_VALUE"""),"Бумага полуглянец акрил")</f>
        <v>Бумага полуглянец акрил</v>
      </c>
      <c r="N202" s="338" t="str">
        <f>IFERROR(__xludf.DUMMYFUNCTION("""COMPUTED_VALUE"""),"Отгружен")</f>
        <v>Отгружен</v>
      </c>
      <c r="O202" s="537"/>
      <c r="P202" s="338" t="str">
        <f>IFERROR(__xludf.DUMMYFUNCTION("""COMPUTED_VALUE"""),"очень внимательно. постарайтесь не сделать пересорт")</f>
        <v>очень внимательно. постарайтесь не сделать пересорт</v>
      </c>
      <c r="Q202" s="338" t="str">
        <f>IFERROR(__xludf.DUMMYFUNCTION("""COMPUTED_VALUE"""),"СДЭК сама оформлю")</f>
        <v>СДЭК сама оформлю</v>
      </c>
      <c r="R202" s="338"/>
      <c r="S202" s="338"/>
      <c r="T202" s="338"/>
      <c r="U202" s="338"/>
      <c r="V202" s="338"/>
      <c r="W202" s="338"/>
      <c r="X202" s="338"/>
      <c r="Y202" s="338"/>
      <c r="Z202" s="338"/>
    </row>
    <row r="203" ht="22.5" customHeight="1">
      <c r="A203" s="528" t="str">
        <f>IFERROR(__xludf.DUMMYFUNCTION("""COMPUTED_VALUE"""),"Кимберли Кларк")</f>
        <v>Кимберли Кларк</v>
      </c>
      <c r="B203" s="528"/>
      <c r="C203" s="528" t="str">
        <f>IFERROR(__xludf.DUMMYFUNCTION("""COMPUTED_VALUE"""),"61284564 УК ЧЗ Накл/пакет S3 Mega 78x4 Дев")</f>
        <v>61284564 УК ЧЗ Накл/пакет S3 Mega 78x4 Дев</v>
      </c>
      <c r="D203" s="528">
        <f>IFERROR(__xludf.DUMMYFUNCTION("""COMPUTED_VALUE"""),2130.0)</f>
        <v>2130</v>
      </c>
      <c r="E203" s="528" t="str">
        <f>IFERROR(__xludf.DUMMYFUNCTION("""COMPUTED_VALUE"""),"Римма Лукина")</f>
        <v>Римма Лукина</v>
      </c>
      <c r="F203" s="535" t="str">
        <f>IFERROR(__xludf.DUMMYFUNCTION("""COMPUTED_VALUE"""),"Повтор")</f>
        <v>Повтор</v>
      </c>
      <c r="G203" s="536" t="str">
        <f>IFERROR(__xludf.DUMMYFUNCTION("""COMPUTED_VALUE"""),"55*55")</f>
        <v>55*55</v>
      </c>
      <c r="H203" s="338" t="str">
        <f>IFERROR(__xludf.DUMMYFUNCTION("""COMPUTED_VALUE"""),"Флексопечать")</f>
        <v>Флексопечать</v>
      </c>
      <c r="I203" s="338" t="str">
        <f>IFERROR(__xludf.DUMMYFUNCTION("""COMPUTED_VALUE"""),"G-160")</f>
        <v>G-160</v>
      </c>
      <c r="J203" s="536" t="str">
        <f>IFERROR(__xludf.DUMMYFUNCTION("""COMPUTED_VALUE"""),"10 000")</f>
        <v>10 000</v>
      </c>
      <c r="K203" s="537">
        <f>IFERROR(__xludf.DUMMYFUNCTION("""COMPUTED_VALUE"""),46141.0)</f>
        <v>46141</v>
      </c>
      <c r="L203" s="537"/>
      <c r="M203" s="338" t="str">
        <f>IFERROR(__xludf.DUMMYFUNCTION("""COMPUTED_VALUE"""),"Бумага полуглянец акрил")</f>
        <v>Бумага полуглянец акрил</v>
      </c>
      <c r="N203" s="338" t="str">
        <f>IFERROR(__xludf.DUMMYFUNCTION("""COMPUTED_VALUE"""),"Отгружен")</f>
        <v>Отгружен</v>
      </c>
      <c r="O203" s="537"/>
      <c r="P203" s="338" t="str">
        <f>IFERROR(__xludf.DUMMYFUNCTION("""COMPUTED_VALUE"""),"очень внимательно. постарайтесь не сделать пересорт")</f>
        <v>очень внимательно. постарайтесь не сделать пересорт</v>
      </c>
      <c r="Q203" s="338" t="str">
        <f>IFERROR(__xludf.DUMMYFUNCTION("""COMPUTED_VALUE"""),"СДЭК сама оформлю")</f>
        <v>СДЭК сама оформлю</v>
      </c>
      <c r="R203" s="338"/>
      <c r="S203" s="338"/>
      <c r="T203" s="338"/>
      <c r="U203" s="338"/>
      <c r="V203" s="338"/>
      <c r="W203" s="338"/>
      <c r="X203" s="338"/>
      <c r="Y203" s="338"/>
      <c r="Z203" s="338"/>
    </row>
    <row r="204" ht="22.5" customHeight="1">
      <c r="A204" s="528" t="str">
        <f>IFERROR(__xludf.DUMMYFUNCTION("""COMPUTED_VALUE"""),"Кимберли Кларк")</f>
        <v>Кимберли Кларк</v>
      </c>
      <c r="B204" s="528"/>
      <c r="C204" s="528" t="str">
        <f>IFERROR(__xludf.DUMMYFUNCTION("""COMPUTED_VALUE"""),"61284565 УК ЧЗ Накл/пакет S4 Mega 66х4 Дев")</f>
        <v>61284565 УК ЧЗ Накл/пакет S4 Mega 66х4 Дев</v>
      </c>
      <c r="D204" s="528">
        <f>IFERROR(__xludf.DUMMYFUNCTION("""COMPUTED_VALUE"""),2131.0)</f>
        <v>2131</v>
      </c>
      <c r="E204" s="528" t="str">
        <f>IFERROR(__xludf.DUMMYFUNCTION("""COMPUTED_VALUE"""),"Римма Лукина")</f>
        <v>Римма Лукина</v>
      </c>
      <c r="F204" s="535" t="str">
        <f>IFERROR(__xludf.DUMMYFUNCTION("""COMPUTED_VALUE"""),"Повтор")</f>
        <v>Повтор</v>
      </c>
      <c r="G204" s="536" t="str">
        <f>IFERROR(__xludf.DUMMYFUNCTION("""COMPUTED_VALUE"""),"55*55")</f>
        <v>55*55</v>
      </c>
      <c r="H204" s="338" t="str">
        <f>IFERROR(__xludf.DUMMYFUNCTION("""COMPUTED_VALUE"""),"Флексопечать")</f>
        <v>Флексопечать</v>
      </c>
      <c r="I204" s="338" t="str">
        <f>IFERROR(__xludf.DUMMYFUNCTION("""COMPUTED_VALUE"""),"G-160")</f>
        <v>G-160</v>
      </c>
      <c r="J204" s="536" t="str">
        <f>IFERROR(__xludf.DUMMYFUNCTION("""COMPUTED_VALUE"""),"20 000")</f>
        <v>20 000</v>
      </c>
      <c r="K204" s="537">
        <f>IFERROR(__xludf.DUMMYFUNCTION("""COMPUTED_VALUE"""),46141.0)</f>
        <v>46141</v>
      </c>
      <c r="L204" s="537"/>
      <c r="M204" s="338" t="str">
        <f>IFERROR(__xludf.DUMMYFUNCTION("""COMPUTED_VALUE"""),"Бумага полуглянец акрил")</f>
        <v>Бумага полуглянец акрил</v>
      </c>
      <c r="N204" s="338" t="str">
        <f>IFERROR(__xludf.DUMMYFUNCTION("""COMPUTED_VALUE"""),"Отгружен")</f>
        <v>Отгружен</v>
      </c>
      <c r="O204" s="537"/>
      <c r="P204" s="338" t="str">
        <f>IFERROR(__xludf.DUMMYFUNCTION("""COMPUTED_VALUE"""),"очень внимательно. постарайтесь не сделать пересорт")</f>
        <v>очень внимательно. постарайтесь не сделать пересорт</v>
      </c>
      <c r="Q204" s="338" t="str">
        <f>IFERROR(__xludf.DUMMYFUNCTION("""COMPUTED_VALUE"""),"СДЭК сама оформлю")</f>
        <v>СДЭК сама оформлю</v>
      </c>
      <c r="R204" s="338"/>
      <c r="S204" s="338"/>
      <c r="T204" s="338"/>
      <c r="U204" s="338"/>
      <c r="V204" s="338"/>
      <c r="W204" s="338"/>
      <c r="X204" s="338"/>
      <c r="Y204" s="338"/>
      <c r="Z204" s="338"/>
    </row>
    <row r="205" ht="22.5" customHeight="1">
      <c r="A205" s="528" t="str">
        <f>IFERROR(__xludf.DUMMYFUNCTION("""COMPUTED_VALUE"""),"Кимберли Кларк")</f>
        <v>Кимберли Кларк</v>
      </c>
      <c r="B205" s="528"/>
      <c r="C205" s="528" t="str">
        <f>IFERROR(__xludf.DUMMYFUNCTION("""COMPUTED_VALUE"""),"61284566 УК ЧЗ Накл/пакет S5 Mega 56x4 Дев")</f>
        <v>61284566 УК ЧЗ Накл/пакет S5 Mega 56x4 Дев</v>
      </c>
      <c r="D205" s="528">
        <f>IFERROR(__xludf.DUMMYFUNCTION("""COMPUTED_VALUE"""),2132.0)</f>
        <v>2132</v>
      </c>
      <c r="E205" s="528" t="str">
        <f>IFERROR(__xludf.DUMMYFUNCTION("""COMPUTED_VALUE"""),"Римма Лукина")</f>
        <v>Римма Лукина</v>
      </c>
      <c r="F205" s="535" t="str">
        <f>IFERROR(__xludf.DUMMYFUNCTION("""COMPUTED_VALUE"""),"Повтор")</f>
        <v>Повтор</v>
      </c>
      <c r="G205" s="536" t="str">
        <f>IFERROR(__xludf.DUMMYFUNCTION("""COMPUTED_VALUE"""),"55*55")</f>
        <v>55*55</v>
      </c>
      <c r="H205" s="338" t="str">
        <f>IFERROR(__xludf.DUMMYFUNCTION("""COMPUTED_VALUE"""),"Флексопечать")</f>
        <v>Флексопечать</v>
      </c>
      <c r="I205" s="338" t="str">
        <f>IFERROR(__xludf.DUMMYFUNCTION("""COMPUTED_VALUE"""),"G-160")</f>
        <v>G-160</v>
      </c>
      <c r="J205" s="536" t="str">
        <f>IFERROR(__xludf.DUMMYFUNCTION("""COMPUTED_VALUE"""),"20 000")</f>
        <v>20 000</v>
      </c>
      <c r="K205" s="537">
        <f>IFERROR(__xludf.DUMMYFUNCTION("""COMPUTED_VALUE"""),46141.0)</f>
        <v>46141</v>
      </c>
      <c r="L205" s="537"/>
      <c r="M205" s="338" t="str">
        <f>IFERROR(__xludf.DUMMYFUNCTION("""COMPUTED_VALUE"""),"Бумага полуглянец акрил")</f>
        <v>Бумага полуглянец акрил</v>
      </c>
      <c r="N205" s="338" t="str">
        <f>IFERROR(__xludf.DUMMYFUNCTION("""COMPUTED_VALUE"""),"Отгружен")</f>
        <v>Отгружен</v>
      </c>
      <c r="O205" s="537"/>
      <c r="P205" s="338" t="str">
        <f>IFERROR(__xludf.DUMMYFUNCTION("""COMPUTED_VALUE"""),"очень внимательно. постарайтесь не сделать пересорт")</f>
        <v>очень внимательно. постарайтесь не сделать пересорт</v>
      </c>
      <c r="Q205" s="338" t="str">
        <f>IFERROR(__xludf.DUMMYFUNCTION("""COMPUTED_VALUE"""),"СДЭК сама оформлю")</f>
        <v>СДЭК сама оформлю</v>
      </c>
      <c r="R205" s="338"/>
      <c r="S205" s="338"/>
      <c r="T205" s="338"/>
      <c r="U205" s="338"/>
      <c r="V205" s="338"/>
      <c r="W205" s="338"/>
      <c r="X205" s="338"/>
      <c r="Y205" s="338"/>
      <c r="Z205" s="338"/>
    </row>
    <row r="206" ht="22.5" customHeight="1">
      <c r="A206" s="528" t="str">
        <f>IFERROR(__xludf.DUMMYFUNCTION("""COMPUTED_VALUE"""),"Кимберли Кларк")</f>
        <v>Кимберли Кларк</v>
      </c>
      <c r="B206" s="528"/>
      <c r="C206" s="528" t="str">
        <f>IFERROR(__xludf.DUMMYFUNCTION("""COMPUTED_VALUE"""),"61284567 УК ЧЗ Накл/пакет S5 Giga 64x2 Дев")</f>
        <v>61284567 УК ЧЗ Накл/пакет S5 Giga 64x2 Дев</v>
      </c>
      <c r="D206" s="528">
        <f>IFERROR(__xludf.DUMMYFUNCTION("""COMPUTED_VALUE"""),2133.0)</f>
        <v>2133</v>
      </c>
      <c r="E206" s="528" t="str">
        <f>IFERROR(__xludf.DUMMYFUNCTION("""COMPUTED_VALUE"""),"Римма Лукина")</f>
        <v>Римма Лукина</v>
      </c>
      <c r="F206" s="535" t="str">
        <f>IFERROR(__xludf.DUMMYFUNCTION("""COMPUTED_VALUE"""),"Повтор")</f>
        <v>Повтор</v>
      </c>
      <c r="G206" s="536" t="str">
        <f>IFERROR(__xludf.DUMMYFUNCTION("""COMPUTED_VALUE"""),"55*55")</f>
        <v>55*55</v>
      </c>
      <c r="H206" s="338" t="str">
        <f>IFERROR(__xludf.DUMMYFUNCTION("""COMPUTED_VALUE"""),"Флексопечать")</f>
        <v>Флексопечать</v>
      </c>
      <c r="I206" s="338" t="str">
        <f>IFERROR(__xludf.DUMMYFUNCTION("""COMPUTED_VALUE"""),"G-160")</f>
        <v>G-160</v>
      </c>
      <c r="J206" s="536">
        <f>IFERROR(__xludf.DUMMYFUNCTION("""COMPUTED_VALUE"""),40000.0)</f>
        <v>40000</v>
      </c>
      <c r="K206" s="537">
        <f>IFERROR(__xludf.DUMMYFUNCTION("""COMPUTED_VALUE"""),46141.0)</f>
        <v>46141</v>
      </c>
      <c r="L206" s="537"/>
      <c r="M206" s="338" t="str">
        <f>IFERROR(__xludf.DUMMYFUNCTION("""COMPUTED_VALUE"""),"Бумага полуглянец акрил")</f>
        <v>Бумага полуглянец акрил</v>
      </c>
      <c r="N206" s="338" t="str">
        <f>IFERROR(__xludf.DUMMYFUNCTION("""COMPUTED_VALUE"""),"Отгружен")</f>
        <v>Отгружен</v>
      </c>
      <c r="O206" s="537"/>
      <c r="P206" s="338" t="str">
        <f>IFERROR(__xludf.DUMMYFUNCTION("""COMPUTED_VALUE"""),"очень внимательно. постарайтесь не сделать пересорт")</f>
        <v>очень внимательно. постарайтесь не сделать пересорт</v>
      </c>
      <c r="Q206" s="338" t="str">
        <f>IFERROR(__xludf.DUMMYFUNCTION("""COMPUTED_VALUE"""),"СДЭК сама оформлю")</f>
        <v>СДЭК сама оформлю</v>
      </c>
      <c r="R206" s="338"/>
      <c r="S206" s="338"/>
      <c r="T206" s="338"/>
      <c r="U206" s="338"/>
      <c r="V206" s="338"/>
      <c r="W206" s="338"/>
      <c r="X206" s="338"/>
      <c r="Y206" s="338"/>
      <c r="Z206" s="338"/>
    </row>
    <row r="207" ht="22.5" customHeight="1">
      <c r="A207" s="528" t="str">
        <f>IFERROR(__xludf.DUMMYFUNCTION("""COMPUTED_VALUE"""),"Кимберли Кларк")</f>
        <v>Кимберли Кларк</v>
      </c>
      <c r="B207" s="528"/>
      <c r="C207" s="528" t="str">
        <f>IFERROR(__xludf.DUMMYFUNCTION("""COMPUTED_VALUE"""),"61284574 УК ЧЗ Накл/пакет S3 Mega 78x4 Мал")</f>
        <v>61284574 УК ЧЗ Накл/пакет S3 Mega 78x4 Мал</v>
      </c>
      <c r="D207" s="528">
        <f>IFERROR(__xludf.DUMMYFUNCTION("""COMPUTED_VALUE"""),2134.0)</f>
        <v>2134</v>
      </c>
      <c r="E207" s="528" t="str">
        <f>IFERROR(__xludf.DUMMYFUNCTION("""COMPUTED_VALUE"""),"Римма Лукина")</f>
        <v>Римма Лукина</v>
      </c>
      <c r="F207" s="535" t="str">
        <f>IFERROR(__xludf.DUMMYFUNCTION("""COMPUTED_VALUE"""),"Повтор")</f>
        <v>Повтор</v>
      </c>
      <c r="G207" s="536" t="str">
        <f>IFERROR(__xludf.DUMMYFUNCTION("""COMPUTED_VALUE"""),"55*55")</f>
        <v>55*55</v>
      </c>
      <c r="H207" s="338" t="str">
        <f>IFERROR(__xludf.DUMMYFUNCTION("""COMPUTED_VALUE"""),"Флексопечать")</f>
        <v>Флексопечать</v>
      </c>
      <c r="I207" s="338" t="str">
        <f>IFERROR(__xludf.DUMMYFUNCTION("""COMPUTED_VALUE"""),"G-160")</f>
        <v>G-160</v>
      </c>
      <c r="J207" s="536" t="str">
        <f>IFERROR(__xludf.DUMMYFUNCTION("""COMPUTED_VALUE"""),"10 000")</f>
        <v>10 000</v>
      </c>
      <c r="K207" s="537">
        <f>IFERROR(__xludf.DUMMYFUNCTION("""COMPUTED_VALUE"""),46141.0)</f>
        <v>46141</v>
      </c>
      <c r="L207" s="537"/>
      <c r="M207" s="338" t="str">
        <f>IFERROR(__xludf.DUMMYFUNCTION("""COMPUTED_VALUE"""),"Бумага полуглянец акрил")</f>
        <v>Бумага полуглянец акрил</v>
      </c>
      <c r="N207" s="338" t="str">
        <f>IFERROR(__xludf.DUMMYFUNCTION("""COMPUTED_VALUE"""),"Отгружен")</f>
        <v>Отгружен</v>
      </c>
      <c r="O207" s="537"/>
      <c r="P207" s="338" t="str">
        <f>IFERROR(__xludf.DUMMYFUNCTION("""COMPUTED_VALUE"""),"очень внимательно. постарайтесь не сделать пересорт")</f>
        <v>очень внимательно. постарайтесь не сделать пересорт</v>
      </c>
      <c r="Q207" s="338" t="str">
        <f>IFERROR(__xludf.DUMMYFUNCTION("""COMPUTED_VALUE"""),"СДЭК сама оформлю")</f>
        <v>СДЭК сама оформлю</v>
      </c>
      <c r="R207" s="338"/>
      <c r="S207" s="338"/>
      <c r="T207" s="338"/>
      <c r="U207" s="338"/>
      <c r="V207" s="338"/>
      <c r="W207" s="338"/>
      <c r="X207" s="338"/>
      <c r="Y207" s="338"/>
      <c r="Z207" s="338"/>
    </row>
    <row r="208" ht="22.5" customHeight="1">
      <c r="A208" s="528" t="str">
        <f>IFERROR(__xludf.DUMMYFUNCTION("""COMPUTED_VALUE"""),"Кимберли Кларк")</f>
        <v>Кимберли Кларк</v>
      </c>
      <c r="B208" s="528"/>
      <c r="C208" s="528" t="str">
        <f>IFERROR(__xludf.DUMMYFUNCTION("""COMPUTED_VALUE"""),"61284575 УК ЧЗ Накл/пакет S4 Mega 66х4 Мал")</f>
        <v>61284575 УК ЧЗ Накл/пакет S4 Mega 66х4 Мал</v>
      </c>
      <c r="D208" s="528">
        <f>IFERROR(__xludf.DUMMYFUNCTION("""COMPUTED_VALUE"""),2135.0)</f>
        <v>2135</v>
      </c>
      <c r="E208" s="528" t="str">
        <f>IFERROR(__xludf.DUMMYFUNCTION("""COMPUTED_VALUE"""),"Римма Лукина")</f>
        <v>Римма Лукина</v>
      </c>
      <c r="F208" s="535" t="str">
        <f>IFERROR(__xludf.DUMMYFUNCTION("""COMPUTED_VALUE"""),"Повтор")</f>
        <v>Повтор</v>
      </c>
      <c r="G208" s="536" t="str">
        <f>IFERROR(__xludf.DUMMYFUNCTION("""COMPUTED_VALUE"""),"55*55")</f>
        <v>55*55</v>
      </c>
      <c r="H208" s="338" t="str">
        <f>IFERROR(__xludf.DUMMYFUNCTION("""COMPUTED_VALUE"""),"Флексопечать")</f>
        <v>Флексопечать</v>
      </c>
      <c r="I208" s="338" t="str">
        <f>IFERROR(__xludf.DUMMYFUNCTION("""COMPUTED_VALUE"""),"G-160")</f>
        <v>G-160</v>
      </c>
      <c r="J208" s="536" t="str">
        <f>IFERROR(__xludf.DUMMYFUNCTION("""COMPUTED_VALUE"""),"20 000")</f>
        <v>20 000</v>
      </c>
      <c r="K208" s="537">
        <f>IFERROR(__xludf.DUMMYFUNCTION("""COMPUTED_VALUE"""),46141.0)</f>
        <v>46141</v>
      </c>
      <c r="L208" s="537"/>
      <c r="M208" s="338" t="str">
        <f>IFERROR(__xludf.DUMMYFUNCTION("""COMPUTED_VALUE"""),"Бумага полуглянец акрил")</f>
        <v>Бумага полуглянец акрил</v>
      </c>
      <c r="N208" s="338" t="str">
        <f>IFERROR(__xludf.DUMMYFUNCTION("""COMPUTED_VALUE"""),"Отгружен")</f>
        <v>Отгружен</v>
      </c>
      <c r="O208" s="537"/>
      <c r="P208" s="338" t="str">
        <f>IFERROR(__xludf.DUMMYFUNCTION("""COMPUTED_VALUE"""),"очень внимательно. постарайтесь не сделать пересорт")</f>
        <v>очень внимательно. постарайтесь не сделать пересорт</v>
      </c>
      <c r="Q208" s="338" t="str">
        <f>IFERROR(__xludf.DUMMYFUNCTION("""COMPUTED_VALUE"""),"СДЭК сама оформлю")</f>
        <v>СДЭК сама оформлю</v>
      </c>
      <c r="R208" s="338"/>
      <c r="S208" s="338"/>
      <c r="T208" s="338"/>
      <c r="U208" s="338"/>
      <c r="V208" s="338"/>
      <c r="W208" s="338"/>
      <c r="X208" s="338"/>
      <c r="Y208" s="338"/>
      <c r="Z208" s="338"/>
    </row>
    <row r="209" ht="22.5" customHeight="1">
      <c r="A209" s="528" t="str">
        <f>IFERROR(__xludf.DUMMYFUNCTION("""COMPUTED_VALUE"""),"Кимберли Кларк")</f>
        <v>Кимберли Кларк</v>
      </c>
      <c r="B209" s="528"/>
      <c r="C209" s="528" t="str">
        <f>IFERROR(__xludf.DUMMYFUNCTION("""COMPUTED_VALUE"""),"61284576 УК ЧЗ Накл/пакет S5 Mega 56x4 Мал")</f>
        <v>61284576 УК ЧЗ Накл/пакет S5 Mega 56x4 Мал</v>
      </c>
      <c r="D209" s="528">
        <f>IFERROR(__xludf.DUMMYFUNCTION("""COMPUTED_VALUE"""),2136.0)</f>
        <v>2136</v>
      </c>
      <c r="E209" s="528" t="str">
        <f>IFERROR(__xludf.DUMMYFUNCTION("""COMPUTED_VALUE"""),"Римма Лукина")</f>
        <v>Римма Лукина</v>
      </c>
      <c r="F209" s="535" t="str">
        <f>IFERROR(__xludf.DUMMYFUNCTION("""COMPUTED_VALUE"""),"Повтор")</f>
        <v>Повтор</v>
      </c>
      <c r="G209" s="536" t="str">
        <f>IFERROR(__xludf.DUMMYFUNCTION("""COMPUTED_VALUE"""),"55*55")</f>
        <v>55*55</v>
      </c>
      <c r="H209" s="338" t="str">
        <f>IFERROR(__xludf.DUMMYFUNCTION("""COMPUTED_VALUE"""),"Флексопечать")</f>
        <v>Флексопечать</v>
      </c>
      <c r="I209" s="338" t="str">
        <f>IFERROR(__xludf.DUMMYFUNCTION("""COMPUTED_VALUE"""),"G-160")</f>
        <v>G-160</v>
      </c>
      <c r="J209" s="536" t="str">
        <f>IFERROR(__xludf.DUMMYFUNCTION("""COMPUTED_VALUE"""),"30 000")</f>
        <v>30 000</v>
      </c>
      <c r="K209" s="537">
        <f>IFERROR(__xludf.DUMMYFUNCTION("""COMPUTED_VALUE"""),46141.0)</f>
        <v>46141</v>
      </c>
      <c r="L209" s="537"/>
      <c r="M209" s="338" t="str">
        <f>IFERROR(__xludf.DUMMYFUNCTION("""COMPUTED_VALUE"""),"Бумага полуглянец акрил")</f>
        <v>Бумага полуглянец акрил</v>
      </c>
      <c r="N209" s="338" t="str">
        <f>IFERROR(__xludf.DUMMYFUNCTION("""COMPUTED_VALUE"""),"Отгружен")</f>
        <v>Отгружен</v>
      </c>
      <c r="O209" s="537"/>
      <c r="P209" s="338" t="str">
        <f>IFERROR(__xludf.DUMMYFUNCTION("""COMPUTED_VALUE"""),"очень внимательно. постарайтесь не сделать пересорт")</f>
        <v>очень внимательно. постарайтесь не сделать пересорт</v>
      </c>
      <c r="Q209" s="338" t="str">
        <f>IFERROR(__xludf.DUMMYFUNCTION("""COMPUTED_VALUE"""),"СДЭК сама оформлю")</f>
        <v>СДЭК сама оформлю</v>
      </c>
      <c r="R209" s="338"/>
      <c r="S209" s="338"/>
      <c r="T209" s="338"/>
      <c r="U209" s="338"/>
      <c r="V209" s="338"/>
      <c r="W209" s="338"/>
      <c r="X209" s="338"/>
      <c r="Y209" s="338"/>
      <c r="Z209" s="338"/>
    </row>
    <row r="210" ht="22.5" customHeight="1">
      <c r="A210" s="528" t="str">
        <f>IFERROR(__xludf.DUMMYFUNCTION("""COMPUTED_VALUE"""),"Кимберли Кларк")</f>
        <v>Кимберли Кларк</v>
      </c>
      <c r="B210" s="528"/>
      <c r="C210" s="528" t="str">
        <f>IFERROR(__xludf.DUMMYFUNCTION("""COMPUTED_VALUE"""),"61284577 УК ЧЗ Накл/пакет S3 Giga 94x4 Мал")</f>
        <v>61284577 УК ЧЗ Накл/пакет S3 Giga 94x4 Мал</v>
      </c>
      <c r="D210" s="528">
        <f>IFERROR(__xludf.DUMMYFUNCTION("""COMPUTED_VALUE"""),2137.0)</f>
        <v>2137</v>
      </c>
      <c r="E210" s="528" t="str">
        <f>IFERROR(__xludf.DUMMYFUNCTION("""COMPUTED_VALUE"""),"Римма Лукина")</f>
        <v>Римма Лукина</v>
      </c>
      <c r="F210" s="535" t="str">
        <f>IFERROR(__xludf.DUMMYFUNCTION("""COMPUTED_VALUE"""),"Повтор")</f>
        <v>Повтор</v>
      </c>
      <c r="G210" s="536" t="str">
        <f>IFERROR(__xludf.DUMMYFUNCTION("""COMPUTED_VALUE"""),"55*55")</f>
        <v>55*55</v>
      </c>
      <c r="H210" s="338" t="str">
        <f>IFERROR(__xludf.DUMMYFUNCTION("""COMPUTED_VALUE"""),"Флексопечать")</f>
        <v>Флексопечать</v>
      </c>
      <c r="I210" s="338" t="str">
        <f>IFERROR(__xludf.DUMMYFUNCTION("""COMPUTED_VALUE"""),"G-160")</f>
        <v>G-160</v>
      </c>
      <c r="J210" s="536" t="str">
        <f>IFERROR(__xludf.DUMMYFUNCTION("""COMPUTED_VALUE"""),"15 000")</f>
        <v>15 000</v>
      </c>
      <c r="K210" s="537">
        <f>IFERROR(__xludf.DUMMYFUNCTION("""COMPUTED_VALUE"""),46141.0)</f>
        <v>46141</v>
      </c>
      <c r="L210" s="537"/>
      <c r="M210" s="338" t="str">
        <f>IFERROR(__xludf.DUMMYFUNCTION("""COMPUTED_VALUE"""),"Бумага полуглянец акрил")</f>
        <v>Бумага полуглянец акрил</v>
      </c>
      <c r="N210" s="338" t="str">
        <f>IFERROR(__xludf.DUMMYFUNCTION("""COMPUTED_VALUE"""),"Отгружен")</f>
        <v>Отгружен</v>
      </c>
      <c r="O210" s="537"/>
      <c r="P210" s="338" t="str">
        <f>IFERROR(__xludf.DUMMYFUNCTION("""COMPUTED_VALUE"""),"очень внимательно. постарайтесь не сделать пересорт")</f>
        <v>очень внимательно. постарайтесь не сделать пересорт</v>
      </c>
      <c r="Q210" s="338" t="str">
        <f>IFERROR(__xludf.DUMMYFUNCTION("""COMPUTED_VALUE"""),"СДЭК сама оформлю")</f>
        <v>СДЭК сама оформлю</v>
      </c>
      <c r="R210" s="338"/>
      <c r="S210" s="338"/>
      <c r="T210" s="338"/>
      <c r="U210" s="338"/>
      <c r="V210" s="338"/>
      <c r="W210" s="338"/>
      <c r="X210" s="338"/>
      <c r="Y210" s="338"/>
      <c r="Z210" s="338"/>
    </row>
    <row r="211" ht="22.5" customHeight="1">
      <c r="A211" s="528" t="str">
        <f>IFERROR(__xludf.DUMMYFUNCTION("""COMPUTED_VALUE"""),"Кимберли Кларк")</f>
        <v>Кимберли Кларк</v>
      </c>
      <c r="B211" s="528"/>
      <c r="C211" s="528" t="str">
        <f>IFERROR(__xludf.DUMMYFUNCTION("""COMPUTED_VALUE"""),"61284578 УК ЧЗ Накл/пакет S3 Giga 94x4 Дев")</f>
        <v>61284578 УК ЧЗ Накл/пакет S3 Giga 94x4 Дев</v>
      </c>
      <c r="D211" s="528">
        <f>IFERROR(__xludf.DUMMYFUNCTION("""COMPUTED_VALUE"""),2138.0)</f>
        <v>2138</v>
      </c>
      <c r="E211" s="528" t="str">
        <f>IFERROR(__xludf.DUMMYFUNCTION("""COMPUTED_VALUE"""),"Римма Лукина")</f>
        <v>Римма Лукина</v>
      </c>
      <c r="F211" s="535" t="str">
        <f>IFERROR(__xludf.DUMMYFUNCTION("""COMPUTED_VALUE"""),"Повтор")</f>
        <v>Повтор</v>
      </c>
      <c r="G211" s="536" t="str">
        <f>IFERROR(__xludf.DUMMYFUNCTION("""COMPUTED_VALUE"""),"55*55")</f>
        <v>55*55</v>
      </c>
      <c r="H211" s="338" t="str">
        <f>IFERROR(__xludf.DUMMYFUNCTION("""COMPUTED_VALUE"""),"Флексопечать")</f>
        <v>Флексопечать</v>
      </c>
      <c r="I211" s="338" t="str">
        <f>IFERROR(__xludf.DUMMYFUNCTION("""COMPUTED_VALUE"""),"G-160")</f>
        <v>G-160</v>
      </c>
      <c r="J211" s="536" t="str">
        <f>IFERROR(__xludf.DUMMYFUNCTION("""COMPUTED_VALUE"""),"15 000")</f>
        <v>15 000</v>
      </c>
      <c r="K211" s="537">
        <f>IFERROR(__xludf.DUMMYFUNCTION("""COMPUTED_VALUE"""),46141.0)</f>
        <v>46141</v>
      </c>
      <c r="L211" s="537"/>
      <c r="M211" s="338" t="str">
        <f>IFERROR(__xludf.DUMMYFUNCTION("""COMPUTED_VALUE"""),"Бумага полуглянец акрил")</f>
        <v>Бумага полуглянец акрил</v>
      </c>
      <c r="N211" s="338" t="str">
        <f>IFERROR(__xludf.DUMMYFUNCTION("""COMPUTED_VALUE"""),"Отгружен")</f>
        <v>Отгружен</v>
      </c>
      <c r="O211" s="537"/>
      <c r="P211" s="338" t="str">
        <f>IFERROR(__xludf.DUMMYFUNCTION("""COMPUTED_VALUE"""),"очень внимательно. постарайтесь не сделать пересорт")</f>
        <v>очень внимательно. постарайтесь не сделать пересорт</v>
      </c>
      <c r="Q211" s="338" t="str">
        <f>IFERROR(__xludf.DUMMYFUNCTION("""COMPUTED_VALUE"""),"СДЭК сама оформлю")</f>
        <v>СДЭК сама оформлю</v>
      </c>
      <c r="R211" s="338"/>
      <c r="S211" s="338"/>
      <c r="T211" s="338"/>
      <c r="U211" s="338"/>
      <c r="V211" s="338"/>
      <c r="W211" s="338"/>
      <c r="X211" s="338"/>
      <c r="Y211" s="338"/>
      <c r="Z211" s="338"/>
    </row>
    <row r="212" ht="22.5" customHeight="1">
      <c r="A212" s="528" t="str">
        <f>IFERROR(__xludf.DUMMYFUNCTION("""COMPUTED_VALUE"""),"Кимберли Кларк")</f>
        <v>Кимберли Кларк</v>
      </c>
      <c r="B212" s="528"/>
      <c r="C212" s="528" t="str">
        <f>IFERROR(__xludf.DUMMYFUNCTION("""COMPUTED_VALUE"""),"61284580 УК ЧЗ Накл/пакет S4 Giga 80x4 Дев")</f>
        <v>61284580 УК ЧЗ Накл/пакет S4 Giga 80x4 Дев</v>
      </c>
      <c r="D212" s="528">
        <f>IFERROR(__xludf.DUMMYFUNCTION("""COMPUTED_VALUE"""),2139.0)</f>
        <v>2139</v>
      </c>
      <c r="E212" s="528" t="str">
        <f>IFERROR(__xludf.DUMMYFUNCTION("""COMPUTED_VALUE"""),"Римма Лукина")</f>
        <v>Римма Лукина</v>
      </c>
      <c r="F212" s="535" t="str">
        <f>IFERROR(__xludf.DUMMYFUNCTION("""COMPUTED_VALUE"""),"Повтор")</f>
        <v>Повтор</v>
      </c>
      <c r="G212" s="536" t="str">
        <f>IFERROR(__xludf.DUMMYFUNCTION("""COMPUTED_VALUE"""),"55*55")</f>
        <v>55*55</v>
      </c>
      <c r="H212" s="338" t="str">
        <f>IFERROR(__xludf.DUMMYFUNCTION("""COMPUTED_VALUE"""),"Флексопечать")</f>
        <v>Флексопечать</v>
      </c>
      <c r="I212" s="338" t="str">
        <f>IFERROR(__xludf.DUMMYFUNCTION("""COMPUTED_VALUE"""),"G-160")</f>
        <v>G-160</v>
      </c>
      <c r="J212" s="536">
        <f>IFERROR(__xludf.DUMMYFUNCTION("""COMPUTED_VALUE"""),15000.0)</f>
        <v>15000</v>
      </c>
      <c r="K212" s="537">
        <f>IFERROR(__xludf.DUMMYFUNCTION("""COMPUTED_VALUE"""),46141.0)</f>
        <v>46141</v>
      </c>
      <c r="L212" s="537"/>
      <c r="M212" s="338" t="str">
        <f>IFERROR(__xludf.DUMMYFUNCTION("""COMPUTED_VALUE"""),"Бумага полуглянец акрил")</f>
        <v>Бумага полуглянец акрил</v>
      </c>
      <c r="N212" s="338" t="str">
        <f>IFERROR(__xludf.DUMMYFUNCTION("""COMPUTED_VALUE"""),"Отгружен")</f>
        <v>Отгружен</v>
      </c>
      <c r="O212" s="537"/>
      <c r="P212" s="338" t="str">
        <f>IFERROR(__xludf.DUMMYFUNCTION("""COMPUTED_VALUE"""),"очень внимательно. постарайтесь не сделать пересорт")</f>
        <v>очень внимательно. постарайтесь не сделать пересорт</v>
      </c>
      <c r="Q212" s="338" t="str">
        <f>IFERROR(__xludf.DUMMYFUNCTION("""COMPUTED_VALUE"""),"СДЭК сама оформлю")</f>
        <v>СДЭК сама оформлю</v>
      </c>
      <c r="R212" s="338"/>
      <c r="S212" s="338"/>
      <c r="T212" s="338"/>
      <c r="U212" s="338"/>
      <c r="V212" s="338"/>
      <c r="W212" s="338"/>
      <c r="X212" s="338"/>
      <c r="Y212" s="338"/>
      <c r="Z212" s="338"/>
    </row>
    <row r="213" ht="22.5" customHeight="1">
      <c r="A213" s="528" t="str">
        <f>IFERROR(__xludf.DUMMYFUNCTION("""COMPUTED_VALUE"""),"Кимберли Кларк")</f>
        <v>Кимберли Кларк</v>
      </c>
      <c r="B213" s="528"/>
      <c r="C213" s="528" t="str">
        <f>IFERROR(__xludf.DUMMYFUNCTION("""COMPUTED_VALUE"""),"61284581 УК ЧЗ Накл/пакет S5 Giga 64x2 Мал")</f>
        <v>61284581 УК ЧЗ Накл/пакет S5 Giga 64x2 Мал</v>
      </c>
      <c r="D213" s="528">
        <f>IFERROR(__xludf.DUMMYFUNCTION("""COMPUTED_VALUE"""),2140.0)</f>
        <v>2140</v>
      </c>
      <c r="E213" s="528" t="str">
        <f>IFERROR(__xludf.DUMMYFUNCTION("""COMPUTED_VALUE"""),"Римма Лукина")</f>
        <v>Римма Лукина</v>
      </c>
      <c r="F213" s="535" t="str">
        <f>IFERROR(__xludf.DUMMYFUNCTION("""COMPUTED_VALUE"""),"Повтор")</f>
        <v>Повтор</v>
      </c>
      <c r="G213" s="536" t="str">
        <f>IFERROR(__xludf.DUMMYFUNCTION("""COMPUTED_VALUE"""),"55*55")</f>
        <v>55*55</v>
      </c>
      <c r="H213" s="338" t="str">
        <f>IFERROR(__xludf.DUMMYFUNCTION("""COMPUTED_VALUE"""),"Флексопечать")</f>
        <v>Флексопечать</v>
      </c>
      <c r="I213" s="338" t="str">
        <f>IFERROR(__xludf.DUMMYFUNCTION("""COMPUTED_VALUE"""),"G-160")</f>
        <v>G-160</v>
      </c>
      <c r="J213" s="536">
        <f>IFERROR(__xludf.DUMMYFUNCTION("""COMPUTED_VALUE"""),45000.0)</f>
        <v>45000</v>
      </c>
      <c r="K213" s="537">
        <f>IFERROR(__xludf.DUMMYFUNCTION("""COMPUTED_VALUE"""),46141.0)</f>
        <v>46141</v>
      </c>
      <c r="L213" s="537"/>
      <c r="M213" s="338" t="str">
        <f>IFERROR(__xludf.DUMMYFUNCTION("""COMPUTED_VALUE"""),"Бумага полуглянец акрил")</f>
        <v>Бумага полуглянец акрил</v>
      </c>
      <c r="N213" s="338" t="str">
        <f>IFERROR(__xludf.DUMMYFUNCTION("""COMPUTED_VALUE"""),"Отгружен")</f>
        <v>Отгружен</v>
      </c>
      <c r="O213" s="537"/>
      <c r="P213" s="338" t="str">
        <f>IFERROR(__xludf.DUMMYFUNCTION("""COMPUTED_VALUE"""),"очень внимательно. постарайтесь не сделать пересорт")</f>
        <v>очень внимательно. постарайтесь не сделать пересорт</v>
      </c>
      <c r="Q213" s="338" t="str">
        <f>IFERROR(__xludf.DUMMYFUNCTION("""COMPUTED_VALUE"""),"СДЭК сама оформлю")</f>
        <v>СДЭК сама оформлю</v>
      </c>
      <c r="R213" s="338"/>
      <c r="S213" s="338"/>
      <c r="T213" s="338"/>
      <c r="U213" s="338"/>
      <c r="V213" s="338"/>
      <c r="W213" s="338"/>
      <c r="X213" s="338"/>
      <c r="Y213" s="338"/>
      <c r="Z213" s="338"/>
    </row>
    <row r="214" ht="22.5" customHeight="1">
      <c r="A214" s="528" t="str">
        <f>IFERROR(__xludf.DUMMYFUNCTION("""COMPUTED_VALUE"""),"Кимберли Кларк")</f>
        <v>Кимберли Кларк</v>
      </c>
      <c r="B214" s="528"/>
      <c r="C214" s="528" t="str">
        <f>IFERROR(__xludf.DUMMYFUNCTION("""COMPUTED_VALUE"""),"61284779 НБ XPAD Наклейка/пакет S2 Giga 100х2")</f>
        <v>61284779 НБ XPAD Наклейка/пакет S2 Giga 100х2</v>
      </c>
      <c r="D214" s="528">
        <f>IFERROR(__xludf.DUMMYFUNCTION("""COMPUTED_VALUE"""),2141.0)</f>
        <v>2141</v>
      </c>
      <c r="E214" s="528" t="str">
        <f>IFERROR(__xludf.DUMMYFUNCTION("""COMPUTED_VALUE"""),"Римма Лукина")</f>
        <v>Римма Лукина</v>
      </c>
      <c r="F214" s="535" t="str">
        <f>IFERROR(__xludf.DUMMYFUNCTION("""COMPUTED_VALUE"""),"Повтор")</f>
        <v>Повтор</v>
      </c>
      <c r="G214" s="536" t="str">
        <f>IFERROR(__xludf.DUMMYFUNCTION("""COMPUTED_VALUE"""),"55*55")</f>
        <v>55*55</v>
      </c>
      <c r="H214" s="338" t="str">
        <f>IFERROR(__xludf.DUMMYFUNCTION("""COMPUTED_VALUE"""),"Флексопечать")</f>
        <v>Флексопечать</v>
      </c>
      <c r="I214" s="338" t="str">
        <f>IFERROR(__xludf.DUMMYFUNCTION("""COMPUTED_VALUE"""),"G-160")</f>
        <v>G-160</v>
      </c>
      <c r="J214" s="536" t="str">
        <f>IFERROR(__xludf.DUMMYFUNCTION("""COMPUTED_VALUE"""),"15 000")</f>
        <v>15 000</v>
      </c>
      <c r="K214" s="537">
        <f>IFERROR(__xludf.DUMMYFUNCTION("""COMPUTED_VALUE"""),46141.0)</f>
        <v>46141</v>
      </c>
      <c r="L214" s="537"/>
      <c r="M214" s="338" t="str">
        <f>IFERROR(__xludf.DUMMYFUNCTION("""COMPUTED_VALUE"""),"Бумага полуглянец акрил")</f>
        <v>Бумага полуглянец акрил</v>
      </c>
      <c r="N214" s="338" t="str">
        <f>IFERROR(__xludf.DUMMYFUNCTION("""COMPUTED_VALUE"""),"Отгружен")</f>
        <v>Отгружен</v>
      </c>
      <c r="O214" s="537"/>
      <c r="P214" s="338" t="str">
        <f>IFERROR(__xludf.DUMMYFUNCTION("""COMPUTED_VALUE"""),"очень внимательно. постарайтесь не сделать пересорт")</f>
        <v>очень внимательно. постарайтесь не сделать пересорт</v>
      </c>
      <c r="Q214" s="338" t="str">
        <f>IFERROR(__xludf.DUMMYFUNCTION("""COMPUTED_VALUE"""),"СДЭК сама оформлю")</f>
        <v>СДЭК сама оформлю</v>
      </c>
      <c r="R214" s="338"/>
      <c r="S214" s="338"/>
      <c r="T214" s="338"/>
      <c r="U214" s="338"/>
      <c r="V214" s="338"/>
      <c r="W214" s="338"/>
      <c r="X214" s="338"/>
      <c r="Y214" s="338"/>
      <c r="Z214" s="338"/>
    </row>
    <row r="215" ht="22.5" customHeight="1">
      <c r="A215" s="528" t="str">
        <f>IFERROR(__xludf.DUMMYFUNCTION("""COMPUTED_VALUE"""),"Кимберли Кларк")</f>
        <v>Кимберли Кларк</v>
      </c>
      <c r="B215" s="528"/>
      <c r="C215" s="528" t="str">
        <f>IFERROR(__xludf.DUMMYFUNCTION("""COMPUTED_VALUE"""),"61284794 НБ XPAD Наклейка/пакет S1 Giga 100х2")</f>
        <v>61284794 НБ XPAD Наклейка/пакет S1 Giga 100х2</v>
      </c>
      <c r="D215" s="528">
        <f>IFERROR(__xludf.DUMMYFUNCTION("""COMPUTED_VALUE"""),2142.0)</f>
        <v>2142</v>
      </c>
      <c r="E215" s="528" t="str">
        <f>IFERROR(__xludf.DUMMYFUNCTION("""COMPUTED_VALUE"""),"Римма Лукина")</f>
        <v>Римма Лукина</v>
      </c>
      <c r="F215" s="535" t="str">
        <f>IFERROR(__xludf.DUMMYFUNCTION("""COMPUTED_VALUE"""),"Повтор")</f>
        <v>Повтор</v>
      </c>
      <c r="G215" s="536" t="str">
        <f>IFERROR(__xludf.DUMMYFUNCTION("""COMPUTED_VALUE"""),"55*55")</f>
        <v>55*55</v>
      </c>
      <c r="H215" s="338" t="str">
        <f>IFERROR(__xludf.DUMMYFUNCTION("""COMPUTED_VALUE"""),"Флексопечать")</f>
        <v>Флексопечать</v>
      </c>
      <c r="I215" s="338" t="str">
        <f>IFERROR(__xludf.DUMMYFUNCTION("""COMPUTED_VALUE"""),"G-160")</f>
        <v>G-160</v>
      </c>
      <c r="J215" s="536" t="str">
        <f>IFERROR(__xludf.DUMMYFUNCTION("""COMPUTED_VALUE"""),"10 000")</f>
        <v>10 000</v>
      </c>
      <c r="K215" s="537">
        <f>IFERROR(__xludf.DUMMYFUNCTION("""COMPUTED_VALUE"""),46141.0)</f>
        <v>46141</v>
      </c>
      <c r="L215" s="537"/>
      <c r="M215" s="338" t="str">
        <f>IFERROR(__xludf.DUMMYFUNCTION("""COMPUTED_VALUE"""),"Бумага полуглянец акрил")</f>
        <v>Бумага полуглянец акрил</v>
      </c>
      <c r="N215" s="338" t="str">
        <f>IFERROR(__xludf.DUMMYFUNCTION("""COMPUTED_VALUE"""),"Отгружен")</f>
        <v>Отгружен</v>
      </c>
      <c r="O215" s="537"/>
      <c r="P215" s="338" t="str">
        <f>IFERROR(__xludf.DUMMYFUNCTION("""COMPUTED_VALUE"""),"очень внимательно. постарайтесь не сделать пересорт")</f>
        <v>очень внимательно. постарайтесь не сделать пересорт</v>
      </c>
      <c r="Q215" s="338" t="str">
        <f>IFERROR(__xludf.DUMMYFUNCTION("""COMPUTED_VALUE"""),"СДЭК сама оформлю")</f>
        <v>СДЭК сама оформлю</v>
      </c>
      <c r="R215" s="338"/>
      <c r="S215" s="338"/>
      <c r="T215" s="338"/>
      <c r="U215" s="338"/>
      <c r="V215" s="338"/>
      <c r="W215" s="338"/>
      <c r="X215" s="338"/>
      <c r="Y215" s="338"/>
      <c r="Z215" s="338"/>
    </row>
    <row r="216" ht="22.5" customHeight="1">
      <c r="A216" s="528" t="str">
        <f>IFERROR(__xludf.DUMMYFUNCTION("""COMPUTED_VALUE"""),"Кимберли Кларк")</f>
        <v>Кимберли Кларк</v>
      </c>
      <c r="B216" s="528"/>
      <c r="C216" s="528" t="str">
        <f>IFERROR(__xludf.DUMMYFUNCTION("""COMPUTED_VALUE"""),"61284563 УК ЧЗ Накл/пакет S4 Jumbo 50x4 UNI")</f>
        <v>61284563 УК ЧЗ Накл/пакет S4 Jumbo 50x4 UNI</v>
      </c>
      <c r="D216" s="528">
        <f>IFERROR(__xludf.DUMMYFUNCTION("""COMPUTED_VALUE"""),2143.0)</f>
        <v>2143</v>
      </c>
      <c r="E216" s="528" t="str">
        <f>IFERROR(__xludf.DUMMYFUNCTION("""COMPUTED_VALUE"""),"Римма Лукина")</f>
        <v>Римма Лукина</v>
      </c>
      <c r="F216" s="535" t="str">
        <f>IFERROR(__xludf.DUMMYFUNCTION("""COMPUTED_VALUE"""),"Новая")</f>
        <v>Новая</v>
      </c>
      <c r="G216" s="536" t="str">
        <f>IFERROR(__xludf.DUMMYFUNCTION("""COMPUTED_VALUE"""),"55*55")</f>
        <v>55*55</v>
      </c>
      <c r="H216" s="338" t="str">
        <f>IFERROR(__xludf.DUMMYFUNCTION("""COMPUTED_VALUE"""),"Флексопечать")</f>
        <v>Флексопечать</v>
      </c>
      <c r="I216" s="338" t="str">
        <f>IFERROR(__xludf.DUMMYFUNCTION("""COMPUTED_VALUE"""),"G-160")</f>
        <v>G-160</v>
      </c>
      <c r="J216" s="536">
        <f>IFERROR(__xludf.DUMMYFUNCTION("""COMPUTED_VALUE"""),10000.0)</f>
        <v>10000</v>
      </c>
      <c r="K216" s="537">
        <f>IFERROR(__xludf.DUMMYFUNCTION("""COMPUTED_VALUE"""),46142.0)</f>
        <v>46142</v>
      </c>
      <c r="L216" s="537"/>
      <c r="M216" s="338" t="str">
        <f>IFERROR(__xludf.DUMMYFUNCTION("""COMPUTED_VALUE"""),"Бумага полуглянец акрил")</f>
        <v>Бумага полуглянец акрил</v>
      </c>
      <c r="N216" s="338" t="str">
        <f>IFERROR(__xludf.DUMMYFUNCTION("""COMPUTED_VALUE"""),"Отгружен")</f>
        <v>Отгружен</v>
      </c>
      <c r="O216" s="537"/>
      <c r="P216" s="338" t="str">
        <f>IFERROR(__xludf.DUMMYFUNCTION("""COMPUTED_VALUE"""),"очень внимательно. постарайтесь не сделать пересорт")</f>
        <v>очень внимательно. постарайтесь не сделать пересорт</v>
      </c>
      <c r="Q216" s="338" t="str">
        <f>IFERROR(__xludf.DUMMYFUNCTION("""COMPUTED_VALUE"""),"СДЭК сама оформлю")</f>
        <v>СДЭК сама оформлю</v>
      </c>
      <c r="R216" s="338"/>
      <c r="S216" s="338"/>
      <c r="T216" s="338"/>
      <c r="U216" s="338"/>
      <c r="V216" s="338"/>
      <c r="W216" s="338"/>
      <c r="X216" s="338"/>
      <c r="Y216" s="338"/>
      <c r="Z216" s="338"/>
    </row>
    <row r="217" ht="22.5" customHeight="1">
      <c r="A217" s="528" t="str">
        <f>IFERROR(__xludf.DUMMYFUNCTION("""COMPUTED_VALUE"""),"Кимберли Кларк")</f>
        <v>Кимберли Кларк</v>
      </c>
      <c r="B217" s="528"/>
      <c r="C217" s="528" t="str">
        <f>IFERROR(__xludf.DUMMYFUNCTION("""COMPUTED_VALUE"""),"61284579 УК ЧЗ Накл/пакет S4 Giga 80x4 Мал тираж 10000шт")</f>
        <v>61284579 УК ЧЗ Накл/пакет S4 Giga 80x4 Мал тираж 10000шт</v>
      </c>
      <c r="D217" s="528">
        <f>IFERROR(__xludf.DUMMYFUNCTION("""COMPUTED_VALUE"""),2144.0)</f>
        <v>2144</v>
      </c>
      <c r="E217" s="528" t="str">
        <f>IFERROR(__xludf.DUMMYFUNCTION("""COMPUTED_VALUE"""),"Римма Лукина")</f>
        <v>Римма Лукина</v>
      </c>
      <c r="F217" s="535" t="str">
        <f>IFERROR(__xludf.DUMMYFUNCTION("""COMPUTED_VALUE"""),"Повтор")</f>
        <v>Повтор</v>
      </c>
      <c r="G217" s="536" t="str">
        <f>IFERROR(__xludf.DUMMYFUNCTION("""COMPUTED_VALUE"""),"55*55")</f>
        <v>55*55</v>
      </c>
      <c r="H217" s="338" t="str">
        <f>IFERROR(__xludf.DUMMYFUNCTION("""COMPUTED_VALUE"""),"Флексопечать")</f>
        <v>Флексопечать</v>
      </c>
      <c r="I217" s="338" t="str">
        <f>IFERROR(__xludf.DUMMYFUNCTION("""COMPUTED_VALUE"""),"G-160")</f>
        <v>G-160</v>
      </c>
      <c r="J217" s="536">
        <f>IFERROR(__xludf.DUMMYFUNCTION("""COMPUTED_VALUE"""),10000.0)</f>
        <v>10000</v>
      </c>
      <c r="K217" s="537">
        <f>IFERROR(__xludf.DUMMYFUNCTION("""COMPUTED_VALUE"""),46142.0)</f>
        <v>46142</v>
      </c>
      <c r="L217" s="537"/>
      <c r="M217" s="338" t="str">
        <f>IFERROR(__xludf.DUMMYFUNCTION("""COMPUTED_VALUE"""),"Бумага полуглянец акрил")</f>
        <v>Бумага полуглянец акрил</v>
      </c>
      <c r="N217" s="338" t="str">
        <f>IFERROR(__xludf.DUMMYFUNCTION("""COMPUTED_VALUE"""),"Отгружен")</f>
        <v>Отгружен</v>
      </c>
      <c r="O217" s="537"/>
      <c r="P217" s="338" t="str">
        <f>IFERROR(__xludf.DUMMYFUNCTION("""COMPUTED_VALUE"""),"очень внимательно. постарайтесь не сделать пересорт")</f>
        <v>очень внимательно. постарайтесь не сделать пересорт</v>
      </c>
      <c r="Q217" s="338" t="str">
        <f>IFERROR(__xludf.DUMMYFUNCTION("""COMPUTED_VALUE"""),"СДЭК сама оформлю")</f>
        <v>СДЭК сама оформлю</v>
      </c>
      <c r="R217" s="338"/>
      <c r="S217" s="338"/>
      <c r="T217" s="338"/>
      <c r="U217" s="338"/>
      <c r="V217" s="338"/>
      <c r="W217" s="338"/>
      <c r="X217" s="338"/>
      <c r="Y217" s="338"/>
      <c r="Z217" s="338"/>
    </row>
    <row r="218" ht="22.5" customHeight="1">
      <c r="A218" s="528" t="str">
        <f>IFERROR(__xludf.DUMMYFUNCTION("""COMPUTED_VALUE"""),"ООО Буфетофф")</f>
        <v>ООО Буфетофф</v>
      </c>
      <c r="B218" s="528"/>
      <c r="C218" s="528" t="str">
        <f>IFERROR(__xludf.DUMMYFUNCTION("""COMPUTED_VALUE"""),"Изделие_хб_из_зелёной_гречки 60х120 ")</f>
        <v>Изделие_хб_из_зелёной_гречки 60х120 </v>
      </c>
      <c r="D218" s="528">
        <f>IFERROR(__xludf.DUMMYFUNCTION("""COMPUTED_VALUE"""),2149.0)</f>
        <v>2149</v>
      </c>
      <c r="E218" s="528" t="str">
        <f>IFERROR(__xludf.DUMMYFUNCTION("""COMPUTED_VALUE"""),"Шаповалов Дмитрий")</f>
        <v>Шаповалов Дмитрий</v>
      </c>
      <c r="F218" s="535" t="str">
        <f>IFERROR(__xludf.DUMMYFUNCTION("""COMPUTED_VALUE"""),"Новая")</f>
        <v>Новая</v>
      </c>
      <c r="G218" s="536" t="str">
        <f>IFERROR(__xludf.DUMMYFUNCTION("""COMPUTED_VALUE"""),"60х120")</f>
        <v>60х120</v>
      </c>
      <c r="H218" s="338" t="str">
        <f>IFERROR(__xludf.DUMMYFUNCTION("""COMPUTED_VALUE"""),"Флексопечать")</f>
        <v>Флексопечать</v>
      </c>
      <c r="I218" s="338" t="str">
        <f>IFERROR(__xludf.DUMMYFUNCTION("""COMPUTED_VALUE"""),"Wg-450")</f>
        <v>Wg-450</v>
      </c>
      <c r="J218" s="536" t="str">
        <f>IFERROR(__xludf.DUMMYFUNCTION("""COMPUTED_VALUE"""),"100 000")</f>
        <v>100 000</v>
      </c>
      <c r="K218" s="537">
        <f>IFERROR(__xludf.DUMMYFUNCTION("""COMPUTED_VALUE"""),46142.0)</f>
        <v>46142</v>
      </c>
      <c r="L218" s="537"/>
      <c r="M218" s="338" t="str">
        <f>IFERROR(__xludf.DUMMYFUNCTION("""COMPUTED_VALUE"""),"Бумага полуглянец каучук")</f>
        <v>Бумага полуглянец каучук</v>
      </c>
      <c r="N218" s="338" t="str">
        <f>IFERROR(__xludf.DUMMYFUNCTION("""COMPUTED_VALUE"""),"Отгружен")</f>
        <v>Отгружен</v>
      </c>
      <c r="O218" s="537"/>
      <c r="P218" s="338"/>
      <c r="Q218" s="338" t="str">
        <f>IFERROR(__xludf.DUMMYFUNCTION("""COMPUTED_VALUE"""),"ПЭК до терминала г. Тверь")</f>
        <v>ПЭК до терминала г. Тверь</v>
      </c>
      <c r="R218" s="338"/>
      <c r="S218" s="338"/>
      <c r="T218" s="338"/>
      <c r="U218" s="338"/>
      <c r="V218" s="338"/>
      <c r="W218" s="338"/>
      <c r="X218" s="338"/>
      <c r="Y218" s="338"/>
      <c r="Z218" s="338"/>
    </row>
    <row r="219" ht="22.5" customHeight="1">
      <c r="A219" s="528" t="str">
        <f>IFERROR(__xludf.DUMMYFUNCTION("""COMPUTED_VALUE"""),"Калье")</f>
        <v>Калье</v>
      </c>
      <c r="B219" s="528"/>
      <c r="C219" s="528" t="str">
        <f>IFERROR(__xludf.DUMMYFUNCTION("""COMPUTED_VALUE"""),"Линейка Re:Born Спрей V")</f>
        <v>Линейка Re:Born Спрей V</v>
      </c>
      <c r="D219" s="528">
        <f>IFERROR(__xludf.DUMMYFUNCTION("""COMPUTED_VALUE"""),2168.0)</f>
        <v>2168</v>
      </c>
      <c r="E219" s="528" t="str">
        <f>IFERROR(__xludf.DUMMYFUNCTION("""COMPUTED_VALUE"""),"Татьяна Денисова")</f>
        <v>Татьяна Денисова</v>
      </c>
      <c r="F219" s="535" t="str">
        <f>IFERROR(__xludf.DUMMYFUNCTION("""COMPUTED_VALUE"""),"Новая")</f>
        <v>Новая</v>
      </c>
      <c r="G219" s="536" t="str">
        <f>IFERROR(__xludf.DUMMYFUNCTION("""COMPUTED_VALUE"""),"125*150")</f>
        <v>125*150</v>
      </c>
      <c r="H219" s="338" t="str">
        <f>IFERROR(__xludf.DUMMYFUNCTION("""COMPUTED_VALUE"""),"Флексопечать")</f>
        <v>Флексопечать</v>
      </c>
      <c r="I219" s="338" t="str">
        <f>IFERROR(__xludf.DUMMYFUNCTION("""COMPUTED_VALUE"""),"Bg-330")</f>
        <v>Bg-330</v>
      </c>
      <c r="J219" s="536">
        <f>IFERROR(__xludf.DUMMYFUNCTION("""COMPUTED_VALUE"""),10000.0)</f>
        <v>10000</v>
      </c>
      <c r="K219" s="537">
        <f>IFERROR(__xludf.DUMMYFUNCTION("""COMPUTED_VALUE"""),46148.0)</f>
        <v>46148</v>
      </c>
      <c r="L219" s="537"/>
      <c r="M219" s="338" t="str">
        <f>IFERROR(__xludf.DUMMYFUNCTION("""COMPUTED_VALUE"""),"Пленка PP белая акрил")</f>
        <v>Пленка PP белая акрил</v>
      </c>
      <c r="N219" s="338" t="str">
        <f>IFERROR(__xludf.DUMMYFUNCTION("""COMPUTED_VALUE"""),"Отгружен")</f>
        <v>Отгружен</v>
      </c>
      <c r="O219" s="537"/>
      <c r="P219" s="338" t="str">
        <f>IFERROR(__xludf.DUMMYFUNCTION("""COMPUTED_VALUE"""),"Приладка в раб дни до 17:30 как обычно")</f>
        <v>Приладка в раб дни до 17:30 как обычно</v>
      </c>
      <c r="Q219" s="338" t="str">
        <f>IFERROR(__xludf.DUMMYFUNCTION("""COMPUTED_VALUE"""),"Сама заказываю ТК")</f>
        <v>Сама заказываю ТК</v>
      </c>
      <c r="R219" s="338"/>
      <c r="S219" s="338"/>
      <c r="T219" s="338"/>
      <c r="U219" s="338"/>
      <c r="V219" s="338"/>
      <c r="W219" s="338"/>
      <c r="X219" s="338"/>
      <c r="Y219" s="338"/>
      <c r="Z219" s="338"/>
    </row>
    <row r="220" ht="22.5" customHeight="1">
      <c r="A220" s="528" t="str">
        <f>IFERROR(__xludf.DUMMYFUNCTION("""COMPUTED_VALUE"""),"     
ООО""ФерЭльГам""")</f>
        <v>     
ООО"ФерЭльГам"</v>
      </c>
      <c r="B220" s="528"/>
      <c r="C220" s="528" t="str">
        <f>IFERROR(__xludf.DUMMYFUNCTION("""COMPUTED_VALUE"""),"470460 Перец соленый острый 500 г (Глобус) этик.")</f>
        <v>470460 Перец соленый острый 500 г (Глобус) этик.</v>
      </c>
      <c r="D220" s="528">
        <f>IFERROR(__xludf.DUMMYFUNCTION("""COMPUTED_VALUE"""),2181.0)</f>
        <v>2181</v>
      </c>
      <c r="E220" s="528" t="str">
        <f>IFERROR(__xludf.DUMMYFUNCTION("""COMPUTED_VALUE"""),"Баранов Александр")</f>
        <v>Баранов Александр</v>
      </c>
      <c r="F220" s="535" t="str">
        <f>IFERROR(__xludf.DUMMYFUNCTION("""COMPUTED_VALUE"""),"Повтор")</f>
        <v>Повтор</v>
      </c>
      <c r="G220" s="536" t="str">
        <f>IFERROR(__xludf.DUMMYFUNCTION("""COMPUTED_VALUE"""),"д108")</f>
        <v>д108</v>
      </c>
      <c r="H220" s="338" t="str">
        <f>IFERROR(__xludf.DUMMYFUNCTION("""COMPUTED_VALUE"""),"Флексопечать")</f>
        <v>Флексопечать</v>
      </c>
      <c r="I220" s="338" t="str">
        <f>IFERROR(__xludf.DUMMYFUNCTION("""COMPUTED_VALUE"""),"Bg-330")</f>
        <v>Bg-330</v>
      </c>
      <c r="J220" s="536">
        <f>IFERROR(__xludf.DUMMYFUNCTION("""COMPUTED_VALUE"""),20000.0)</f>
        <v>20000</v>
      </c>
      <c r="K220" s="537">
        <f>IFERROR(__xludf.DUMMYFUNCTION("""COMPUTED_VALUE"""),46149.0)</f>
        <v>46149</v>
      </c>
      <c r="L220" s="537"/>
      <c r="M220" s="338" t="str">
        <f>IFERROR(__xludf.DUMMYFUNCTION("""COMPUTED_VALUE"""),"Пленка PP белая каучук")</f>
        <v>Пленка PP белая каучук</v>
      </c>
      <c r="N220" s="338" t="str">
        <f>IFERROR(__xludf.DUMMYFUNCTION("""COMPUTED_VALUE"""),"Отгружен")</f>
        <v>Отгружен</v>
      </c>
      <c r="O220" s="537"/>
      <c r="P220" s="338"/>
      <c r="Q220" s="338"/>
      <c r="R220" s="338"/>
      <c r="S220" s="338"/>
      <c r="T220" s="338"/>
      <c r="U220" s="338"/>
      <c r="V220" s="338"/>
      <c r="W220" s="338"/>
      <c r="X220" s="338"/>
      <c r="Y220" s="338"/>
      <c r="Z220" s="338"/>
    </row>
    <row r="221" ht="22.5" customHeight="1">
      <c r="A221" s="528" t="str">
        <f>IFERROR(__xludf.DUMMYFUNCTION("""COMPUTED_VALUE"""),"     
ООО""ФерЭльГам""")</f>
        <v>     
ООО"ФерЭльГам"</v>
      </c>
      <c r="B221" s="528"/>
      <c r="C221" s="528" t="str">
        <f>IFERROR(__xludf.DUMMYFUNCTION("""COMPUTED_VALUE""")," 470560 Спаржа по-корейски 200 г  (Магнит) этик. ")</f>
        <v> 470560 Спаржа по-корейски 200 г  (Магнит) этик. </v>
      </c>
      <c r="D221" s="528">
        <f>IFERROR(__xludf.DUMMYFUNCTION("""COMPUTED_VALUE"""),2182.0)</f>
        <v>2182</v>
      </c>
      <c r="E221" s="528" t="str">
        <f>IFERROR(__xludf.DUMMYFUNCTION("""COMPUTED_VALUE"""),"Баранов Александр")</f>
        <v>Баранов Александр</v>
      </c>
      <c r="F221" s="535" t="str">
        <f>IFERROR(__xludf.DUMMYFUNCTION("""COMPUTED_VALUE"""),"Повтор")</f>
        <v>Повтор</v>
      </c>
      <c r="G221" s="536" t="str">
        <f>IFERROR(__xludf.DUMMYFUNCTION("""COMPUTED_VALUE"""),"д110")</f>
        <v>д110</v>
      </c>
      <c r="H221" s="338" t="str">
        <f>IFERROR(__xludf.DUMMYFUNCTION("""COMPUTED_VALUE"""),"Флексопечать")</f>
        <v>Флексопечать</v>
      </c>
      <c r="I221" s="338" t="str">
        <f>IFERROR(__xludf.DUMMYFUNCTION("""COMPUTED_VALUE"""),"Wg-450")</f>
        <v>Wg-450</v>
      </c>
      <c r="J221" s="536">
        <f>IFERROR(__xludf.DUMMYFUNCTION("""COMPUTED_VALUE"""),10000.0)</f>
        <v>10000</v>
      </c>
      <c r="K221" s="537">
        <f>IFERROR(__xludf.DUMMYFUNCTION("""COMPUTED_VALUE"""),46149.0)</f>
        <v>46149</v>
      </c>
      <c r="L221" s="537"/>
      <c r="M221" s="338" t="str">
        <f>IFERROR(__xludf.DUMMYFUNCTION("""COMPUTED_VALUE"""),"Пленка PP белая каучук")</f>
        <v>Пленка PP белая каучук</v>
      </c>
      <c r="N221" s="338" t="str">
        <f>IFERROR(__xludf.DUMMYFUNCTION("""COMPUTED_VALUE"""),"Отгружен")</f>
        <v>Отгружен</v>
      </c>
      <c r="O221" s="537"/>
      <c r="P221" s="338"/>
      <c r="Q221" s="338"/>
      <c r="R221" s="338"/>
      <c r="S221" s="338"/>
      <c r="T221" s="338"/>
      <c r="U221" s="338"/>
      <c r="V221" s="338"/>
      <c r="W221" s="338"/>
      <c r="X221" s="338"/>
      <c r="Y221" s="338"/>
      <c r="Z221" s="338"/>
    </row>
    <row r="222" ht="22.5" customHeight="1">
      <c r="A222" s="528" t="str">
        <f>IFERROR(__xludf.DUMMYFUNCTION("""COMPUTED_VALUE"""),"     
ООО""ФерЭльГам""")</f>
        <v>     
ООО"ФерЭльГам"</v>
      </c>
      <c r="B222" s="528"/>
      <c r="C222" s="528" t="str">
        <f>IFERROR(__xludf.DUMMYFUNCTION("""COMPUTED_VALUE"""),"470997 Спаржа по-корейски 300 г (Green vitamin) этик.")</f>
        <v>470997 Спаржа по-корейски 300 г (Green vitamin) этик.</v>
      </c>
      <c r="D222" s="528">
        <f>IFERROR(__xludf.DUMMYFUNCTION("""COMPUTED_VALUE"""),2183.0)</f>
        <v>2183</v>
      </c>
      <c r="E222" s="528" t="str">
        <f>IFERROR(__xludf.DUMMYFUNCTION("""COMPUTED_VALUE"""),"Баранов Александр")</f>
        <v>Баранов Александр</v>
      </c>
      <c r="F222" s="535" t="str">
        <f>IFERROR(__xludf.DUMMYFUNCTION("""COMPUTED_VALUE"""),"Повтор")</f>
        <v>Повтор</v>
      </c>
      <c r="G222" s="536" t="str">
        <f>IFERROR(__xludf.DUMMYFUNCTION("""COMPUTED_VALUE"""),"д110")</f>
        <v>д110</v>
      </c>
      <c r="H222" s="338" t="str">
        <f>IFERROR(__xludf.DUMMYFUNCTION("""COMPUTED_VALUE"""),"Флексопечать")</f>
        <v>Флексопечать</v>
      </c>
      <c r="I222" s="338" t="str">
        <f>IFERROR(__xludf.DUMMYFUNCTION("""COMPUTED_VALUE"""),"Wg-450")</f>
        <v>Wg-450</v>
      </c>
      <c r="J222" s="536">
        <f>IFERROR(__xludf.DUMMYFUNCTION("""COMPUTED_VALUE"""),50000.0)</f>
        <v>50000</v>
      </c>
      <c r="K222" s="537">
        <f>IFERROR(__xludf.DUMMYFUNCTION("""COMPUTED_VALUE"""),46149.0)</f>
        <v>46149</v>
      </c>
      <c r="L222" s="537"/>
      <c r="M222" s="338" t="str">
        <f>IFERROR(__xludf.DUMMYFUNCTION("""COMPUTED_VALUE"""),"Пленка PP белая каучук")</f>
        <v>Пленка PP белая каучук</v>
      </c>
      <c r="N222" s="338" t="str">
        <f>IFERROR(__xludf.DUMMYFUNCTION("""COMPUTED_VALUE"""),"Отгружен")</f>
        <v>Отгружен</v>
      </c>
      <c r="O222" s="537"/>
      <c r="P222" s="338"/>
      <c r="Q222" s="338"/>
      <c r="R222" s="338"/>
      <c r="S222" s="338"/>
      <c r="T222" s="338"/>
      <c r="U222" s="338"/>
      <c r="V222" s="338"/>
      <c r="W222" s="338"/>
      <c r="X222" s="338"/>
      <c r="Y222" s="338"/>
      <c r="Z222" s="338"/>
    </row>
    <row r="223" ht="22.5" customHeight="1">
      <c r="A223" s="528" t="str">
        <f>IFERROR(__xludf.DUMMYFUNCTION("""COMPUTED_VALUE"""),"     
ООО""ФерЭльГам""")</f>
        <v>     
ООО"ФерЭльГам"</v>
      </c>
      <c r="B223" s="528"/>
      <c r="C223" s="528" t="str">
        <f>IFERROR(__xludf.DUMMYFUNCTION("""COMPUTED_VALUE"""),"470654 Черемша соленая 200 г В/У этик.")</f>
        <v>470654 Черемша соленая 200 г В/У этик.</v>
      </c>
      <c r="D223" s="528">
        <f>IFERROR(__xludf.DUMMYFUNCTION("""COMPUTED_VALUE"""),2184.0)</f>
        <v>2184</v>
      </c>
      <c r="E223" s="528" t="str">
        <f>IFERROR(__xludf.DUMMYFUNCTION("""COMPUTED_VALUE"""),"Баранов Александр")</f>
        <v>Баранов Александр</v>
      </c>
      <c r="F223" s="535" t="str">
        <f>IFERROR(__xludf.DUMMYFUNCTION("""COMPUTED_VALUE"""),"Повтор")</f>
        <v>Повтор</v>
      </c>
      <c r="G223" s="536" t="str">
        <f>IFERROR(__xludf.DUMMYFUNCTION("""COMPUTED_VALUE"""),"122*48")</f>
        <v>122*48</v>
      </c>
      <c r="H223" s="338" t="str">
        <f>IFERROR(__xludf.DUMMYFUNCTION("""COMPUTED_VALUE"""),"Флексопечать")</f>
        <v>Флексопечать</v>
      </c>
      <c r="I223" s="338" t="str">
        <f>IFERROR(__xludf.DUMMYFUNCTION("""COMPUTED_VALUE"""),"Bg-330")</f>
        <v>Bg-330</v>
      </c>
      <c r="J223" s="536">
        <f>IFERROR(__xludf.DUMMYFUNCTION("""COMPUTED_VALUE"""),10000.0)</f>
        <v>10000</v>
      </c>
      <c r="K223" s="537">
        <f>IFERROR(__xludf.DUMMYFUNCTION("""COMPUTED_VALUE"""),46148.0)</f>
        <v>46148</v>
      </c>
      <c r="L223" s="537"/>
      <c r="M223" s="338" t="str">
        <f>IFERROR(__xludf.DUMMYFUNCTION("""COMPUTED_VALUE"""),"Пленка PP белая каучук")</f>
        <v>Пленка PP белая каучук</v>
      </c>
      <c r="N223" s="338" t="str">
        <f>IFERROR(__xludf.DUMMYFUNCTION("""COMPUTED_VALUE"""),"Отгружен")</f>
        <v>Отгружен</v>
      </c>
      <c r="O223" s="537"/>
      <c r="P223" s="338"/>
      <c r="Q223" s="338"/>
      <c r="R223" s="338"/>
      <c r="S223" s="338"/>
      <c r="T223" s="338"/>
      <c r="U223" s="338"/>
      <c r="V223" s="338"/>
      <c r="W223" s="338"/>
      <c r="X223" s="338"/>
      <c r="Y223" s="338"/>
      <c r="Z223" s="338"/>
    </row>
    <row r="224" ht="22.5" customHeight="1">
      <c r="A224" s="528" t="str">
        <f>IFERROR(__xludf.DUMMYFUNCTION("""COMPUTED_VALUE"""),"     
ООО""ФерЭльГам""")</f>
        <v>     
ООО"ФерЭльГам"</v>
      </c>
      <c r="B224" s="528"/>
      <c r="C224" s="528" t="str">
        <f>IFERROR(__xludf.DUMMYFUNCTION("""COMPUTED_VALUE"""),"470608 Томаты соленые красные 1000 г этик.")</f>
        <v>470608 Томаты соленые красные 1000 г этик.</v>
      </c>
      <c r="D224" s="528">
        <f>IFERROR(__xludf.DUMMYFUNCTION("""COMPUTED_VALUE"""),2185.0)</f>
        <v>2185</v>
      </c>
      <c r="E224" s="528" t="str">
        <f>IFERROR(__xludf.DUMMYFUNCTION("""COMPUTED_VALUE"""),"Баранов Александр")</f>
        <v>Баранов Александр</v>
      </c>
      <c r="F224" s="535" t="str">
        <f>IFERROR(__xludf.DUMMYFUNCTION("""COMPUTED_VALUE"""),"Повтор")</f>
        <v>Повтор</v>
      </c>
      <c r="G224" s="536" t="str">
        <f>IFERROR(__xludf.DUMMYFUNCTION("""COMPUTED_VALUE"""),"д110")</f>
        <v>д110</v>
      </c>
      <c r="H224" s="338" t="str">
        <f>IFERROR(__xludf.DUMMYFUNCTION("""COMPUTED_VALUE"""),"Флексопечать")</f>
        <v>Флексопечать</v>
      </c>
      <c r="I224" s="338" t="str">
        <f>IFERROR(__xludf.DUMMYFUNCTION("""COMPUTED_VALUE"""),"Wg-450")</f>
        <v>Wg-450</v>
      </c>
      <c r="J224" s="536">
        <f>IFERROR(__xludf.DUMMYFUNCTION("""COMPUTED_VALUE"""),10000.0)</f>
        <v>10000</v>
      </c>
      <c r="K224" s="537">
        <f>IFERROR(__xludf.DUMMYFUNCTION("""COMPUTED_VALUE"""),46148.0)</f>
        <v>46148</v>
      </c>
      <c r="L224" s="537"/>
      <c r="M224" s="338" t="str">
        <f>IFERROR(__xludf.DUMMYFUNCTION("""COMPUTED_VALUE"""),"Пленка PP белая каучук")</f>
        <v>Пленка PP белая каучук</v>
      </c>
      <c r="N224" s="338" t="str">
        <f>IFERROR(__xludf.DUMMYFUNCTION("""COMPUTED_VALUE"""),"Отгружен")</f>
        <v>Отгружен</v>
      </c>
      <c r="O224" s="537"/>
      <c r="P224" s="338"/>
      <c r="Q224" s="338"/>
      <c r="R224" s="338"/>
      <c r="S224" s="338"/>
      <c r="T224" s="338"/>
      <c r="U224" s="338"/>
      <c r="V224" s="338"/>
      <c r="W224" s="338"/>
      <c r="X224" s="338"/>
      <c r="Y224" s="338"/>
      <c r="Z224" s="338"/>
    </row>
    <row r="225" ht="22.5" customHeight="1">
      <c r="A225" s="528" t="str">
        <f>IFERROR(__xludf.DUMMYFUNCTION("""COMPUTED_VALUE"""),"ИП Суворова Екатерина")</f>
        <v>ИП Суворова Екатерина</v>
      </c>
      <c r="B225" s="528"/>
      <c r="C225" s="528" t="str">
        <f>IFERROR(__xludf.DUMMYFUNCTION("""COMPUTED_VALUE"""),"Этикетка 7,5*11 см")</f>
        <v>Этикетка 7,5*11 см</v>
      </c>
      <c r="D225" s="528" t="str">
        <f>IFERROR(__xludf.DUMMYFUNCTION("""COMPUTED_VALUE"""),"2102/2103")</f>
        <v>2102/2103</v>
      </c>
      <c r="E225" s="528" t="str">
        <f>IFERROR(__xludf.DUMMYFUNCTION("""COMPUTED_VALUE"""),"Баранов Александр")</f>
        <v>Баранов Александр</v>
      </c>
      <c r="F225" s="535" t="str">
        <f>IFERROR(__xludf.DUMMYFUNCTION("""COMPUTED_VALUE"""),"Новая")</f>
        <v>Новая</v>
      </c>
      <c r="G225" s="536" t="str">
        <f>IFERROR(__xludf.DUMMYFUNCTION("""COMPUTED_VALUE"""),"7,5*11")</f>
        <v>7,5*11</v>
      </c>
      <c r="H225" s="338" t="str">
        <f>IFERROR(__xludf.DUMMYFUNCTION("""COMPUTED_VALUE"""),"Цифра+Полуротация")</f>
        <v>Цифра+Полуротация</v>
      </c>
      <c r="I225" s="338" t="str">
        <f>IFERROR(__xludf.DUMMYFUNCTION("""COMPUTED_VALUE"""),"LS(ЦПМ)")</f>
        <v>LS(ЦПМ)</v>
      </c>
      <c r="J225" s="536">
        <f>IFERROR(__xludf.DUMMYFUNCTION("""COMPUTED_VALUE"""),400.0)</f>
        <v>400</v>
      </c>
      <c r="K225" s="537">
        <f>IFERROR(__xludf.DUMMYFUNCTION("""COMPUTED_VALUE"""),46146.0)</f>
        <v>46146</v>
      </c>
      <c r="L225" s="537"/>
      <c r="M225" s="338" t="str">
        <f>IFERROR(__xludf.DUMMYFUNCTION("""COMPUTED_VALUE"""),"Пленка PP белая каучук")</f>
        <v>Пленка PP белая каучук</v>
      </c>
      <c r="N225" s="338" t="str">
        <f>IFERROR(__xludf.DUMMYFUNCTION("""COMPUTED_VALUE"""),"Отгружен")</f>
        <v>Отгружен</v>
      </c>
      <c r="O225" s="537"/>
      <c r="P225" s="338"/>
      <c r="Q225" s="338"/>
      <c r="R225" s="338"/>
      <c r="S225" s="338"/>
      <c r="T225" s="338"/>
      <c r="U225" s="338"/>
      <c r="V225" s="338"/>
      <c r="W225" s="338"/>
      <c r="X225" s="338"/>
      <c r="Y225" s="338"/>
      <c r="Z225" s="338"/>
    </row>
    <row r="226" ht="22.5" customHeight="1">
      <c r="A226" s="528" t="str">
        <f>IFERROR(__xludf.DUMMYFUNCTION("""COMPUTED_VALUE"""),"     
ООО""ФерЭльГам""")</f>
        <v>     
ООО"ФерЭльГам"</v>
      </c>
      <c r="B226" s="528"/>
      <c r="C226" s="528" t="str">
        <f>IFERROR(__xludf.DUMMYFUNCTION("""COMPUTED_VALUE"""),"470529 Салат Фунчоза по-корейски 300 г этик.")</f>
        <v>470529 Салат Фунчоза по-корейски 300 г этик.</v>
      </c>
      <c r="D226" s="528">
        <f>IFERROR(__xludf.DUMMYFUNCTION("""COMPUTED_VALUE"""),2186.0)</f>
        <v>2186</v>
      </c>
      <c r="E226" s="528" t="str">
        <f>IFERROR(__xludf.DUMMYFUNCTION("""COMPUTED_VALUE"""),"Баранов Александр")</f>
        <v>Баранов Александр</v>
      </c>
      <c r="F226" s="535" t="str">
        <f>IFERROR(__xludf.DUMMYFUNCTION("""COMPUTED_VALUE"""),"Повтор")</f>
        <v>Повтор</v>
      </c>
      <c r="G226" s="536" t="str">
        <f>IFERROR(__xludf.DUMMYFUNCTION("""COMPUTED_VALUE"""),"д110")</f>
        <v>д110</v>
      </c>
      <c r="H226" s="338" t="str">
        <f>IFERROR(__xludf.DUMMYFUNCTION("""COMPUTED_VALUE"""),"Флексопечать")</f>
        <v>Флексопечать</v>
      </c>
      <c r="I226" s="338" t="str">
        <f>IFERROR(__xludf.DUMMYFUNCTION("""COMPUTED_VALUE"""),"Wg-450")</f>
        <v>Wg-450</v>
      </c>
      <c r="J226" s="536">
        <f>IFERROR(__xludf.DUMMYFUNCTION("""COMPUTED_VALUE"""),10000.0)</f>
        <v>10000</v>
      </c>
      <c r="K226" s="537">
        <f>IFERROR(__xludf.DUMMYFUNCTION("""COMPUTED_VALUE"""),46148.0)</f>
        <v>46148</v>
      </c>
      <c r="L226" s="537"/>
      <c r="M226" s="338" t="str">
        <f>IFERROR(__xludf.DUMMYFUNCTION("""COMPUTED_VALUE"""),"Пленка PP белая каучук")</f>
        <v>Пленка PP белая каучук</v>
      </c>
      <c r="N226" s="338" t="str">
        <f>IFERROR(__xludf.DUMMYFUNCTION("""COMPUTED_VALUE"""),"Отгружен")</f>
        <v>Отгружен</v>
      </c>
      <c r="O226" s="537"/>
      <c r="P226" s="338"/>
      <c r="Q226" s="338"/>
      <c r="R226" s="338"/>
      <c r="S226" s="338"/>
      <c r="T226" s="338"/>
      <c r="U226" s="338"/>
      <c r="V226" s="338"/>
      <c r="W226" s="338"/>
      <c r="X226" s="338"/>
      <c r="Y226" s="338"/>
      <c r="Z226" s="338"/>
    </row>
    <row r="227" ht="22.5" customHeight="1">
      <c r="A227" s="528" t="str">
        <f>IFERROR(__xludf.DUMMYFUNCTION("""COMPUTED_VALUE"""),"     
ООО""ФерЭльГам""")</f>
        <v>     
ООО"ФерЭльГам"</v>
      </c>
      <c r="B227" s="528"/>
      <c r="C227" s="528" t="str">
        <f>IFERROR(__xludf.DUMMYFUNCTION("""COMPUTED_VALUE"""),"470790 Капуста квашеная кислая для щей 700 гр. этик.")</f>
        <v>470790 Капуста квашеная кислая для щей 700 гр. этик.</v>
      </c>
      <c r="D227" s="528">
        <f>IFERROR(__xludf.DUMMYFUNCTION("""COMPUTED_VALUE"""),2187.0)</f>
        <v>2187</v>
      </c>
      <c r="E227" s="528" t="str">
        <f>IFERROR(__xludf.DUMMYFUNCTION("""COMPUTED_VALUE"""),"Баранов Александр")</f>
        <v>Баранов Александр</v>
      </c>
      <c r="F227" s="535" t="str">
        <f>IFERROR(__xludf.DUMMYFUNCTION("""COMPUTED_VALUE"""),"Повтор")</f>
        <v>Повтор</v>
      </c>
      <c r="G227" s="536" t="str">
        <f>IFERROR(__xludf.DUMMYFUNCTION("""COMPUTED_VALUE"""),"д110")</f>
        <v>д110</v>
      </c>
      <c r="H227" s="338" t="str">
        <f>IFERROR(__xludf.DUMMYFUNCTION("""COMPUTED_VALUE"""),"Флексопечать")</f>
        <v>Флексопечать</v>
      </c>
      <c r="I227" s="338" t="str">
        <f>IFERROR(__xludf.DUMMYFUNCTION("""COMPUTED_VALUE"""),"Wg-450")</f>
        <v>Wg-450</v>
      </c>
      <c r="J227" s="536">
        <f>IFERROR(__xludf.DUMMYFUNCTION("""COMPUTED_VALUE"""),10000.0)</f>
        <v>10000</v>
      </c>
      <c r="K227" s="537">
        <f>IFERROR(__xludf.DUMMYFUNCTION("""COMPUTED_VALUE"""),46148.0)</f>
        <v>46148</v>
      </c>
      <c r="L227" s="537"/>
      <c r="M227" s="338" t="str">
        <f>IFERROR(__xludf.DUMMYFUNCTION("""COMPUTED_VALUE"""),"Пленка PP белая каучук")</f>
        <v>Пленка PP белая каучук</v>
      </c>
      <c r="N227" s="338" t="str">
        <f>IFERROR(__xludf.DUMMYFUNCTION("""COMPUTED_VALUE"""),"Отгружен")</f>
        <v>Отгружен</v>
      </c>
      <c r="O227" s="537"/>
      <c r="P227" s="338"/>
      <c r="Q227" s="338"/>
      <c r="R227" s="338"/>
      <c r="S227" s="338"/>
      <c r="T227" s="338"/>
      <c r="U227" s="338"/>
      <c r="V227" s="338"/>
      <c r="W227" s="338"/>
      <c r="X227" s="338"/>
      <c r="Y227" s="338"/>
      <c r="Z227" s="338"/>
    </row>
    <row r="228" ht="22.5" customHeight="1">
      <c r="A228" s="528" t="str">
        <f>IFERROR(__xludf.DUMMYFUNCTION("""COMPUTED_VALUE"""),"     
ООО""ФерЭльГам""")</f>
        <v>     
ООО"ФерЭльГам"</v>
      </c>
      <c r="B228" s="528"/>
      <c r="C228" s="528" t="str">
        <f>IFERROR(__xludf.DUMMYFUNCTION("""COMPUTED_VALUE"""),"470158 Капуста маринованная ДИЕТ 500 г этик.")</f>
        <v>470158 Капуста маринованная ДИЕТ 500 г этик.</v>
      </c>
      <c r="D228" s="528">
        <f>IFERROR(__xludf.DUMMYFUNCTION("""COMPUTED_VALUE"""),2188.0)</f>
        <v>2188</v>
      </c>
      <c r="E228" s="528" t="str">
        <f>IFERROR(__xludf.DUMMYFUNCTION("""COMPUTED_VALUE"""),"Баранов Александр")</f>
        <v>Баранов Александр</v>
      </c>
      <c r="F228" s="535" t="str">
        <f>IFERROR(__xludf.DUMMYFUNCTION("""COMPUTED_VALUE"""),"Повтор")</f>
        <v>Повтор</v>
      </c>
      <c r="G228" s="536" t="str">
        <f>IFERROR(__xludf.DUMMYFUNCTION("""COMPUTED_VALUE"""),"д110")</f>
        <v>д110</v>
      </c>
      <c r="H228" s="338" t="str">
        <f>IFERROR(__xludf.DUMMYFUNCTION("""COMPUTED_VALUE"""),"Флексопечать")</f>
        <v>Флексопечать</v>
      </c>
      <c r="I228" s="338" t="str">
        <f>IFERROR(__xludf.DUMMYFUNCTION("""COMPUTED_VALUE"""),"Wg-450")</f>
        <v>Wg-450</v>
      </c>
      <c r="J228" s="536">
        <f>IFERROR(__xludf.DUMMYFUNCTION("""COMPUTED_VALUE"""),20000.0)</f>
        <v>20000</v>
      </c>
      <c r="K228" s="537">
        <f>IFERROR(__xludf.DUMMYFUNCTION("""COMPUTED_VALUE"""),46148.0)</f>
        <v>46148</v>
      </c>
      <c r="L228" s="537"/>
      <c r="M228" s="338" t="str">
        <f>IFERROR(__xludf.DUMMYFUNCTION("""COMPUTED_VALUE"""),"Пленка PP белая каучук")</f>
        <v>Пленка PP белая каучук</v>
      </c>
      <c r="N228" s="338" t="str">
        <f>IFERROR(__xludf.DUMMYFUNCTION("""COMPUTED_VALUE"""),"Отгружен")</f>
        <v>Отгружен</v>
      </c>
      <c r="O228" s="537"/>
      <c r="P228" s="338"/>
      <c r="Q228" s="338"/>
      <c r="R228" s="338"/>
      <c r="S228" s="338"/>
      <c r="T228" s="338"/>
      <c r="U228" s="338"/>
      <c r="V228" s="338"/>
      <c r="W228" s="338"/>
      <c r="X228" s="338"/>
      <c r="Y228" s="338"/>
      <c r="Z228" s="338"/>
    </row>
    <row r="229" ht="22.5" customHeight="1">
      <c r="A229" s="528" t="str">
        <f>IFERROR(__xludf.DUMMYFUNCTION("""COMPUTED_VALUE"""),"     
ООО""ФерЭльГам""")</f>
        <v>     
ООО"ФерЭльГам"</v>
      </c>
      <c r="B229" s="528"/>
      <c r="C229" s="528" t="str">
        <f>IFERROR(__xludf.DUMMYFUNCTION("""COMPUTED_VALUE"""),"470117 Имбирь маринованный 400 г этик.")</f>
        <v>470117 Имбирь маринованный 400 г этик.</v>
      </c>
      <c r="D229" s="528">
        <f>IFERROR(__xludf.DUMMYFUNCTION("""COMPUTED_VALUE"""),2189.0)</f>
        <v>2189</v>
      </c>
      <c r="E229" s="528" t="str">
        <f>IFERROR(__xludf.DUMMYFUNCTION("""COMPUTED_VALUE"""),"Баранов Александр")</f>
        <v>Баранов Александр</v>
      </c>
      <c r="F229" s="535" t="str">
        <f>IFERROR(__xludf.DUMMYFUNCTION("""COMPUTED_VALUE"""),"Повтор")</f>
        <v>Повтор</v>
      </c>
      <c r="G229" s="536" t="str">
        <f>IFERROR(__xludf.DUMMYFUNCTION("""COMPUTED_VALUE"""),"д110")</f>
        <v>д110</v>
      </c>
      <c r="H229" s="338" t="str">
        <f>IFERROR(__xludf.DUMMYFUNCTION("""COMPUTED_VALUE"""),"Флексопечать")</f>
        <v>Флексопечать</v>
      </c>
      <c r="I229" s="338" t="str">
        <f>IFERROR(__xludf.DUMMYFUNCTION("""COMPUTED_VALUE"""),"Wg-450")</f>
        <v>Wg-450</v>
      </c>
      <c r="J229" s="536">
        <f>IFERROR(__xludf.DUMMYFUNCTION("""COMPUTED_VALUE"""),20000.0)</f>
        <v>20000</v>
      </c>
      <c r="K229" s="537">
        <f>IFERROR(__xludf.DUMMYFUNCTION("""COMPUTED_VALUE"""),46148.0)</f>
        <v>46148</v>
      </c>
      <c r="L229" s="537"/>
      <c r="M229" s="338" t="str">
        <f>IFERROR(__xludf.DUMMYFUNCTION("""COMPUTED_VALUE"""),"Пленка PP белая каучук")</f>
        <v>Пленка PP белая каучук</v>
      </c>
      <c r="N229" s="338" t="str">
        <f>IFERROR(__xludf.DUMMYFUNCTION("""COMPUTED_VALUE"""),"Отгружен")</f>
        <v>Отгружен</v>
      </c>
      <c r="O229" s="537"/>
      <c r="P229" s="338"/>
      <c r="Q229" s="338"/>
      <c r="R229" s="338"/>
      <c r="S229" s="338"/>
      <c r="T229" s="338"/>
      <c r="U229" s="338"/>
      <c r="V229" s="338"/>
      <c r="W229" s="338"/>
      <c r="X229" s="338"/>
      <c r="Y229" s="338"/>
      <c r="Z229" s="338"/>
    </row>
    <row r="230" ht="22.5" customHeight="1">
      <c r="A230" s="528" t="str">
        <f>IFERROR(__xludf.DUMMYFUNCTION("""COMPUTED_VALUE"""),"     
ООО""ФерЭльГам""")</f>
        <v>     
ООО"ФерЭльГам"</v>
      </c>
      <c r="B230" s="528"/>
      <c r="C230" s="528" t="str">
        <f>IFERROR(__xludf.DUMMYFUNCTION("""COMPUTED_VALUE"""),"450357 Капуста квашеная с морковью 900 Круглое лето Этик д95 .")</f>
        <v>450357 Капуста квашеная с морковью 900 Круглое лето Этик д95 .</v>
      </c>
      <c r="D230" s="528">
        <f>IFERROR(__xludf.DUMMYFUNCTION("""COMPUTED_VALUE"""),2192.0)</f>
        <v>2192</v>
      </c>
      <c r="E230" s="528" t="str">
        <f>IFERROR(__xludf.DUMMYFUNCTION("""COMPUTED_VALUE"""),"Баранов Александр")</f>
        <v>Баранов Александр</v>
      </c>
      <c r="F230" s="535" t="str">
        <f>IFERROR(__xludf.DUMMYFUNCTION("""COMPUTED_VALUE"""),"Повтор")</f>
        <v>Повтор</v>
      </c>
      <c r="G230" s="536" t="str">
        <f>IFERROR(__xludf.DUMMYFUNCTION("""COMPUTED_VALUE"""),"д95")</f>
        <v>д95</v>
      </c>
      <c r="H230" s="338" t="str">
        <f>IFERROR(__xludf.DUMMYFUNCTION("""COMPUTED_VALUE"""),"Флексопечать")</f>
        <v>Флексопечать</v>
      </c>
      <c r="I230" s="338" t="str">
        <f>IFERROR(__xludf.DUMMYFUNCTION("""COMPUTED_VALUE"""),"Wg-450")</f>
        <v>Wg-450</v>
      </c>
      <c r="J230" s="536">
        <f>IFERROR(__xludf.DUMMYFUNCTION("""COMPUTED_VALUE"""),42500.0)</f>
        <v>42500</v>
      </c>
      <c r="K230" s="537">
        <f>IFERROR(__xludf.DUMMYFUNCTION("""COMPUTED_VALUE"""),46149.0)</f>
        <v>46149</v>
      </c>
      <c r="L230" s="537"/>
      <c r="M230" s="338" t="str">
        <f>IFERROR(__xludf.DUMMYFUNCTION("""COMPUTED_VALUE"""),"Пленка PP белая каучук")</f>
        <v>Пленка PP белая каучук</v>
      </c>
      <c r="N230" s="338" t="str">
        <f>IFERROR(__xludf.DUMMYFUNCTION("""COMPUTED_VALUE"""),"Отгружен")</f>
        <v>Отгружен</v>
      </c>
      <c r="O230" s="537"/>
      <c r="P230" s="338"/>
      <c r="Q230" s="338"/>
      <c r="R230" s="338"/>
      <c r="S230" s="338"/>
      <c r="T230" s="338"/>
      <c r="U230" s="338"/>
      <c r="V230" s="338"/>
      <c r="W230" s="338"/>
      <c r="X230" s="338"/>
      <c r="Y230" s="338"/>
      <c r="Z230" s="338"/>
    </row>
    <row r="231" ht="22.5" customHeight="1">
      <c r="A231" s="528" t="str">
        <f>IFERROR(__xludf.DUMMYFUNCTION("""COMPUTED_VALUE"""),"ООО ""Рыбный двор""")</f>
        <v>ООО "Рыбный двор"</v>
      </c>
      <c r="B231" s="528"/>
      <c r="C231" s="528" t="str">
        <f>IFERROR(__xludf.DUMMYFUNCTION("""COMPUTED_VALUE"""),"Этикетка ""Салака холодного копчения"" 150гр")</f>
        <v>Этикетка "Салака холодного копчения" 150гр</v>
      </c>
      <c r="D231" s="528">
        <f>IFERROR(__xludf.DUMMYFUNCTION("""COMPUTED_VALUE"""),2202.0)</f>
        <v>2202</v>
      </c>
      <c r="E231" s="528" t="str">
        <f>IFERROR(__xludf.DUMMYFUNCTION("""COMPUTED_VALUE"""),"Римма Лукина")</f>
        <v>Римма Лукина</v>
      </c>
      <c r="F231" s="535" t="str">
        <f>IFERROR(__xludf.DUMMYFUNCTION("""COMPUTED_VALUE"""),"Новая")</f>
        <v>Новая</v>
      </c>
      <c r="G231" s="536" t="str">
        <f>IFERROR(__xludf.DUMMYFUNCTION("""COMPUTED_VALUE"""),"90*100")</f>
        <v>90*100</v>
      </c>
      <c r="H231" s="338" t="str">
        <f>IFERROR(__xludf.DUMMYFUNCTION("""COMPUTED_VALUE"""),"Флексопечать")</f>
        <v>Флексопечать</v>
      </c>
      <c r="I231" s="338" t="str">
        <f>IFERROR(__xludf.DUMMYFUNCTION("""COMPUTED_VALUE"""),"Wg-450")</f>
        <v>Wg-450</v>
      </c>
      <c r="J231" s="536">
        <f>IFERROR(__xludf.DUMMYFUNCTION("""COMPUTED_VALUE"""),15000.0)</f>
        <v>15000</v>
      </c>
      <c r="K231" s="537">
        <f>IFERROR(__xludf.DUMMYFUNCTION("""COMPUTED_VALUE"""),46149.0)</f>
        <v>46149</v>
      </c>
      <c r="L231" s="537"/>
      <c r="M231" s="338" t="str">
        <f>IFERROR(__xludf.DUMMYFUNCTION("""COMPUTED_VALUE"""),"Пленка PP белая акрил")</f>
        <v>Пленка PP белая акрил</v>
      </c>
      <c r="N231" s="338" t="str">
        <f>IFERROR(__xludf.DUMMYFUNCTION("""COMPUTED_VALUE"""),"Отгружен")</f>
        <v>Отгружен</v>
      </c>
      <c r="O231" s="537"/>
      <c r="P231" s="338"/>
      <c r="Q231" s="338" t="str">
        <f>IFERROR(__xludf.DUMMYFUNCTION("""COMPUTED_VALUE"""),"СДЭК")</f>
        <v>СДЭК</v>
      </c>
      <c r="R231" s="338"/>
      <c r="S231" s="338"/>
      <c r="T231" s="338"/>
      <c r="U231" s="338"/>
      <c r="V231" s="338"/>
      <c r="W231" s="338"/>
      <c r="X231" s="338"/>
      <c r="Y231" s="338"/>
      <c r="Z231" s="338"/>
    </row>
    <row r="232" ht="22.5" customHeight="1">
      <c r="A232" s="528" t="str">
        <f>IFERROR(__xludf.DUMMYFUNCTION("""COMPUTED_VALUE"""),"Калье")</f>
        <v>Калье</v>
      </c>
      <c r="B232" s="528"/>
      <c r="C232" s="528" t="str">
        <f>IFERROR(__xludf.DUMMYFUNCTION("""COMPUTED_VALUE"""),"Мульти-пенка 5в1 Velvet")</f>
        <v>Мульти-пенка 5в1 Velvet</v>
      </c>
      <c r="D232" s="528">
        <f>IFERROR(__xludf.DUMMYFUNCTION("""COMPUTED_VALUE"""),2209.0)</f>
        <v>2209</v>
      </c>
      <c r="E232" s="528" t="str">
        <f>IFERROR(__xludf.DUMMYFUNCTION("""COMPUTED_VALUE"""),"Татьяна Денисова")</f>
        <v>Татьяна Денисова</v>
      </c>
      <c r="F232" s="535" t="str">
        <f>IFERROR(__xludf.DUMMYFUNCTION("""COMPUTED_VALUE"""),"Новая")</f>
        <v>Новая</v>
      </c>
      <c r="G232" s="536" t="str">
        <f>IFERROR(__xludf.DUMMYFUNCTION("""COMPUTED_VALUE"""),"105*140")</f>
        <v>105*140</v>
      </c>
      <c r="H232" s="338" t="str">
        <f>IFERROR(__xludf.DUMMYFUNCTION("""COMPUTED_VALUE"""),"Флексопечать")</f>
        <v>Флексопечать</v>
      </c>
      <c r="I232" s="338" t="str">
        <f>IFERROR(__xludf.DUMMYFUNCTION("""COMPUTED_VALUE"""),"Bg-330")</f>
        <v>Bg-330</v>
      </c>
      <c r="J232" s="536">
        <f>IFERROR(__xludf.DUMMYFUNCTION("""COMPUTED_VALUE"""),10000.0)</f>
        <v>10000</v>
      </c>
      <c r="K232" s="537">
        <f>IFERROR(__xludf.DUMMYFUNCTION("""COMPUTED_VALUE"""),46150.0)</f>
        <v>46150</v>
      </c>
      <c r="L232" s="537"/>
      <c r="M232" s="338" t="str">
        <f>IFERROR(__xludf.DUMMYFUNCTION("""COMPUTED_VALUE"""),"Пленка PP белая акрил")</f>
        <v>Пленка PP белая акрил</v>
      </c>
      <c r="N232" s="338" t="str">
        <f>IFERROR(__xludf.DUMMYFUNCTION("""COMPUTED_VALUE"""),"Отгружен")</f>
        <v>Отгружен</v>
      </c>
      <c r="O232" s="537"/>
      <c r="P232" s="338" t="str">
        <f>IFERROR(__xludf.DUMMYFUNCTION("""COMPUTED_VALUE"""),"Приладка в раб дни до 17:30 как обычно")</f>
        <v>Приладка в раб дни до 17:30 как обычно</v>
      </c>
      <c r="Q232" s="338" t="str">
        <f>IFERROR(__xludf.DUMMYFUNCTION("""COMPUTED_VALUE"""),"Сама заказываю ТК")</f>
        <v>Сама заказываю ТК</v>
      </c>
      <c r="R232" s="338"/>
      <c r="S232" s="338"/>
      <c r="T232" s="338"/>
      <c r="U232" s="338"/>
      <c r="V232" s="338"/>
      <c r="W232" s="338"/>
      <c r="X232" s="338"/>
      <c r="Y232" s="338"/>
      <c r="Z232" s="338"/>
    </row>
    <row r="233" ht="22.5" customHeight="1">
      <c r="A233" s="528" t="str">
        <f>IFERROR(__xludf.DUMMYFUNCTION("""COMPUTED_VALUE"""),"ООО ""ФЭСТ""")</f>
        <v>ООО "ФЭСТ"</v>
      </c>
      <c r="B233" s="528"/>
      <c r="C233" s="528" t="str">
        <f>IFERROR(__xludf.DUMMYFUNCTION("""COMPUTED_VALUE"""),"АПТЕЧКА ЗЕЛЕНЫЙ КРЕСТ")</f>
        <v>АПТЕЧКА ЗЕЛЕНЫЙ КРЕСТ</v>
      </c>
      <c r="D233" s="528">
        <f>IFERROR(__xludf.DUMMYFUNCTION("""COMPUTED_VALUE"""),2212.0)</f>
        <v>2212</v>
      </c>
      <c r="E233" s="528" t="str">
        <f>IFERROR(__xludf.DUMMYFUNCTION("""COMPUTED_VALUE"""),"Баранов Александр")</f>
        <v>Баранов Александр</v>
      </c>
      <c r="F233" s="535" t="str">
        <f>IFERROR(__xludf.DUMMYFUNCTION("""COMPUTED_VALUE"""),"Повтор")</f>
        <v>Повтор</v>
      </c>
      <c r="G233" s="536" t="str">
        <f>IFERROR(__xludf.DUMMYFUNCTION("""COMPUTED_VALUE"""),"82*108")</f>
        <v>82*108</v>
      </c>
      <c r="H233" s="338" t="str">
        <f>IFERROR(__xludf.DUMMYFUNCTION("""COMPUTED_VALUE"""),"Флексопечать")</f>
        <v>Флексопечать</v>
      </c>
      <c r="I233" s="338" t="str">
        <f>IFERROR(__xludf.DUMMYFUNCTION("""COMPUTED_VALUE"""),"Bg-330")</f>
        <v>Bg-330</v>
      </c>
      <c r="J233" s="536">
        <f>IFERROR(__xludf.DUMMYFUNCTION("""COMPUTED_VALUE"""),40000.0)</f>
        <v>40000</v>
      </c>
      <c r="K233" s="537">
        <f>IFERROR(__xludf.DUMMYFUNCTION("""COMPUTED_VALUE"""),46150.0)</f>
        <v>46150</v>
      </c>
      <c r="L233" s="537"/>
      <c r="M233" s="338" t="str">
        <f>IFERROR(__xludf.DUMMYFUNCTION("""COMPUTED_VALUE"""),"Бумага полуглянец каучук")</f>
        <v>Бумага полуглянец каучук</v>
      </c>
      <c r="N233" s="338" t="str">
        <f>IFERROR(__xludf.DUMMYFUNCTION("""COMPUTED_VALUE"""),"Отгружен")</f>
        <v>Отгружен</v>
      </c>
      <c r="O233" s="537"/>
      <c r="P233" s="338"/>
      <c r="Q233" s="338"/>
      <c r="R233" s="338"/>
      <c r="S233" s="338"/>
      <c r="T233" s="338"/>
      <c r="U233" s="338"/>
      <c r="V233" s="338"/>
      <c r="W233" s="338"/>
      <c r="X233" s="338"/>
      <c r="Y233" s="338"/>
      <c r="Z233" s="338"/>
    </row>
    <row r="234" ht="22.5" customHeight="1">
      <c r="A234" s="528" t="str">
        <f>IFERROR(__xludf.DUMMYFUNCTION("""COMPUTED_VALUE"""),"Фосфорель")</f>
        <v>Фосфорель</v>
      </c>
      <c r="B234" s="528"/>
      <c r="C234" s="528" t="str">
        <f>IFERROR(__xludf.DUMMYFUNCTION("""COMPUTED_VALUE"""),"Комплект этикеток «Вяленая соломка из минтая» 60 г")</f>
        <v>Комплект этикеток «Вяленая соломка из минтая» 60 г</v>
      </c>
      <c r="D234" s="528" t="str">
        <f>IFERROR(__xludf.DUMMYFUNCTION("""COMPUTED_VALUE"""),"2065/2066")</f>
        <v>2065/2066</v>
      </c>
      <c r="E234" s="528" t="str">
        <f>IFERROR(__xludf.DUMMYFUNCTION("""COMPUTED_VALUE"""),"Римма Лукина")</f>
        <v>Римма Лукина</v>
      </c>
      <c r="F234" s="535" t="str">
        <f>IFERROR(__xludf.DUMMYFUNCTION("""COMPUTED_VALUE"""),"Новая")</f>
        <v>Новая</v>
      </c>
      <c r="G234" s="536" t="str">
        <f>IFERROR(__xludf.DUMMYFUNCTION("""COMPUTED_VALUE"""),"76,88х90,68")</f>
        <v>76,88х90,68</v>
      </c>
      <c r="H234" s="338" t="str">
        <f>IFERROR(__xludf.DUMMYFUNCTION("""COMPUTED_VALUE"""),"Флексопечать")</f>
        <v>Флексопечать</v>
      </c>
      <c r="I234" s="338" t="str">
        <f>IFERROR(__xludf.DUMMYFUNCTION("""COMPUTED_VALUE"""),"Bg-330")</f>
        <v>Bg-330</v>
      </c>
      <c r="J234" s="536">
        <f>IFERROR(__xludf.DUMMYFUNCTION("""COMPUTED_VALUE"""),3000.0)</f>
        <v>3000</v>
      </c>
      <c r="K234" s="537">
        <f>IFERROR(__xludf.DUMMYFUNCTION("""COMPUTED_VALUE"""),46141.0)</f>
        <v>46141</v>
      </c>
      <c r="L234" s="537"/>
      <c r="M234" s="338" t="str">
        <f>IFERROR(__xludf.DUMMYFUNCTION("""COMPUTED_VALUE"""),"Пленка PP белая каучук")</f>
        <v>Пленка PP белая каучук</v>
      </c>
      <c r="N234" s="338" t="str">
        <f>IFERROR(__xludf.DUMMYFUNCTION("""COMPUTED_VALUE"""),"Отгружен")</f>
        <v>Отгружен</v>
      </c>
      <c r="O234" s="537"/>
      <c r="P234" s="338" t="str">
        <f>IFERROR(__xludf.DUMMYFUNCTION("""COMPUTED_VALUE"""),"макет на согласовании ")</f>
        <v>макет на согласовании </v>
      </c>
      <c r="Q234" s="338" t="str">
        <f>IFERROR(__xludf.DUMMYFUNCTION("""COMPUTED_VALUE"""),"394065, Воронежская область, г. Воронеж, Патриотов, д. 65-Н.")</f>
        <v>394065, Воронежская область, г. Воронеж, Патриотов, д. 65-Н.</v>
      </c>
      <c r="R234" s="338"/>
      <c r="S234" s="338"/>
      <c r="T234" s="338"/>
      <c r="U234" s="338"/>
      <c r="V234" s="338"/>
      <c r="W234" s="338"/>
      <c r="X234" s="338"/>
      <c r="Y234" s="338"/>
      <c r="Z234" s="338"/>
    </row>
    <row r="235" ht="22.5" customHeight="1">
      <c r="A235" s="528" t="str">
        <f>IFERROR(__xludf.DUMMYFUNCTION("""COMPUTED_VALUE"""),"Фосфорель")</f>
        <v>Фосфорель</v>
      </c>
      <c r="B235" s="528"/>
      <c r="C235" s="528" t="str">
        <f>IFERROR(__xludf.DUMMYFUNCTION("""COMPUTED_VALUE"""),"Комплект этикеток «Вяленая соломка из лосося» 60 г")</f>
        <v>Комплект этикеток «Вяленая соломка из лосося» 60 г</v>
      </c>
      <c r="D235" s="528" t="str">
        <f>IFERROR(__xludf.DUMMYFUNCTION("""COMPUTED_VALUE"""),"2065/2066")</f>
        <v>2065/2066</v>
      </c>
      <c r="E235" s="528" t="str">
        <f>IFERROR(__xludf.DUMMYFUNCTION("""COMPUTED_VALUE"""),"Римма Лукина")</f>
        <v>Римма Лукина</v>
      </c>
      <c r="F235" s="535" t="str">
        <f>IFERROR(__xludf.DUMMYFUNCTION("""COMPUTED_VALUE"""),"Новая")</f>
        <v>Новая</v>
      </c>
      <c r="G235" s="536" t="str">
        <f>IFERROR(__xludf.DUMMYFUNCTION("""COMPUTED_VALUE"""),"76,88х90,68")</f>
        <v>76,88х90,68</v>
      </c>
      <c r="H235" s="338" t="str">
        <f>IFERROR(__xludf.DUMMYFUNCTION("""COMPUTED_VALUE"""),"Флексопечать")</f>
        <v>Флексопечать</v>
      </c>
      <c r="I235" s="338" t="str">
        <f>IFERROR(__xludf.DUMMYFUNCTION("""COMPUTED_VALUE"""),"Bg-330")</f>
        <v>Bg-330</v>
      </c>
      <c r="J235" s="536">
        <f>IFERROR(__xludf.DUMMYFUNCTION("""COMPUTED_VALUE"""),3000.0)</f>
        <v>3000</v>
      </c>
      <c r="K235" s="537">
        <f>IFERROR(__xludf.DUMMYFUNCTION("""COMPUTED_VALUE"""),46141.0)</f>
        <v>46141</v>
      </c>
      <c r="L235" s="537"/>
      <c r="M235" s="338" t="str">
        <f>IFERROR(__xludf.DUMMYFUNCTION("""COMPUTED_VALUE"""),"Пленка PP белая каучук")</f>
        <v>Пленка PP белая каучук</v>
      </c>
      <c r="N235" s="338" t="str">
        <f>IFERROR(__xludf.DUMMYFUNCTION("""COMPUTED_VALUE"""),"Отгружен")</f>
        <v>Отгружен</v>
      </c>
      <c r="O235" s="537"/>
      <c r="P235" s="338" t="str">
        <f>IFERROR(__xludf.DUMMYFUNCTION("""COMPUTED_VALUE"""),"макет на согласовании ")</f>
        <v>макет на согласовании </v>
      </c>
      <c r="Q235" s="338" t="str">
        <f>IFERROR(__xludf.DUMMYFUNCTION("""COMPUTED_VALUE"""),"394065, Воронежская область, г. Воронеж, Патриотов, д. 65-Н.")</f>
        <v>394065, Воронежская область, г. Воронеж, Патриотов, д. 65-Н.</v>
      </c>
      <c r="R235" s="338"/>
      <c r="S235" s="338"/>
      <c r="T235" s="338"/>
      <c r="U235" s="338"/>
      <c r="V235" s="338"/>
      <c r="W235" s="338"/>
      <c r="X235" s="338"/>
      <c r="Y235" s="338"/>
      <c r="Z235" s="338"/>
    </row>
    <row r="236" ht="22.5" customHeight="1">
      <c r="A236" s="528" t="str">
        <f>IFERROR(__xludf.DUMMYFUNCTION("""COMPUTED_VALUE"""),"Фосфорель")</f>
        <v>Фосфорель</v>
      </c>
      <c r="B236" s="528"/>
      <c r="C236" s="528" t="str">
        <f>IFERROR(__xludf.DUMMYFUNCTION("""COMPUTED_VALUE"""),"Комплект этикеток «Вяленые колбаски из лосося» 60 г")</f>
        <v>Комплект этикеток «Вяленые колбаски из лосося» 60 г</v>
      </c>
      <c r="D236" s="528" t="str">
        <f>IFERROR(__xludf.DUMMYFUNCTION("""COMPUTED_VALUE"""),"2067/2068")</f>
        <v>2067/2068</v>
      </c>
      <c r="E236" s="528" t="str">
        <f>IFERROR(__xludf.DUMMYFUNCTION("""COMPUTED_VALUE"""),"Римма Лукина")</f>
        <v>Римма Лукина</v>
      </c>
      <c r="F236" s="535" t="str">
        <f>IFERROR(__xludf.DUMMYFUNCTION("""COMPUTED_VALUE"""),"Новая")</f>
        <v>Новая</v>
      </c>
      <c r="G236" s="536" t="str">
        <f>IFERROR(__xludf.DUMMYFUNCTION("""COMPUTED_VALUE"""),"76,88х90,68")</f>
        <v>76,88х90,68</v>
      </c>
      <c r="H236" s="338" t="str">
        <f>IFERROR(__xludf.DUMMYFUNCTION("""COMPUTED_VALUE"""),"Флексопечать")</f>
        <v>Флексопечать</v>
      </c>
      <c r="I236" s="338" t="str">
        <f>IFERROR(__xludf.DUMMYFUNCTION("""COMPUTED_VALUE"""),"Bg-330")</f>
        <v>Bg-330</v>
      </c>
      <c r="J236" s="536">
        <f>IFERROR(__xludf.DUMMYFUNCTION("""COMPUTED_VALUE"""),6000.0)</f>
        <v>6000</v>
      </c>
      <c r="K236" s="537">
        <f>IFERROR(__xludf.DUMMYFUNCTION("""COMPUTED_VALUE"""),46141.0)</f>
        <v>46141</v>
      </c>
      <c r="L236" s="537"/>
      <c r="M236" s="338" t="str">
        <f>IFERROR(__xludf.DUMMYFUNCTION("""COMPUTED_VALUE"""),"Пленка PP белая каучук")</f>
        <v>Пленка PP белая каучук</v>
      </c>
      <c r="N236" s="338" t="str">
        <f>IFERROR(__xludf.DUMMYFUNCTION("""COMPUTED_VALUE"""),"Отгружен")</f>
        <v>Отгружен</v>
      </c>
      <c r="O236" s="537"/>
      <c r="P236" s="338" t="str">
        <f>IFERROR(__xludf.DUMMYFUNCTION("""COMPUTED_VALUE"""),"макет на согласовании ")</f>
        <v>макет на согласовании </v>
      </c>
      <c r="Q236" s="338" t="str">
        <f>IFERROR(__xludf.DUMMYFUNCTION("""COMPUTED_VALUE"""),"394065, Воронежская область, г. Воронеж, Патриотов, д. 65-Н.")</f>
        <v>394065, Воронежская область, г. Воронеж, Патриотов, д. 65-Н.</v>
      </c>
      <c r="R236" s="338"/>
      <c r="S236" s="338"/>
      <c r="T236" s="338"/>
      <c r="U236" s="338"/>
      <c r="V236" s="338"/>
      <c r="W236" s="338"/>
      <c r="X236" s="338"/>
      <c r="Y236" s="338"/>
      <c r="Z236" s="338"/>
    </row>
    <row r="237" ht="22.5" customHeight="1">
      <c r="A237" s="528" t="str">
        <f>IFERROR(__xludf.DUMMYFUNCTION("""COMPUTED_VALUE"""),"Фосфорель")</f>
        <v>Фосфорель</v>
      </c>
      <c r="B237" s="528"/>
      <c r="C237" s="528" t="str">
        <f>IFERROR(__xludf.DUMMYFUNCTION("""COMPUTED_VALUE"""),"Сельдь атл. филе-кусочки в масле малосольная Атлантика 240 г")</f>
        <v>Сельдь атл. филе-кусочки в масле малосольная Атлантика 240 г</v>
      </c>
      <c r="D237" s="528" t="str">
        <f>IFERROR(__xludf.DUMMYFUNCTION("""COMPUTED_VALUE"""),"2072/2073")</f>
        <v>2072/2073</v>
      </c>
      <c r="E237" s="528" t="str">
        <f>IFERROR(__xludf.DUMMYFUNCTION("""COMPUTED_VALUE"""),"Римма Лукина")</f>
        <v>Римма Лукина</v>
      </c>
      <c r="F237" s="535" t="str">
        <f>IFERROR(__xludf.DUMMYFUNCTION("""COMPUTED_VALUE"""),"Новая")</f>
        <v>Новая</v>
      </c>
      <c r="G237" s="536" t="str">
        <f>IFERROR(__xludf.DUMMYFUNCTION("""COMPUTED_VALUE"""),"121*121/D88")</f>
        <v>121*121/D88</v>
      </c>
      <c r="H237" s="338" t="str">
        <f>IFERROR(__xludf.DUMMYFUNCTION("""COMPUTED_VALUE"""),"Флексопечать")</f>
        <v>Флексопечать</v>
      </c>
      <c r="I237" s="338" t="str">
        <f>IFERROR(__xludf.DUMMYFUNCTION("""COMPUTED_VALUE"""),"Bg-330")</f>
        <v>Bg-330</v>
      </c>
      <c r="J237" s="536">
        <f>IFERROR(__xludf.DUMMYFUNCTION("""COMPUTED_VALUE"""),7000.0)</f>
        <v>7000</v>
      </c>
      <c r="K237" s="537">
        <f>IFERROR(__xludf.DUMMYFUNCTION("""COMPUTED_VALUE"""),46141.0)</f>
        <v>46141</v>
      </c>
      <c r="L237" s="537"/>
      <c r="M237" s="338" t="str">
        <f>IFERROR(__xludf.DUMMYFUNCTION("""COMPUTED_VALUE"""),"Пленка PP белая акрил")</f>
        <v>Пленка PP белая акрил</v>
      </c>
      <c r="N237" s="338" t="str">
        <f>IFERROR(__xludf.DUMMYFUNCTION("""COMPUTED_VALUE"""),"Отгружен")</f>
        <v>Отгружен</v>
      </c>
      <c r="O237" s="537"/>
      <c r="P237" s="338"/>
      <c r="Q237" s="338" t="str">
        <f>IFERROR(__xludf.DUMMYFUNCTION("""COMPUTED_VALUE"""),"СДЭК сама оформлю")</f>
        <v>СДЭК сама оформлю</v>
      </c>
      <c r="R237" s="338"/>
      <c r="S237" s="338"/>
      <c r="T237" s="338"/>
      <c r="U237" s="338"/>
      <c r="V237" s="338"/>
      <c r="W237" s="338"/>
      <c r="X237" s="338"/>
      <c r="Y237" s="338"/>
      <c r="Z237" s="338"/>
    </row>
    <row r="238" ht="22.5" customHeight="1">
      <c r="A238" s="528" t="str">
        <f>IFERROR(__xludf.DUMMYFUNCTION("""COMPUTED_VALUE"""),"Фосфорель")</f>
        <v>Фосфорель</v>
      </c>
      <c r="B238" s="528"/>
      <c r="C238" s="528" t="str">
        <f>IFERROR(__xludf.DUMMYFUNCTION("""COMPUTED_VALUE"""),"Сельдь атл. филе-кусочки в масле с луком Атлантика 240 г.")</f>
        <v>Сельдь атл. филе-кусочки в масле с луком Атлантика 240 г.</v>
      </c>
      <c r="D238" s="528" t="str">
        <f>IFERROR(__xludf.DUMMYFUNCTION("""COMPUTED_VALUE"""),"2074/2075")</f>
        <v>2074/2075</v>
      </c>
      <c r="E238" s="528" t="str">
        <f>IFERROR(__xludf.DUMMYFUNCTION("""COMPUTED_VALUE"""),"Римма Лукина")</f>
        <v>Римма Лукина</v>
      </c>
      <c r="F238" s="535" t="str">
        <f>IFERROR(__xludf.DUMMYFUNCTION("""COMPUTED_VALUE"""),"Новая")</f>
        <v>Новая</v>
      </c>
      <c r="G238" s="536" t="str">
        <f>IFERROR(__xludf.DUMMYFUNCTION("""COMPUTED_VALUE"""),"121*121/D88")</f>
        <v>121*121/D88</v>
      </c>
      <c r="H238" s="338" t="str">
        <f>IFERROR(__xludf.DUMMYFUNCTION("""COMPUTED_VALUE"""),"Флексопечать")</f>
        <v>Флексопечать</v>
      </c>
      <c r="I238" s="338" t="str">
        <f>IFERROR(__xludf.DUMMYFUNCTION("""COMPUTED_VALUE"""),"Bg-330")</f>
        <v>Bg-330</v>
      </c>
      <c r="J238" s="536">
        <f>IFERROR(__xludf.DUMMYFUNCTION("""COMPUTED_VALUE"""),3500.0)</f>
        <v>3500</v>
      </c>
      <c r="K238" s="537">
        <f>IFERROR(__xludf.DUMMYFUNCTION("""COMPUTED_VALUE"""),46141.0)</f>
        <v>46141</v>
      </c>
      <c r="L238" s="537"/>
      <c r="M238" s="338" t="str">
        <f>IFERROR(__xludf.DUMMYFUNCTION("""COMPUTED_VALUE"""),"Пленка PP белая акрил")</f>
        <v>Пленка PP белая акрил</v>
      </c>
      <c r="N238" s="338" t="str">
        <f>IFERROR(__xludf.DUMMYFUNCTION("""COMPUTED_VALUE"""),"Отгружен")</f>
        <v>Отгружен</v>
      </c>
      <c r="O238" s="537"/>
      <c r="P238" s="338"/>
      <c r="Q238" s="338" t="str">
        <f>IFERROR(__xludf.DUMMYFUNCTION("""COMPUTED_VALUE"""),"СДЭК сама оформлю")</f>
        <v>СДЭК сама оформлю</v>
      </c>
      <c r="R238" s="338"/>
      <c r="S238" s="338"/>
      <c r="T238" s="338"/>
      <c r="U238" s="338"/>
      <c r="V238" s="338"/>
      <c r="W238" s="338"/>
      <c r="X238" s="338"/>
      <c r="Y238" s="338"/>
      <c r="Z238" s="338"/>
    </row>
    <row r="239" ht="22.5" customHeight="1">
      <c r="A239" s="528" t="str">
        <f>IFERROR(__xludf.DUMMYFUNCTION("""COMPUTED_VALUE"""),"Фосфорель")</f>
        <v>Фосфорель</v>
      </c>
      <c r="B239" s="528"/>
      <c r="C239" s="528" t="str">
        <f>IFERROR(__xludf.DUMMYFUNCTION("""COMPUTED_VALUE"""),"Сельдь атл. филе-кусочки в масле под лосось Атлантика 240 г.")</f>
        <v>Сельдь атл. филе-кусочки в масле под лосось Атлантика 240 г.</v>
      </c>
      <c r="D239" s="528" t="str">
        <f>IFERROR(__xludf.DUMMYFUNCTION("""COMPUTED_VALUE"""),"2074/2076")</f>
        <v>2074/2076</v>
      </c>
      <c r="E239" s="528" t="str">
        <f>IFERROR(__xludf.DUMMYFUNCTION("""COMPUTED_VALUE"""),"Римма Лукина")</f>
        <v>Римма Лукина</v>
      </c>
      <c r="F239" s="535" t="str">
        <f>IFERROR(__xludf.DUMMYFUNCTION("""COMPUTED_VALUE"""),"Новая")</f>
        <v>Новая</v>
      </c>
      <c r="G239" s="536" t="str">
        <f>IFERROR(__xludf.DUMMYFUNCTION("""COMPUTED_VALUE"""),"121*121/D88")</f>
        <v>121*121/D88</v>
      </c>
      <c r="H239" s="338" t="str">
        <f>IFERROR(__xludf.DUMMYFUNCTION("""COMPUTED_VALUE"""),"Флексопечать")</f>
        <v>Флексопечать</v>
      </c>
      <c r="I239" s="338" t="str">
        <f>IFERROR(__xludf.DUMMYFUNCTION("""COMPUTED_VALUE"""),"Bg-330")</f>
        <v>Bg-330</v>
      </c>
      <c r="J239" s="536">
        <f>IFERROR(__xludf.DUMMYFUNCTION("""COMPUTED_VALUE"""),3500.0)</f>
        <v>3500</v>
      </c>
      <c r="K239" s="537">
        <f>IFERROR(__xludf.DUMMYFUNCTION("""COMPUTED_VALUE"""),46141.0)</f>
        <v>46141</v>
      </c>
      <c r="L239" s="537"/>
      <c r="M239" s="338" t="str">
        <f>IFERROR(__xludf.DUMMYFUNCTION("""COMPUTED_VALUE"""),"Пленка PP белая акрил")</f>
        <v>Пленка PP белая акрил</v>
      </c>
      <c r="N239" s="338" t="str">
        <f>IFERROR(__xludf.DUMMYFUNCTION("""COMPUTED_VALUE"""),"Отгружен")</f>
        <v>Отгружен</v>
      </c>
      <c r="O239" s="537"/>
      <c r="P239" s="338"/>
      <c r="Q239" s="338" t="str">
        <f>IFERROR(__xludf.DUMMYFUNCTION("""COMPUTED_VALUE"""),"СДЭК сама оформлю")</f>
        <v>СДЭК сама оформлю</v>
      </c>
      <c r="R239" s="338"/>
      <c r="S239" s="338"/>
      <c r="T239" s="338"/>
      <c r="U239" s="338"/>
      <c r="V239" s="338"/>
      <c r="W239" s="338"/>
      <c r="X239" s="338"/>
      <c r="Y239" s="338"/>
      <c r="Z239" s="338"/>
    </row>
    <row r="240" ht="22.5" customHeight="1">
      <c r="A240" s="528" t="str">
        <f>IFERROR(__xludf.DUMMYFUNCTION("""COMPUTED_VALUE"""),"ООО ОЗОН")</f>
        <v>ООО ОЗОН</v>
      </c>
      <c r="B240" s="528"/>
      <c r="C240" s="528" t="str">
        <f>IFERROR(__xludf.DUMMYFUNCTION("""COMPUTED_VALUE"""),"Сикер ""Важно, что ешь""")</f>
        <v>Сикер "Важно, что ешь"</v>
      </c>
      <c r="D240" s="528">
        <f>IFERROR(__xludf.DUMMYFUNCTION("""COMPUTED_VALUE"""),2220.0)</f>
        <v>2220</v>
      </c>
      <c r="E240" s="528" t="str">
        <f>IFERROR(__xludf.DUMMYFUNCTION("""COMPUTED_VALUE"""),"Римма Лукина")</f>
        <v>Римма Лукина</v>
      </c>
      <c r="F240" s="535" t="str">
        <f>IFERROR(__xludf.DUMMYFUNCTION("""COMPUTED_VALUE"""),"Повтор")</f>
        <v>Повтор</v>
      </c>
      <c r="G240" s="536" t="str">
        <f>IFERROR(__xludf.DUMMYFUNCTION("""COMPUTED_VALUE"""),"D 70")</f>
        <v>D 70</v>
      </c>
      <c r="H240" s="338" t="str">
        <f>IFERROR(__xludf.DUMMYFUNCTION("""COMPUTED_VALUE"""),"Флексопечать")</f>
        <v>Флексопечать</v>
      </c>
      <c r="I240" s="338"/>
      <c r="J240" s="536">
        <f>IFERROR(__xludf.DUMMYFUNCTION("""COMPUTED_VALUE"""),100000.0)</f>
        <v>100000</v>
      </c>
      <c r="K240" s="537">
        <f>IFERROR(__xludf.DUMMYFUNCTION("""COMPUTED_VALUE"""),46150.0)</f>
        <v>46150</v>
      </c>
      <c r="L240" s="537"/>
      <c r="M240" s="338" t="str">
        <f>IFERROR(__xludf.DUMMYFUNCTION("""COMPUTED_VALUE"""),"Бумага полуглянец акрил")</f>
        <v>Бумага полуглянец акрил</v>
      </c>
      <c r="N240" s="338" t="str">
        <f>IFERROR(__xludf.DUMMYFUNCTION("""COMPUTED_VALUE"""),"Отгружен")</f>
        <v>Отгружен</v>
      </c>
      <c r="O240" s="537"/>
      <c r="P240" s="338" t="str">
        <f>IFERROR(__xludf.DUMMYFUNCTION("""COMPUTED_VALUE"""),"обязательна маркировка и роликов и коробок")</f>
        <v>обязательна маркировка и роликов и коробок</v>
      </c>
      <c r="Q240" s="338"/>
      <c r="R240" s="338"/>
      <c r="S240" s="338"/>
      <c r="T240" s="338"/>
      <c r="U240" s="338"/>
      <c r="V240" s="338"/>
      <c r="W240" s="338"/>
      <c r="X240" s="338"/>
      <c r="Y240" s="338"/>
      <c r="Z240" s="338"/>
    </row>
    <row r="241" ht="22.5" customHeight="1">
      <c r="A241" s="528" t="str">
        <f>IFERROR(__xludf.DUMMYFUNCTION("""COMPUTED_VALUE"""),"     
ООО""ФерЭльГам""")</f>
        <v>     
ООО"ФерЭльГам"</v>
      </c>
      <c r="B241" s="528"/>
      <c r="C241" s="528" t="str">
        <f>IFERROR(__xludf.DUMMYFUNCTION("""COMPUTED_VALUE"""),"470810 Капуста квашеная с морковью 500 г (Global village). Этик .")</f>
        <v>470810 Капуста квашеная с морковью 500 г (Global village). Этик .</v>
      </c>
      <c r="D241" s="528">
        <f>IFERROR(__xludf.DUMMYFUNCTION("""COMPUTED_VALUE"""),2221.0)</f>
        <v>2221</v>
      </c>
      <c r="E241" s="528" t="str">
        <f>IFERROR(__xludf.DUMMYFUNCTION("""COMPUTED_VALUE"""),"Баранов Александр")</f>
        <v>Баранов Александр</v>
      </c>
      <c r="F241" s="535" t="str">
        <f>IFERROR(__xludf.DUMMYFUNCTION("""COMPUTED_VALUE"""),"Новая")</f>
        <v>Новая</v>
      </c>
      <c r="G241" s="536" t="str">
        <f>IFERROR(__xludf.DUMMYFUNCTION("""COMPUTED_VALUE"""),"д99")</f>
        <v>д99</v>
      </c>
      <c r="H241" s="338" t="str">
        <f>IFERROR(__xludf.DUMMYFUNCTION("""COMPUTED_VALUE"""),"Флексопечать")</f>
        <v>Флексопечать</v>
      </c>
      <c r="I241" s="338" t="str">
        <f>IFERROR(__xludf.DUMMYFUNCTION("""COMPUTED_VALUE"""),"Wg-450")</f>
        <v>Wg-450</v>
      </c>
      <c r="J241" s="536">
        <f>IFERROR(__xludf.DUMMYFUNCTION("""COMPUTED_VALUE"""),150000.0)</f>
        <v>150000</v>
      </c>
      <c r="K241" s="537">
        <f>IFERROR(__xludf.DUMMYFUNCTION("""COMPUTED_VALUE"""),46149.0)</f>
        <v>46149</v>
      </c>
      <c r="L241" s="537"/>
      <c r="M241" s="338" t="str">
        <f>IFERROR(__xludf.DUMMYFUNCTION("""COMPUTED_VALUE"""),"Пленка PP белая каучук")</f>
        <v>Пленка PP белая каучук</v>
      </c>
      <c r="N241" s="338" t="str">
        <f>IFERROR(__xludf.DUMMYFUNCTION("""COMPUTED_VALUE"""),"Отгружен")</f>
        <v>Отгружен</v>
      </c>
      <c r="O241" s="537"/>
      <c r="P241" s="338"/>
      <c r="Q241" s="338"/>
      <c r="R241" s="338"/>
      <c r="S241" s="338"/>
      <c r="T241" s="338"/>
      <c r="U241" s="338"/>
      <c r="V241" s="338"/>
      <c r="W241" s="338"/>
      <c r="X241" s="338"/>
      <c r="Y241" s="338"/>
      <c r="Z241" s="338"/>
    </row>
    <row r="242" ht="22.5" customHeight="1">
      <c r="A242" s="528" t="str">
        <f>IFERROR(__xludf.DUMMYFUNCTION("""COMPUTED_VALUE"""),"     
ООО""ФерЭльГам""")</f>
        <v>     
ООО"ФерЭльГам"</v>
      </c>
      <c r="B242" s="528"/>
      <c r="C242" s="528" t="str">
        <f>IFERROR(__xludf.DUMMYFUNCTION("""COMPUTED_VALUE"""),"470235 Капуста квашеная с морковью 150 г ГОСТ этик.")</f>
        <v>470235 Капуста квашеная с морковью 150 г ГОСТ этик.</v>
      </c>
      <c r="D242" s="528">
        <f>IFERROR(__xludf.DUMMYFUNCTION("""COMPUTED_VALUE"""),2225.0)</f>
        <v>2225</v>
      </c>
      <c r="E242" s="528" t="str">
        <f>IFERROR(__xludf.DUMMYFUNCTION("""COMPUTED_VALUE"""),"Баранов Александр")</f>
        <v>Баранов Александр</v>
      </c>
      <c r="F242" s="535" t="str">
        <f>IFERROR(__xludf.DUMMYFUNCTION("""COMPUTED_VALUE"""),"Новая")</f>
        <v>Новая</v>
      </c>
      <c r="G242" s="536" t="str">
        <f>IFERROR(__xludf.DUMMYFUNCTION("""COMPUTED_VALUE"""),"д110")</f>
        <v>д110</v>
      </c>
      <c r="H242" s="338" t="str">
        <f>IFERROR(__xludf.DUMMYFUNCTION("""COMPUTED_VALUE"""),"Флексопечать")</f>
        <v>Флексопечать</v>
      </c>
      <c r="I242" s="338" t="str">
        <f>IFERROR(__xludf.DUMMYFUNCTION("""COMPUTED_VALUE"""),"Wg-450")</f>
        <v>Wg-450</v>
      </c>
      <c r="J242" s="536">
        <f>IFERROR(__xludf.DUMMYFUNCTION("""COMPUTED_VALUE"""),10000.0)</f>
        <v>10000</v>
      </c>
      <c r="K242" s="537">
        <f>IFERROR(__xludf.DUMMYFUNCTION("""COMPUTED_VALUE"""),46148.0)</f>
        <v>46148</v>
      </c>
      <c r="L242" s="537"/>
      <c r="M242" s="338" t="str">
        <f>IFERROR(__xludf.DUMMYFUNCTION("""COMPUTED_VALUE"""),"Пленка PP белая каучук")</f>
        <v>Пленка PP белая каучук</v>
      </c>
      <c r="N242" s="338" t="str">
        <f>IFERROR(__xludf.DUMMYFUNCTION("""COMPUTED_VALUE"""),"Отгружен")</f>
        <v>Отгружен</v>
      </c>
      <c r="O242" s="537"/>
      <c r="P242" s="338" t="str">
        <f>IFERROR(__xludf.DUMMYFUNCTION("""COMPUTED_VALUE"""),"СОГЛАСОВАН / ЗАКАЗАТЬ ФОРМЫ")</f>
        <v>СОГЛАСОВАН / ЗАКАЗАТЬ ФОРМЫ</v>
      </c>
      <c r="Q242" s="338"/>
      <c r="R242" s="338"/>
      <c r="S242" s="338"/>
      <c r="T242" s="338"/>
      <c r="U242" s="338"/>
      <c r="V242" s="338"/>
      <c r="W242" s="338"/>
      <c r="X242" s="338"/>
      <c r="Y242" s="338"/>
      <c r="Z242" s="338"/>
    </row>
    <row r="243" ht="22.5" customHeight="1">
      <c r="A243" s="528" t="str">
        <f>IFERROR(__xludf.DUMMYFUNCTION("""COMPUTED_VALUE"""),"     
ООО""ФерЭльГам""")</f>
        <v>     
ООО"ФерЭльГам"</v>
      </c>
      <c r="B243" s="528"/>
      <c r="C243" s="528" t="str">
        <f>IFERROR(__xludf.DUMMYFUNCTION("""COMPUTED_VALUE"""),"470026 Ассорти Черри и корнишоны 500 г этик.")</f>
        <v>470026 Ассорти Черри и корнишоны 500 г этик.</v>
      </c>
      <c r="D243" s="528">
        <f>IFERROR(__xludf.DUMMYFUNCTION("""COMPUTED_VALUE"""),2226.0)</f>
        <v>2226</v>
      </c>
      <c r="E243" s="528" t="str">
        <f>IFERROR(__xludf.DUMMYFUNCTION("""COMPUTED_VALUE"""),"Баранов Александр")</f>
        <v>Баранов Александр</v>
      </c>
      <c r="F243" s="535" t="str">
        <f>IFERROR(__xludf.DUMMYFUNCTION("""COMPUTED_VALUE"""),"Новая")</f>
        <v>Новая</v>
      </c>
      <c r="G243" s="536" t="str">
        <f>IFERROR(__xludf.DUMMYFUNCTION("""COMPUTED_VALUE"""),"д110")</f>
        <v>д110</v>
      </c>
      <c r="H243" s="338" t="str">
        <f>IFERROR(__xludf.DUMMYFUNCTION("""COMPUTED_VALUE"""),"Флексопечать")</f>
        <v>Флексопечать</v>
      </c>
      <c r="I243" s="338" t="str">
        <f>IFERROR(__xludf.DUMMYFUNCTION("""COMPUTED_VALUE"""),"Wg-450")</f>
        <v>Wg-450</v>
      </c>
      <c r="J243" s="536">
        <f>IFERROR(__xludf.DUMMYFUNCTION("""COMPUTED_VALUE"""),10000.0)</f>
        <v>10000</v>
      </c>
      <c r="K243" s="537">
        <f>IFERROR(__xludf.DUMMYFUNCTION("""COMPUTED_VALUE"""),46148.0)</f>
        <v>46148</v>
      </c>
      <c r="L243" s="537"/>
      <c r="M243" s="338" t="str">
        <f>IFERROR(__xludf.DUMMYFUNCTION("""COMPUTED_VALUE"""),"Пленка PP белая каучук")</f>
        <v>Пленка PP белая каучук</v>
      </c>
      <c r="N243" s="338" t="str">
        <f>IFERROR(__xludf.DUMMYFUNCTION("""COMPUTED_VALUE"""),"Отгружен")</f>
        <v>Отгружен</v>
      </c>
      <c r="O243" s="537"/>
      <c r="P243" s="338" t="str">
        <f>IFERROR(__xludf.DUMMYFUNCTION("""COMPUTED_VALUE"""),"СОГЛАСОВАН / ЗАКАЗАТЬ ФОРМЫ")</f>
        <v>СОГЛАСОВАН / ЗАКАЗАТЬ ФОРМЫ</v>
      </c>
      <c r="Q243" s="338"/>
      <c r="R243" s="338"/>
      <c r="S243" s="338"/>
      <c r="T243" s="338"/>
      <c r="U243" s="338"/>
      <c r="V243" s="338"/>
      <c r="W243" s="338"/>
      <c r="X243" s="338"/>
      <c r="Y243" s="338"/>
      <c r="Z243" s="338"/>
    </row>
    <row r="244" ht="22.5" customHeight="1">
      <c r="A244" s="528" t="str">
        <f>IFERROR(__xludf.DUMMYFUNCTION("""COMPUTED_VALUE"""),"ООО ""Сарая СНГ""")</f>
        <v>ООО "Сарая СНГ"</v>
      </c>
      <c r="B244" s="528"/>
      <c r="C244" s="528" t="str">
        <f>IFERROR(__xludf.DUMMYFUNCTION("""COMPUTED_VALUE"""),"Этикетка Алсофт Плюс 500мл.(комлект)")</f>
        <v>Этикетка Алсофт Плюс 500мл.(комлект)</v>
      </c>
      <c r="D244" s="528">
        <f>IFERROR(__xludf.DUMMYFUNCTION("""COMPUTED_VALUE"""),2222.0)</f>
        <v>2222</v>
      </c>
      <c r="E244" s="528" t="str">
        <f>IFERROR(__xludf.DUMMYFUNCTION("""COMPUTED_VALUE"""),"Баранов Александр")</f>
        <v>Баранов Александр</v>
      </c>
      <c r="F244" s="535" t="str">
        <f>IFERROR(__xludf.DUMMYFUNCTION("""COMPUTED_VALUE"""),"Новая")</f>
        <v>Новая</v>
      </c>
      <c r="G244" s="536" t="str">
        <f>IFERROR(__xludf.DUMMYFUNCTION("""COMPUTED_VALUE"""),"81*73")</f>
        <v>81*73</v>
      </c>
      <c r="H244" s="338" t="str">
        <f>IFERROR(__xludf.DUMMYFUNCTION("""COMPUTED_VALUE"""),"Флексопечать")</f>
        <v>Флексопечать</v>
      </c>
      <c r="I244" s="338" t="str">
        <f>IFERROR(__xludf.DUMMYFUNCTION("""COMPUTED_VALUE"""),"Wg-450")</f>
        <v>Wg-450</v>
      </c>
      <c r="J244" s="536">
        <f>IFERROR(__xludf.DUMMYFUNCTION("""COMPUTED_VALUE"""),30000.0)</f>
        <v>30000</v>
      </c>
      <c r="K244" s="537">
        <f>IFERROR(__xludf.DUMMYFUNCTION("""COMPUTED_VALUE"""),46149.0)</f>
        <v>46149</v>
      </c>
      <c r="L244" s="537"/>
      <c r="M244" s="338" t="str">
        <f>IFERROR(__xludf.DUMMYFUNCTION("""COMPUTED_VALUE"""),"Пленка PP белая каучук")</f>
        <v>Пленка PP белая каучук</v>
      </c>
      <c r="N244" s="338" t="str">
        <f>IFERROR(__xludf.DUMMYFUNCTION("""COMPUTED_VALUE"""),"Отгружен")</f>
        <v>Отгружен</v>
      </c>
      <c r="O244" s="537"/>
      <c r="P244" s="338"/>
      <c r="Q244" s="338"/>
      <c r="R244" s="338"/>
      <c r="S244" s="338"/>
      <c r="T244" s="338"/>
      <c r="U244" s="338"/>
      <c r="V244" s="338"/>
      <c r="W244" s="338"/>
      <c r="X244" s="338"/>
      <c r="Y244" s="338"/>
      <c r="Z244" s="338"/>
    </row>
    <row r="245" ht="22.5" customHeight="1">
      <c r="A245" s="528" t="str">
        <f>IFERROR(__xludf.DUMMYFUNCTION("""COMPUTED_VALUE"""),"RePart")</f>
        <v>RePart</v>
      </c>
      <c r="B245" s="528"/>
      <c r="C245" s="528" t="str">
        <f>IFERROR(__xludf.DUMMYFUNCTION("""COMPUTED_VALUE"""),"Лого")</f>
        <v>Лого</v>
      </c>
      <c r="D245" s="528">
        <f>IFERROR(__xludf.DUMMYFUNCTION("""COMPUTED_VALUE"""),2234.0)</f>
        <v>2234</v>
      </c>
      <c r="E245" s="528" t="str">
        <f>IFERROR(__xludf.DUMMYFUNCTION("""COMPUTED_VALUE"""),"Татьяна Денисова")</f>
        <v>Татьяна Денисова</v>
      </c>
      <c r="F245" s="535" t="str">
        <f>IFERROR(__xludf.DUMMYFUNCTION("""COMPUTED_VALUE"""),"Повтор")</f>
        <v>Повтор</v>
      </c>
      <c r="G245" s="536" t="str">
        <f>IFERROR(__xludf.DUMMYFUNCTION("""COMPUTED_VALUE"""),"58*40")</f>
        <v>58*40</v>
      </c>
      <c r="H245" s="338" t="str">
        <f>IFERROR(__xludf.DUMMYFUNCTION("""COMPUTED_VALUE"""),"Флексопечать")</f>
        <v>Флексопечать</v>
      </c>
      <c r="I245" s="338" t="str">
        <f>IFERROR(__xludf.DUMMYFUNCTION("""COMPUTED_VALUE"""),"G-200")</f>
        <v>G-200</v>
      </c>
      <c r="J245" s="536">
        <f>IFERROR(__xludf.DUMMYFUNCTION("""COMPUTED_VALUE"""),20000.0)</f>
        <v>20000</v>
      </c>
      <c r="K245" s="537">
        <f>IFERROR(__xludf.DUMMYFUNCTION("""COMPUTED_VALUE"""),46154.0)</f>
        <v>46154</v>
      </c>
      <c r="L245" s="537"/>
      <c r="M245" s="338" t="str">
        <f>IFERROR(__xludf.DUMMYFUNCTION("""COMPUTED_VALUE"""),"Бумага полуглянец акрил")</f>
        <v>Бумага полуглянец акрил</v>
      </c>
      <c r="N245" s="338" t="str">
        <f>IFERROR(__xludf.DUMMYFUNCTION("""COMPUTED_VALUE"""),"Отгружен")</f>
        <v>Отгружен</v>
      </c>
      <c r="O245" s="537"/>
      <c r="P245" s="338" t="str">
        <f>IFERROR(__xludf.DUMMYFUNCTION("""COMPUTED_VALUE"""),"Желательно цвет подогнать примерно к позарошлому запуску на цифре по смук")</f>
        <v>Желательно цвет подогнать примерно к позарошлому запуску на цифре по смук</v>
      </c>
      <c r="Q245" s="338" t="str">
        <f>IFERROR(__xludf.DUMMYFUNCTION("""COMPUTED_VALUE"""),"Автомобильный проезд 10с14, 89250465031 Эдуард (схема проезда в почте) ")</f>
        <v>Автомобильный проезд 10с14, 89250465031 Эдуард (схема проезда в почте) </v>
      </c>
      <c r="R245" s="338"/>
      <c r="S245" s="338"/>
      <c r="T245" s="338"/>
      <c r="U245" s="338"/>
      <c r="V245" s="338"/>
      <c r="W245" s="338"/>
      <c r="X245" s="338"/>
      <c r="Y245" s="338"/>
      <c r="Z245" s="338"/>
    </row>
    <row r="246" ht="22.5" customHeight="1">
      <c r="A246" s="528" t="str">
        <f>IFERROR(__xludf.DUMMYFUNCTION("""COMPUTED_VALUE"""),"     
ООО""ФерЭльГам""")</f>
        <v>     
ООО"ФерЭльГам"</v>
      </c>
      <c r="B246" s="528"/>
      <c r="C246" s="528" t="str">
        <f>IFERROR(__xludf.DUMMYFUNCTION("""COMPUTED_VALUE"""),"470224 Капуста с клюквой 500 г (Глобус) Бок этик.")</f>
        <v>470224 Капуста с клюквой 500 г (Глобус) Бок этик.</v>
      </c>
      <c r="D246" s="528">
        <f>IFERROR(__xludf.DUMMYFUNCTION("""COMPUTED_VALUE"""),2240.0)</f>
        <v>2240</v>
      </c>
      <c r="E246" s="528" t="str">
        <f>IFERROR(__xludf.DUMMYFUNCTION("""COMPUTED_VALUE"""),"Баранов Александр")</f>
        <v>Баранов Александр</v>
      </c>
      <c r="F246" s="535" t="str">
        <f>IFERROR(__xludf.DUMMYFUNCTION("""COMPUTED_VALUE"""),"Новая")</f>
        <v>Новая</v>
      </c>
      <c r="G246" s="536" t="str">
        <f>IFERROR(__xludf.DUMMYFUNCTION("""COMPUTED_VALUE"""),"60*110")</f>
        <v>60*110</v>
      </c>
      <c r="H246" s="338" t="str">
        <f>IFERROR(__xludf.DUMMYFUNCTION("""COMPUTED_VALUE"""),"Флексопечать")</f>
        <v>Флексопечать</v>
      </c>
      <c r="I246" s="338" t="str">
        <f>IFERROR(__xludf.DUMMYFUNCTION("""COMPUTED_VALUE"""),"Wg-450")</f>
        <v>Wg-450</v>
      </c>
      <c r="J246" s="536">
        <f>IFERROR(__xludf.DUMMYFUNCTION("""COMPUTED_VALUE"""),20000.0)</f>
        <v>20000</v>
      </c>
      <c r="K246" s="537">
        <f>IFERROR(__xludf.DUMMYFUNCTION("""COMPUTED_VALUE"""),46149.0)</f>
        <v>46149</v>
      </c>
      <c r="L246" s="537"/>
      <c r="M246" s="338" t="str">
        <f>IFERROR(__xludf.DUMMYFUNCTION("""COMPUTED_VALUE"""),"Пленка PP белая каучук")</f>
        <v>Пленка PP белая каучук</v>
      </c>
      <c r="N246" s="338" t="str">
        <f>IFERROR(__xludf.DUMMYFUNCTION("""COMPUTED_VALUE"""),"Отгружен")</f>
        <v>Отгружен</v>
      </c>
      <c r="O246" s="537"/>
      <c r="P246" s="338"/>
      <c r="Q246" s="338"/>
      <c r="R246" s="338"/>
      <c r="S246" s="338"/>
      <c r="T246" s="338"/>
      <c r="U246" s="338"/>
      <c r="V246" s="338"/>
      <c r="W246" s="338"/>
      <c r="X246" s="338"/>
      <c r="Y246" s="338"/>
      <c r="Z246" s="338"/>
    </row>
    <row r="247" ht="22.5" customHeight="1">
      <c r="A247" s="528" t="str">
        <f>IFERROR(__xludf.DUMMYFUNCTION("""COMPUTED_VALUE"""),"     
ООО""ФерЭльГам""")</f>
        <v>     
ООО"ФерЭльГам"</v>
      </c>
      <c r="B247" s="528"/>
      <c r="C247" s="528" t="str">
        <f>IFERROR(__xludf.DUMMYFUNCTION("""COMPUTED_VALUE"""),"470829 Огурцы корнишоны соленые 500 г (Green vitamin) этик.")</f>
        <v>470829 Огурцы корнишоны соленые 500 г (Green vitamin) этик.</v>
      </c>
      <c r="D247" s="528">
        <f>IFERROR(__xludf.DUMMYFUNCTION("""COMPUTED_VALUE"""),2241.0)</f>
        <v>2241</v>
      </c>
      <c r="E247" s="528" t="str">
        <f>IFERROR(__xludf.DUMMYFUNCTION("""COMPUTED_VALUE"""),"Баранов Александр")</f>
        <v>Баранов Александр</v>
      </c>
      <c r="F247" s="535" t="str">
        <f>IFERROR(__xludf.DUMMYFUNCTION("""COMPUTED_VALUE"""),"Новая")</f>
        <v>Новая</v>
      </c>
      <c r="G247" s="536" t="str">
        <f>IFERROR(__xludf.DUMMYFUNCTION("""COMPUTED_VALUE"""),"д110")</f>
        <v>д110</v>
      </c>
      <c r="H247" s="338" t="str">
        <f>IFERROR(__xludf.DUMMYFUNCTION("""COMPUTED_VALUE"""),"Флексопечать")</f>
        <v>Флексопечать</v>
      </c>
      <c r="I247" s="338" t="str">
        <f>IFERROR(__xludf.DUMMYFUNCTION("""COMPUTED_VALUE"""),"Wg-450")</f>
        <v>Wg-450</v>
      </c>
      <c r="J247" s="536">
        <f>IFERROR(__xludf.DUMMYFUNCTION("""COMPUTED_VALUE"""),20000.0)</f>
        <v>20000</v>
      </c>
      <c r="K247" s="537">
        <f>IFERROR(__xludf.DUMMYFUNCTION("""COMPUTED_VALUE"""),46149.0)</f>
        <v>46149</v>
      </c>
      <c r="L247" s="537"/>
      <c r="M247" s="338" t="str">
        <f>IFERROR(__xludf.DUMMYFUNCTION("""COMPUTED_VALUE"""),"Пленка PP белая каучук")</f>
        <v>Пленка PP белая каучук</v>
      </c>
      <c r="N247" s="338" t="str">
        <f>IFERROR(__xludf.DUMMYFUNCTION("""COMPUTED_VALUE"""),"Отгружен")</f>
        <v>Отгружен</v>
      </c>
      <c r="O247" s="537"/>
      <c r="P247" s="338"/>
      <c r="Q247" s="338"/>
      <c r="R247" s="338"/>
      <c r="S247" s="338"/>
      <c r="T247" s="338"/>
      <c r="U247" s="338"/>
      <c r="V247" s="338"/>
      <c r="W247" s="338"/>
      <c r="X247" s="338"/>
      <c r="Y247" s="338"/>
      <c r="Z247" s="338"/>
    </row>
    <row r="248" ht="22.5" customHeight="1">
      <c r="A248" s="528" t="str">
        <f>IFERROR(__xludf.DUMMYFUNCTION("""COMPUTED_VALUE"""),"ООО ""ЛК Люкс"" (Элка)")</f>
        <v>ООО "ЛК Люкс" (Элка)</v>
      </c>
      <c r="B248" s="528"/>
      <c r="C248" s="528" t="str">
        <f>IFERROR(__xludf.DUMMYFUNCTION("""COMPUTED_VALUE"""),"Заказ по СТМ РОСТТЕРМ (7 видов)")</f>
        <v>Заказ по СТМ РОСТТЕРМ (7 видов)</v>
      </c>
      <c r="D248" s="528">
        <f>IFERROR(__xludf.DUMMYFUNCTION("""COMPUTED_VALUE"""),2251.0)</f>
        <v>2251</v>
      </c>
      <c r="E248" s="528" t="str">
        <f>IFERROR(__xludf.DUMMYFUNCTION("""COMPUTED_VALUE"""),"Баранов Александр")</f>
        <v>Баранов Александр</v>
      </c>
      <c r="F248" s="535" t="str">
        <f>IFERROR(__xludf.DUMMYFUNCTION("""COMPUTED_VALUE"""),"Повтор")</f>
        <v>Повтор</v>
      </c>
      <c r="G248" s="536" t="str">
        <f>IFERROR(__xludf.DUMMYFUNCTION("""COMPUTED_VALUE"""),"76*126")</f>
        <v>76*126</v>
      </c>
      <c r="H248" s="338" t="str">
        <f>IFERROR(__xludf.DUMMYFUNCTION("""COMPUTED_VALUE"""),"Цифра+Лазер")</f>
        <v>Цифра+Лазер</v>
      </c>
      <c r="I248" s="338" t="str">
        <f>IFERROR(__xludf.DUMMYFUNCTION("""COMPUTED_VALUE"""),"LS(ЦПМ)")</f>
        <v>LS(ЦПМ)</v>
      </c>
      <c r="J248" s="536">
        <f>IFERROR(__xludf.DUMMYFUNCTION("""COMPUTED_VALUE"""),14500.0)</f>
        <v>14500</v>
      </c>
      <c r="K248" s="537">
        <f>IFERROR(__xludf.DUMMYFUNCTION("""COMPUTED_VALUE"""),46154.0)</f>
        <v>46154</v>
      </c>
      <c r="L248" s="537" t="str">
        <f>IFERROR(__xludf.DUMMYFUNCTION("""COMPUTED_VALUE"""),"Отгружен")</f>
        <v>Отгружен</v>
      </c>
      <c r="M248" s="338" t="str">
        <f>IFERROR(__xludf.DUMMYFUNCTION("""COMPUTED_VALUE"""),"Бумага полуглянец акрил")</f>
        <v>Бумага полуглянец акрил</v>
      </c>
      <c r="N248" s="338" t="str">
        <f>IFERROR(__xludf.DUMMYFUNCTION("""COMPUTED_VALUE"""),"Отгружен")</f>
        <v>Отгружен</v>
      </c>
      <c r="O248" s="537"/>
      <c r="P248" s="338"/>
      <c r="Q248" s="338"/>
      <c r="R248" s="338"/>
      <c r="S248" s="338"/>
      <c r="T248" s="338"/>
      <c r="U248" s="338"/>
      <c r="V248" s="338"/>
      <c r="W248" s="338"/>
      <c r="X248" s="338"/>
      <c r="Y248" s="338"/>
      <c r="Z248" s="338"/>
    </row>
    <row r="249" ht="22.5" customHeight="1">
      <c r="A249" s="528" t="str">
        <f>IFERROR(__xludf.DUMMYFUNCTION("""COMPUTED_VALUE"""),"ООО ""МЯСОКОМБИНАТ ЭКО"" ( Бахрушино)")</f>
        <v>ООО "МЯСОКОМБИНАТ ЭКО" ( Бахрушино)</v>
      </c>
      <c r="B249" s="528"/>
      <c r="C249" s="528" t="str">
        <f>IFERROR(__xludf.DUMMYFUNCTION("""COMPUTED_VALUE"""),"Бахрушинъ Колбаса Московская Варено-копченая ")</f>
        <v>Бахрушинъ Колбаса Московская Варено-копченая </v>
      </c>
      <c r="D249" s="528">
        <f>IFERROR(__xludf.DUMMYFUNCTION("""COMPUTED_VALUE"""),2252.0)</f>
        <v>2252</v>
      </c>
      <c r="E249" s="528" t="str">
        <f>IFERROR(__xludf.DUMMYFUNCTION("""COMPUTED_VALUE"""),"Баранов Александр")</f>
        <v>Баранов Александр</v>
      </c>
      <c r="F249" s="535" t="str">
        <f>IFERROR(__xludf.DUMMYFUNCTION("""COMPUTED_VALUE"""),"ТЕСТ")</f>
        <v>ТЕСТ</v>
      </c>
      <c r="G249" s="536" t="str">
        <f>IFERROR(__xludf.DUMMYFUNCTION("""COMPUTED_VALUE"""),"55*75")</f>
        <v>55*75</v>
      </c>
      <c r="H249" s="338" t="str">
        <f>IFERROR(__xludf.DUMMYFUNCTION("""COMPUTED_VALUE"""),"Флексопечать")</f>
        <v>Флексопечать</v>
      </c>
      <c r="I249" s="338" t="str">
        <f>IFERROR(__xludf.DUMMYFUNCTION("""COMPUTED_VALUE"""),"Wg-450")</f>
        <v>Wg-450</v>
      </c>
      <c r="J249" s="536">
        <f>IFERROR(__xludf.DUMMYFUNCTION("""COMPUTED_VALUE"""),2500.0)</f>
        <v>2500</v>
      </c>
      <c r="K249" s="537">
        <f>IFERROR(__xludf.DUMMYFUNCTION("""COMPUTED_VALUE"""),46155.0)</f>
        <v>46155</v>
      </c>
      <c r="L249" s="537"/>
      <c r="M249" s="338" t="str">
        <f>IFERROR(__xludf.DUMMYFUNCTION("""COMPUTED_VALUE"""),"Пленка PP белая каучук")</f>
        <v>Пленка PP белая каучук</v>
      </c>
      <c r="N249" s="338" t="str">
        <f>IFERROR(__xludf.DUMMYFUNCTION("""COMPUTED_VALUE"""),"Отгружен")</f>
        <v>Отгружен</v>
      </c>
      <c r="O249" s="537"/>
      <c r="P249" s="338"/>
      <c r="Q249" s="338"/>
      <c r="R249" s="338"/>
      <c r="S249" s="338"/>
      <c r="T249" s="338"/>
      <c r="U249" s="338"/>
      <c r="V249" s="338"/>
      <c r="W249" s="338"/>
      <c r="X249" s="338"/>
      <c r="Y249" s="338"/>
      <c r="Z249" s="338"/>
    </row>
    <row r="250" ht="22.5" customHeight="1">
      <c r="A250" s="528" t="str">
        <f>IFERROR(__xludf.DUMMYFUNCTION("""COMPUTED_VALUE"""),"ООО ""МЯСОКОМБИНАТ ЭКО"" ( Бахрушино)")</f>
        <v>ООО "МЯСОКОМБИНАТ ЭКО" ( Бахрушино)</v>
      </c>
      <c r="B250" s="528"/>
      <c r="C250" s="528" t="str">
        <f>IFERROR(__xludf.DUMMYFUNCTION("""COMPUTED_VALUE"""),"Бахрушинъ Сардельки с говядиной мини")</f>
        <v>Бахрушинъ Сардельки с говядиной мини</v>
      </c>
      <c r="D250" s="528">
        <f>IFERROR(__xludf.DUMMYFUNCTION("""COMPUTED_VALUE"""),2253.0)</f>
        <v>2253</v>
      </c>
      <c r="E250" s="528" t="str">
        <f>IFERROR(__xludf.DUMMYFUNCTION("""COMPUTED_VALUE"""),"Баранов Александр")</f>
        <v>Баранов Александр</v>
      </c>
      <c r="F250" s="535" t="str">
        <f>IFERROR(__xludf.DUMMYFUNCTION("""COMPUTED_VALUE"""),"ТЕСТ")</f>
        <v>ТЕСТ</v>
      </c>
      <c r="G250" s="536" t="str">
        <f>IFERROR(__xludf.DUMMYFUNCTION("""COMPUTED_VALUE"""),"80*120")</f>
        <v>80*120</v>
      </c>
      <c r="H250" s="338" t="str">
        <f>IFERROR(__xludf.DUMMYFUNCTION("""COMPUTED_VALUE"""),"Флексопечать")</f>
        <v>Флексопечать</v>
      </c>
      <c r="I250" s="338" t="str">
        <f>IFERROR(__xludf.DUMMYFUNCTION("""COMPUTED_VALUE"""),"Wg-450")</f>
        <v>Wg-450</v>
      </c>
      <c r="J250" s="536">
        <f>IFERROR(__xludf.DUMMYFUNCTION("""COMPUTED_VALUE"""),2500.0)</f>
        <v>2500</v>
      </c>
      <c r="K250" s="537">
        <f>IFERROR(__xludf.DUMMYFUNCTION("""COMPUTED_VALUE"""),46155.0)</f>
        <v>46155</v>
      </c>
      <c r="L250" s="537"/>
      <c r="M250" s="338" t="str">
        <f>IFERROR(__xludf.DUMMYFUNCTION("""COMPUTED_VALUE"""),"Пленка PP белая каучук")</f>
        <v>Пленка PP белая каучук</v>
      </c>
      <c r="N250" s="338" t="str">
        <f>IFERROR(__xludf.DUMMYFUNCTION("""COMPUTED_VALUE"""),"Отгружен")</f>
        <v>Отгружен</v>
      </c>
      <c r="O250" s="537"/>
      <c r="P250" s="338"/>
      <c r="Q250" s="338"/>
      <c r="R250" s="338"/>
      <c r="S250" s="338"/>
      <c r="T250" s="338"/>
      <c r="U250" s="338"/>
      <c r="V250" s="338"/>
      <c r="W250" s="338"/>
      <c r="X250" s="338"/>
      <c r="Y250" s="338"/>
      <c r="Z250" s="338"/>
    </row>
    <row r="251" ht="22.5" customHeight="1">
      <c r="A251" s="528" t="str">
        <f>IFERROR(__xludf.DUMMYFUNCTION("""COMPUTED_VALUE"""),"     
ООО""ФерЭльГам""")</f>
        <v>     
ООО"ФерЭльГам"</v>
      </c>
      <c r="B251" s="528"/>
      <c r="C251" s="528" t="str">
        <f>IFERROR(__xludf.DUMMYFUNCTION("""COMPUTED_VALUE"""),"470783 Капуста квашеная Фитнес 500г Дикси Этик.")</f>
        <v>470783 Капуста квашеная Фитнес 500г Дикси Этик.</v>
      </c>
      <c r="D251" s="528">
        <f>IFERROR(__xludf.DUMMYFUNCTION("""COMPUTED_VALUE"""),2284.0)</f>
        <v>2284</v>
      </c>
      <c r="E251" s="528" t="str">
        <f>IFERROR(__xludf.DUMMYFUNCTION("""COMPUTED_VALUE"""),"Баранов Александр")</f>
        <v>Баранов Александр</v>
      </c>
      <c r="F251" s="535" t="str">
        <f>IFERROR(__xludf.DUMMYFUNCTION("""COMPUTED_VALUE"""),"Новая")</f>
        <v>Новая</v>
      </c>
      <c r="G251" s="536" t="str">
        <f>IFERROR(__xludf.DUMMYFUNCTION("""COMPUTED_VALUE"""),"д110")</f>
        <v>д110</v>
      </c>
      <c r="H251" s="338" t="str">
        <f>IFERROR(__xludf.DUMMYFUNCTION("""COMPUTED_VALUE"""),"Флексопечать")</f>
        <v>Флексопечать</v>
      </c>
      <c r="I251" s="338" t="str">
        <f>IFERROR(__xludf.DUMMYFUNCTION("""COMPUTED_VALUE"""),"Wg-450")</f>
        <v>Wg-450</v>
      </c>
      <c r="J251" s="536">
        <f>IFERROR(__xludf.DUMMYFUNCTION("""COMPUTED_VALUE"""),40000.0)</f>
        <v>40000</v>
      </c>
      <c r="K251" s="537">
        <f>IFERROR(__xludf.DUMMYFUNCTION("""COMPUTED_VALUE"""),46149.0)</f>
        <v>46149</v>
      </c>
      <c r="L251" s="537"/>
      <c r="M251" s="338" t="str">
        <f>IFERROR(__xludf.DUMMYFUNCTION("""COMPUTED_VALUE"""),"Пленка PP белая каучук")</f>
        <v>Пленка PP белая каучук</v>
      </c>
      <c r="N251" s="338" t="str">
        <f>IFERROR(__xludf.DUMMYFUNCTION("""COMPUTED_VALUE"""),"Отгружен")</f>
        <v>Отгружен</v>
      </c>
      <c r="O251" s="537"/>
      <c r="P251" s="338"/>
      <c r="Q251" s="338"/>
      <c r="R251" s="338"/>
      <c r="S251" s="338"/>
      <c r="T251" s="338"/>
      <c r="U251" s="338"/>
      <c r="V251" s="338"/>
      <c r="W251" s="338"/>
      <c r="X251" s="338"/>
      <c r="Y251" s="338"/>
      <c r="Z251" s="338"/>
    </row>
    <row r="252" ht="22.5" customHeight="1">
      <c r="A252" s="528" t="str">
        <f>IFERROR(__xludf.DUMMYFUNCTION("""COMPUTED_VALUE"""),"     
ООО""ФерЭльГам""")</f>
        <v>     
ООО"ФерЭльГам"</v>
      </c>
      <c r="B252" s="528"/>
      <c r="C252" s="528" t="str">
        <f>IFERROR(__xludf.DUMMYFUNCTION("""COMPUTED_VALUE"""),"470234 Капуста квашеная с морковью и клюквой 800 г этик.")</f>
        <v>470234 Капуста квашеная с морковью и клюквой 800 г этик.</v>
      </c>
      <c r="D252" s="528">
        <f>IFERROR(__xludf.DUMMYFUNCTION("""COMPUTED_VALUE"""),2285.0)</f>
        <v>2285</v>
      </c>
      <c r="E252" s="528" t="str">
        <f>IFERROR(__xludf.DUMMYFUNCTION("""COMPUTED_VALUE"""),"Баранов Александр")</f>
        <v>Баранов Александр</v>
      </c>
      <c r="F252" s="535" t="str">
        <f>IFERROR(__xludf.DUMMYFUNCTION("""COMPUTED_VALUE"""),"Новая")</f>
        <v>Новая</v>
      </c>
      <c r="G252" s="536" t="str">
        <f>IFERROR(__xludf.DUMMYFUNCTION("""COMPUTED_VALUE"""),"д110")</f>
        <v>д110</v>
      </c>
      <c r="H252" s="338" t="str">
        <f>IFERROR(__xludf.DUMMYFUNCTION("""COMPUTED_VALUE"""),"Флексопечать")</f>
        <v>Флексопечать</v>
      </c>
      <c r="I252" s="338" t="str">
        <f>IFERROR(__xludf.DUMMYFUNCTION("""COMPUTED_VALUE"""),"Wg-450")</f>
        <v>Wg-450</v>
      </c>
      <c r="J252" s="536">
        <f>IFERROR(__xludf.DUMMYFUNCTION("""COMPUTED_VALUE"""),10000.0)</f>
        <v>10000</v>
      </c>
      <c r="K252" s="537">
        <f>IFERROR(__xludf.DUMMYFUNCTION("""COMPUTED_VALUE"""),46148.0)</f>
        <v>46148</v>
      </c>
      <c r="L252" s="537"/>
      <c r="M252" s="338" t="str">
        <f>IFERROR(__xludf.DUMMYFUNCTION("""COMPUTED_VALUE"""),"Пленка PP белая каучук")</f>
        <v>Пленка PP белая каучук</v>
      </c>
      <c r="N252" s="338" t="str">
        <f>IFERROR(__xludf.DUMMYFUNCTION("""COMPUTED_VALUE"""),"Отгружен")</f>
        <v>Отгружен</v>
      </c>
      <c r="O252" s="537"/>
      <c r="P252" s="338"/>
      <c r="Q252" s="338"/>
      <c r="R252" s="338"/>
      <c r="S252" s="338"/>
      <c r="T252" s="338"/>
      <c r="U252" s="338"/>
      <c r="V252" s="338"/>
      <c r="W252" s="338"/>
      <c r="X252" s="338"/>
      <c r="Y252" s="338"/>
      <c r="Z252" s="338"/>
    </row>
    <row r="253" ht="22.5" customHeight="1">
      <c r="A253" s="528" t="str">
        <f>IFERROR(__xludf.DUMMYFUNCTION("""COMPUTED_VALUE"""),"     
ООО""ФерЭльГам""")</f>
        <v>     
ООО"ФерЭльГам"</v>
      </c>
      <c r="B253" s="528"/>
      <c r="C253" s="528" t="str">
        <f>IFERROR(__xludf.DUMMYFUNCTION("""COMPUTED_VALUE"""),"470855 Огурцы соленые 600 г (Green vitamin) этик.")</f>
        <v>470855 Огурцы соленые 600 г (Green vitamin) этик.</v>
      </c>
      <c r="D253" s="528">
        <f>IFERROR(__xludf.DUMMYFUNCTION("""COMPUTED_VALUE"""),2286.0)</f>
        <v>2286</v>
      </c>
      <c r="E253" s="528" t="str">
        <f>IFERROR(__xludf.DUMMYFUNCTION("""COMPUTED_VALUE"""),"Баранов Александр")</f>
        <v>Баранов Александр</v>
      </c>
      <c r="F253" s="535" t="str">
        <f>IFERROR(__xludf.DUMMYFUNCTION("""COMPUTED_VALUE"""),"Новая")</f>
        <v>Новая</v>
      </c>
      <c r="G253" s="536" t="str">
        <f>IFERROR(__xludf.DUMMYFUNCTION("""COMPUTED_VALUE"""),"д110")</f>
        <v>д110</v>
      </c>
      <c r="H253" s="338" t="str">
        <f>IFERROR(__xludf.DUMMYFUNCTION("""COMPUTED_VALUE"""),"Флексопечать")</f>
        <v>Флексопечать</v>
      </c>
      <c r="I253" s="338" t="str">
        <f>IFERROR(__xludf.DUMMYFUNCTION("""COMPUTED_VALUE"""),"Wg-450")</f>
        <v>Wg-450</v>
      </c>
      <c r="J253" s="536">
        <f>IFERROR(__xludf.DUMMYFUNCTION("""COMPUTED_VALUE"""),30000.0)</f>
        <v>30000</v>
      </c>
      <c r="K253" s="537">
        <f>IFERROR(__xludf.DUMMYFUNCTION("""COMPUTED_VALUE"""),46149.0)</f>
        <v>46149</v>
      </c>
      <c r="L253" s="537"/>
      <c r="M253" s="338" t="str">
        <f>IFERROR(__xludf.DUMMYFUNCTION("""COMPUTED_VALUE"""),"Пленка PP белая каучук")</f>
        <v>Пленка PP белая каучук</v>
      </c>
      <c r="N253" s="338" t="str">
        <f>IFERROR(__xludf.DUMMYFUNCTION("""COMPUTED_VALUE"""),"Отгружен")</f>
        <v>Отгружен</v>
      </c>
      <c r="O253" s="537"/>
      <c r="P253" s="338"/>
      <c r="Q253" s="338"/>
      <c r="R253" s="338"/>
      <c r="S253" s="338"/>
      <c r="T253" s="338"/>
      <c r="U253" s="338"/>
      <c r="V253" s="338"/>
      <c r="W253" s="338"/>
      <c r="X253" s="338"/>
      <c r="Y253" s="338"/>
      <c r="Z253" s="338"/>
    </row>
    <row r="254" ht="22.5" customHeight="1">
      <c r="A254" s="528" t="str">
        <f>IFERROR(__xludf.DUMMYFUNCTION("""COMPUTED_VALUE"""),"     
ООО""ФерЭльГам""")</f>
        <v>     
ООО"ФерЭльГам"</v>
      </c>
      <c r="B254" s="528"/>
      <c r="C254" s="528" t="str">
        <f>IFERROR(__xludf.DUMMYFUNCTION("""COMPUTED_VALUE"""),"470009 Аджика по домашнему 240 г этик.")</f>
        <v>470009 Аджика по домашнему 240 г этик.</v>
      </c>
      <c r="D254" s="528">
        <f>IFERROR(__xludf.DUMMYFUNCTION("""COMPUTED_VALUE"""),2287.0)</f>
        <v>2287</v>
      </c>
      <c r="E254" s="528" t="str">
        <f>IFERROR(__xludf.DUMMYFUNCTION("""COMPUTED_VALUE"""),"Баранов Александр")</f>
        <v>Баранов Александр</v>
      </c>
      <c r="F254" s="535" t="str">
        <f>IFERROR(__xludf.DUMMYFUNCTION("""COMPUTED_VALUE"""),"Новая")</f>
        <v>Новая</v>
      </c>
      <c r="G254" s="536" t="str">
        <f>IFERROR(__xludf.DUMMYFUNCTION("""COMPUTED_VALUE"""),"60*160")</f>
        <v>60*160</v>
      </c>
      <c r="H254" s="338" t="str">
        <f>IFERROR(__xludf.DUMMYFUNCTION("""COMPUTED_VALUE"""),"Флексопечать")</f>
        <v>Флексопечать</v>
      </c>
      <c r="I254" s="338" t="str">
        <f>IFERROR(__xludf.DUMMYFUNCTION("""COMPUTED_VALUE"""),"Bg-330")</f>
        <v>Bg-330</v>
      </c>
      <c r="J254" s="536">
        <f>IFERROR(__xludf.DUMMYFUNCTION("""COMPUTED_VALUE"""),20000.0)</f>
        <v>20000</v>
      </c>
      <c r="K254" s="537">
        <f>IFERROR(__xludf.DUMMYFUNCTION("""COMPUTED_VALUE"""),46148.0)</f>
        <v>46148</v>
      </c>
      <c r="L254" s="537"/>
      <c r="M254" s="338" t="str">
        <f>IFERROR(__xludf.DUMMYFUNCTION("""COMPUTED_VALUE"""),"Пленка PP белая каучук")</f>
        <v>Пленка PP белая каучук</v>
      </c>
      <c r="N254" s="338" t="str">
        <f>IFERROR(__xludf.DUMMYFUNCTION("""COMPUTED_VALUE"""),"Отгружен")</f>
        <v>Отгружен</v>
      </c>
      <c r="O254" s="537"/>
      <c r="P254" s="338"/>
      <c r="Q254" s="338"/>
      <c r="R254" s="338"/>
      <c r="S254" s="338"/>
      <c r="T254" s="338"/>
      <c r="U254" s="338"/>
      <c r="V254" s="338"/>
      <c r="W254" s="338"/>
      <c r="X254" s="338"/>
      <c r="Y254" s="338"/>
      <c r="Z254" s="338"/>
    </row>
    <row r="255" ht="22.5" customHeight="1">
      <c r="A255" s="528" t="str">
        <f>IFERROR(__xludf.DUMMYFUNCTION("""COMPUTED_VALUE"""),"     
ООО""ФерЭльГам""")</f>
        <v>     
ООО"ФерЭльГам"</v>
      </c>
      <c r="B255" s="528" t="str">
        <f>IFERROR(__xludf.DUMMYFUNCTION("""COMPUTED_VALUE""")," ")</f>
        <v> </v>
      </c>
      <c r="C255" s="528" t="str">
        <f>IFERROR(__xludf.DUMMYFUNCTION("""COMPUTED_VALUE"""),"470804 Капуста квашеная с морковью 450 гр бок Ваш выбор Этик.")</f>
        <v>470804 Капуста квашеная с морковью 450 гр бок Ваш выбор Этик.</v>
      </c>
      <c r="D255" s="528">
        <f>IFERROR(__xludf.DUMMYFUNCTION("""COMPUTED_VALUE"""),2288.0)</f>
        <v>2288</v>
      </c>
      <c r="E255" s="528" t="str">
        <f>IFERROR(__xludf.DUMMYFUNCTION("""COMPUTED_VALUE"""),"Баранов Александр")</f>
        <v>Баранов Александр</v>
      </c>
      <c r="F255" s="535" t="str">
        <f>IFERROR(__xludf.DUMMYFUNCTION("""COMPUTED_VALUE"""),"Новая")</f>
        <v>Новая</v>
      </c>
      <c r="G255" s="536" t="str">
        <f>IFERROR(__xludf.DUMMYFUNCTION("""COMPUTED_VALUE"""),"38*110")</f>
        <v>38*110</v>
      </c>
      <c r="H255" s="338" t="str">
        <f>IFERROR(__xludf.DUMMYFUNCTION("""COMPUTED_VALUE"""),"Флексопечать")</f>
        <v>Флексопечать</v>
      </c>
      <c r="I255" s="338" t="str">
        <f>IFERROR(__xludf.DUMMYFUNCTION("""COMPUTED_VALUE"""),"Bg-330")</f>
        <v>Bg-330</v>
      </c>
      <c r="J255" s="536">
        <f>IFERROR(__xludf.DUMMYFUNCTION("""COMPUTED_VALUE"""),20000.0)</f>
        <v>20000</v>
      </c>
      <c r="K255" s="537">
        <f>IFERROR(__xludf.DUMMYFUNCTION("""COMPUTED_VALUE"""),46149.0)</f>
        <v>46149</v>
      </c>
      <c r="L255" s="537"/>
      <c r="M255" s="338" t="str">
        <f>IFERROR(__xludf.DUMMYFUNCTION("""COMPUTED_VALUE"""),"Пленка PP белая каучук")</f>
        <v>Пленка PP белая каучук</v>
      </c>
      <c r="N255" s="338" t="str">
        <f>IFERROR(__xludf.DUMMYFUNCTION("""COMPUTED_VALUE"""),"Отгружен")</f>
        <v>Отгружен</v>
      </c>
      <c r="O255" s="537"/>
      <c r="P255" s="338"/>
      <c r="Q255" s="338"/>
      <c r="R255" s="338"/>
      <c r="S255" s="338"/>
      <c r="T255" s="338"/>
      <c r="U255" s="338"/>
      <c r="V255" s="338"/>
      <c r="W255" s="338"/>
      <c r="X255" s="338"/>
      <c r="Y255" s="338"/>
      <c r="Z255" s="338"/>
    </row>
    <row r="256" ht="22.5" customHeight="1">
      <c r="A256" s="528" t="str">
        <f>IFERROR(__xludf.DUMMYFUNCTION("""COMPUTED_VALUE"""),"     
ООО""ФерЭльГам""")</f>
        <v>     
ООО"ФерЭльГам"</v>
      </c>
      <c r="B256" s="528"/>
      <c r="C256" s="528" t="str">
        <f>IFERROR(__xludf.DUMMYFUNCTION("""COMPUTED_VALUE"""),"470828 Имбирь маринованный 200 г ""Green Vitamin"" этик.")</f>
        <v>470828 Имбирь маринованный 200 г "Green Vitamin" этик.</v>
      </c>
      <c r="D256" s="528">
        <f>IFERROR(__xludf.DUMMYFUNCTION("""COMPUTED_VALUE"""),2289.0)</f>
        <v>2289</v>
      </c>
      <c r="E256" s="528" t="str">
        <f>IFERROR(__xludf.DUMMYFUNCTION("""COMPUTED_VALUE"""),"Баранов Александр")</f>
        <v>Баранов Александр</v>
      </c>
      <c r="F256" s="535" t="str">
        <f>IFERROR(__xludf.DUMMYFUNCTION("""COMPUTED_VALUE"""),"Новая")</f>
        <v>Новая</v>
      </c>
      <c r="G256" s="536" t="str">
        <f>IFERROR(__xludf.DUMMYFUNCTION("""COMPUTED_VALUE"""),"д80")</f>
        <v>д80</v>
      </c>
      <c r="H256" s="338" t="str">
        <f>IFERROR(__xludf.DUMMYFUNCTION("""COMPUTED_VALUE"""),"Флексопечать")</f>
        <v>Флексопечать</v>
      </c>
      <c r="I256" s="338" t="str">
        <f>IFERROR(__xludf.DUMMYFUNCTION("""COMPUTED_VALUE"""),"Wg-450")</f>
        <v>Wg-450</v>
      </c>
      <c r="J256" s="536">
        <f>IFERROR(__xludf.DUMMYFUNCTION("""COMPUTED_VALUE"""),10000.0)</f>
        <v>10000</v>
      </c>
      <c r="K256" s="537">
        <f>IFERROR(__xludf.DUMMYFUNCTION("""COMPUTED_VALUE"""),46149.0)</f>
        <v>46149</v>
      </c>
      <c r="L256" s="537"/>
      <c r="M256" s="338" t="str">
        <f>IFERROR(__xludf.DUMMYFUNCTION("""COMPUTED_VALUE"""),"Пленка PP белая каучук")</f>
        <v>Пленка PP белая каучук</v>
      </c>
      <c r="N256" s="338" t="str">
        <f>IFERROR(__xludf.DUMMYFUNCTION("""COMPUTED_VALUE"""),"Отгружен")</f>
        <v>Отгружен</v>
      </c>
      <c r="O256" s="537"/>
      <c r="P256" s="338"/>
      <c r="Q256" s="338"/>
      <c r="R256" s="338"/>
      <c r="S256" s="338"/>
      <c r="T256" s="338"/>
      <c r="U256" s="338"/>
      <c r="V256" s="338"/>
      <c r="W256" s="338"/>
      <c r="X256" s="338"/>
      <c r="Y256" s="338"/>
      <c r="Z256" s="338"/>
    </row>
    <row r="257" ht="22.5" customHeight="1">
      <c r="A257" s="528" t="str">
        <f>IFERROR(__xludf.DUMMYFUNCTION("""COMPUTED_VALUE"""),"     
ООО""ФерЭльГам""")</f>
        <v>     
ООО"ФерЭльГам"</v>
      </c>
      <c r="B257" s="528"/>
      <c r="C257" s="528" t="str">
        <f>IFERROR(__xludf.DUMMYFUNCTION("""COMPUTED_VALUE"""),"470775 Морс из черной смородины 400 гр. 65х180 этик.")</f>
        <v>470775 Морс из черной смородины 400 гр. 65х180 этик.</v>
      </c>
      <c r="D257" s="528">
        <f>IFERROR(__xludf.DUMMYFUNCTION("""COMPUTED_VALUE"""),2290.0)</f>
        <v>2290</v>
      </c>
      <c r="E257" s="528" t="str">
        <f>IFERROR(__xludf.DUMMYFUNCTION("""COMPUTED_VALUE"""),"Баранов Александр")</f>
        <v>Баранов Александр</v>
      </c>
      <c r="F257" s="535" t="str">
        <f>IFERROR(__xludf.DUMMYFUNCTION("""COMPUTED_VALUE"""),"Новая")</f>
        <v>Новая</v>
      </c>
      <c r="G257" s="536" t="str">
        <f>IFERROR(__xludf.DUMMYFUNCTION("""COMPUTED_VALUE"""),"65*180")</f>
        <v>65*180</v>
      </c>
      <c r="H257" s="338" t="str">
        <f>IFERROR(__xludf.DUMMYFUNCTION("""COMPUTED_VALUE"""),"Флексопечать")</f>
        <v>Флексопечать</v>
      </c>
      <c r="I257" s="338" t="str">
        <f>IFERROR(__xludf.DUMMYFUNCTION("""COMPUTED_VALUE"""),"Wg-450")</f>
        <v>Wg-450</v>
      </c>
      <c r="J257" s="536">
        <f>IFERROR(__xludf.DUMMYFUNCTION("""COMPUTED_VALUE"""),10000.0)</f>
        <v>10000</v>
      </c>
      <c r="K257" s="537">
        <f>IFERROR(__xludf.DUMMYFUNCTION("""COMPUTED_VALUE"""),46148.0)</f>
        <v>46148</v>
      </c>
      <c r="L257" s="537"/>
      <c r="M257" s="338" t="str">
        <f>IFERROR(__xludf.DUMMYFUNCTION("""COMPUTED_VALUE"""),"Пленка PP белая каучук")</f>
        <v>Пленка PP белая каучук</v>
      </c>
      <c r="N257" s="338" t="str">
        <f>IFERROR(__xludf.DUMMYFUNCTION("""COMPUTED_VALUE"""),"Отгружен")</f>
        <v>Отгружен</v>
      </c>
      <c r="O257" s="537"/>
      <c r="P257" s="338"/>
      <c r="Q257" s="338"/>
      <c r="R257" s="338"/>
      <c r="S257" s="338"/>
      <c r="T257" s="338"/>
      <c r="U257" s="338"/>
      <c r="V257" s="338"/>
      <c r="W257" s="338"/>
      <c r="X257" s="338"/>
      <c r="Y257" s="338"/>
      <c r="Z257" s="338"/>
    </row>
    <row r="258" ht="22.5" customHeight="1">
      <c r="A258" s="528" t="str">
        <f>IFERROR(__xludf.DUMMYFUNCTION("""COMPUTED_VALUE"""),"     
ООО""ФерЭльГам""")</f>
        <v>     
ООО"ФерЭльГам"</v>
      </c>
      <c r="B258" s="528"/>
      <c r="C258" s="528" t="str">
        <f>IFERROR(__xludf.DUMMYFUNCTION("""COMPUTED_VALUE"""),"450349 Ассорти овощное 800 Маркет Fresh этик.")</f>
        <v>450349 Ассорти овощное 800 Маркет Fresh этик.</v>
      </c>
      <c r="D258" s="528">
        <f>IFERROR(__xludf.DUMMYFUNCTION("""COMPUTED_VALUE"""),2291.0)</f>
        <v>2291</v>
      </c>
      <c r="E258" s="528" t="str">
        <f>IFERROR(__xludf.DUMMYFUNCTION("""COMPUTED_VALUE"""),"Баранов Александр")</f>
        <v>Баранов Александр</v>
      </c>
      <c r="F258" s="535" t="str">
        <f>IFERROR(__xludf.DUMMYFUNCTION("""COMPUTED_VALUE"""),"Новая")</f>
        <v>Новая</v>
      </c>
      <c r="G258" s="536" t="str">
        <f>IFERROR(__xludf.DUMMYFUNCTION("""COMPUTED_VALUE"""),"д95")</f>
        <v>д95</v>
      </c>
      <c r="H258" s="338" t="str">
        <f>IFERROR(__xludf.DUMMYFUNCTION("""COMPUTED_VALUE"""),"Флексопечать")</f>
        <v>Флексопечать</v>
      </c>
      <c r="I258" s="338" t="str">
        <f>IFERROR(__xludf.DUMMYFUNCTION("""COMPUTED_VALUE"""),"Wg-450")</f>
        <v>Wg-450</v>
      </c>
      <c r="J258" s="536">
        <f>IFERROR(__xludf.DUMMYFUNCTION("""COMPUTED_VALUE"""),10000.0)</f>
        <v>10000</v>
      </c>
      <c r="K258" s="537">
        <f>IFERROR(__xludf.DUMMYFUNCTION("""COMPUTED_VALUE"""),46149.0)</f>
        <v>46149</v>
      </c>
      <c r="L258" s="537"/>
      <c r="M258" s="338" t="str">
        <f>IFERROR(__xludf.DUMMYFUNCTION("""COMPUTED_VALUE"""),"Пленка PP белая каучук")</f>
        <v>Пленка PP белая каучук</v>
      </c>
      <c r="N258" s="338" t="str">
        <f>IFERROR(__xludf.DUMMYFUNCTION("""COMPUTED_VALUE"""),"Отгружен")</f>
        <v>Отгружен</v>
      </c>
      <c r="O258" s="537"/>
      <c r="P258" s="338"/>
      <c r="Q258" s="338"/>
      <c r="R258" s="338"/>
      <c r="S258" s="338"/>
      <c r="T258" s="338"/>
      <c r="U258" s="338"/>
      <c r="V258" s="338"/>
      <c r="W258" s="338"/>
      <c r="X258" s="338"/>
      <c r="Y258" s="338"/>
      <c r="Z258" s="338"/>
    </row>
    <row r="259" ht="22.5" customHeight="1">
      <c r="A259" s="528" t="str">
        <f>IFERROR(__xludf.DUMMYFUNCTION("""COMPUTED_VALUE"""),"Новапродукт АГ")</f>
        <v>Новапродукт АГ</v>
      </c>
      <c r="B259" s="528"/>
      <c r="C259" s="528" t="str">
        <f>IFERROR(__xludf.DUMMYFUNCTION("""COMPUTED_VALUE"""),"Этикетка Новапродукт заменитель сахара 1200 лицевая Новасвит ")</f>
        <v>Этикетка Новапродукт заменитель сахара 1200 лицевая Новасвит </v>
      </c>
      <c r="D259" s="528">
        <f>IFERROR(__xludf.DUMMYFUNCTION("""COMPUTED_VALUE"""),2297.0)</f>
        <v>2297</v>
      </c>
      <c r="E259" s="528" t="str">
        <f>IFERROR(__xludf.DUMMYFUNCTION("""COMPUTED_VALUE"""),"Шаповалова Юлия")</f>
        <v>Шаповалова Юлия</v>
      </c>
      <c r="F259" s="535" t="str">
        <f>IFERROR(__xludf.DUMMYFUNCTION("""COMPUTED_VALUE"""),"Повтор")</f>
        <v>Повтор</v>
      </c>
      <c r="G259" s="536" t="str">
        <f>IFERROR(__xludf.DUMMYFUNCTION("""COMPUTED_VALUE"""),"100.5*31.5")</f>
        <v>100.5*31.5</v>
      </c>
      <c r="H259" s="338" t="str">
        <f>IFERROR(__xludf.DUMMYFUNCTION("""COMPUTED_VALUE"""),"Флексопечать")</f>
        <v>Флексопечать</v>
      </c>
      <c r="I259" s="338" t="str">
        <f>IFERROR(__xludf.DUMMYFUNCTION("""COMPUTED_VALUE"""),"Bg-330")</f>
        <v>Bg-330</v>
      </c>
      <c r="J259" s="536" t="str">
        <f>IFERROR(__xludf.DUMMYFUNCTION("""COMPUTED_VALUE"""),"150 000")</f>
        <v>150 000</v>
      </c>
      <c r="K259" s="537">
        <f>IFERROR(__xludf.DUMMYFUNCTION("""COMPUTED_VALUE"""),46156.0)</f>
        <v>46156</v>
      </c>
      <c r="L259" s="537"/>
      <c r="M259" s="338" t="str">
        <f>IFERROR(__xludf.DUMMYFUNCTION("""COMPUTED_VALUE"""),"Бумага полуглянец акрил")</f>
        <v>Бумага полуглянец акрил</v>
      </c>
      <c r="N259" s="338" t="str">
        <f>IFERROR(__xludf.DUMMYFUNCTION("""COMPUTED_VALUE"""),"Отгружен")</f>
        <v>Отгружен</v>
      </c>
      <c r="O259" s="537"/>
      <c r="P259" s="338" t="str">
        <f>IFERROR(__xludf.DUMMYFUNCTION("""COMPUTED_VALUE"""),"паспорт качества")</f>
        <v>паспорт качества</v>
      </c>
      <c r="Q259" s="338" t="str">
        <f>IFERROR(__xludf.DUMMYFUNCTION("""COMPUTED_VALUE"""),"МО г. Подольск д. Северово ул. Кутузовская д. 5  Отгрузка до 16:00, +7 (977) 615-23-51 Екатерина")</f>
        <v>МО г. Подольск д. Северово ул. Кутузовская д. 5  Отгрузка до 16:00, +7 (977) 615-23-51 Екатерина</v>
      </c>
      <c r="R259" s="338"/>
      <c r="S259" s="338"/>
      <c r="T259" s="338"/>
      <c r="U259" s="338"/>
      <c r="V259" s="338"/>
      <c r="W259" s="338"/>
      <c r="X259" s="338"/>
      <c r="Y259" s="338"/>
      <c r="Z259" s="338"/>
    </row>
    <row r="260" ht="22.5" customHeight="1">
      <c r="A260" s="528" t="str">
        <f>IFERROR(__xludf.DUMMYFUNCTION("""COMPUTED_VALUE"""),"Новапродукт АГ")</f>
        <v>Новапродукт АГ</v>
      </c>
      <c r="B260" s="528"/>
      <c r="C260" s="528" t="str">
        <f>IFERROR(__xludf.DUMMYFUNCTION("""COMPUTED_VALUE"""),"Этикетка Новапродукт заменитель сахара 1200 оборотная Новасвит")</f>
        <v>Этикетка Новапродукт заменитель сахара 1200 оборотная Новасвит</v>
      </c>
      <c r="D260" s="528">
        <f>IFERROR(__xludf.DUMMYFUNCTION("""COMPUTED_VALUE"""),2298.0)</f>
        <v>2298</v>
      </c>
      <c r="E260" s="528" t="str">
        <f>IFERROR(__xludf.DUMMYFUNCTION("""COMPUTED_VALUE"""),"Шаповалова Юлия")</f>
        <v>Шаповалова Юлия</v>
      </c>
      <c r="F260" s="535" t="str">
        <f>IFERROR(__xludf.DUMMYFUNCTION("""COMPUTED_VALUE"""),"Повтор")</f>
        <v>Повтор</v>
      </c>
      <c r="G260" s="536" t="str">
        <f>IFERROR(__xludf.DUMMYFUNCTION("""COMPUTED_VALUE"""),"100.5*31.5")</f>
        <v>100.5*31.5</v>
      </c>
      <c r="H260" s="338" t="str">
        <f>IFERROR(__xludf.DUMMYFUNCTION("""COMPUTED_VALUE"""),"Флексопечать")</f>
        <v>Флексопечать</v>
      </c>
      <c r="I260" s="338" t="str">
        <f>IFERROR(__xludf.DUMMYFUNCTION("""COMPUTED_VALUE"""),"Bg-330")</f>
        <v>Bg-330</v>
      </c>
      <c r="J260" s="536" t="str">
        <f>IFERROR(__xludf.DUMMYFUNCTION("""COMPUTED_VALUE"""),"150 000")</f>
        <v>150 000</v>
      </c>
      <c r="K260" s="537">
        <f>IFERROR(__xludf.DUMMYFUNCTION("""COMPUTED_VALUE"""),46156.0)</f>
        <v>46156</v>
      </c>
      <c r="L260" s="537"/>
      <c r="M260" s="338" t="str">
        <f>IFERROR(__xludf.DUMMYFUNCTION("""COMPUTED_VALUE"""),"Бумага полуглянец акрил")</f>
        <v>Бумага полуглянец акрил</v>
      </c>
      <c r="N260" s="338" t="str">
        <f>IFERROR(__xludf.DUMMYFUNCTION("""COMPUTED_VALUE"""),"Отгружен")</f>
        <v>Отгружен</v>
      </c>
      <c r="O260" s="537"/>
      <c r="P260" s="338" t="str">
        <f>IFERROR(__xludf.DUMMYFUNCTION("""COMPUTED_VALUE"""),"паспорт качества")</f>
        <v>паспорт качества</v>
      </c>
      <c r="Q260" s="338" t="str">
        <f>IFERROR(__xludf.DUMMYFUNCTION("""COMPUTED_VALUE"""),"МО г. Подольск д. Северово ул. Кутузовская д. 5  Отгрузка до 16:00, +7 (977) 615-23-51 Екатерина")</f>
        <v>МО г. Подольск д. Северово ул. Кутузовская д. 5  Отгрузка до 16:00, +7 (977) 615-23-51 Екатерина</v>
      </c>
      <c r="R260" s="338"/>
      <c r="S260" s="338"/>
      <c r="T260" s="338"/>
      <c r="U260" s="338"/>
      <c r="V260" s="338"/>
      <c r="W260" s="338"/>
      <c r="X260" s="338"/>
      <c r="Y260" s="338"/>
      <c r="Z260" s="338"/>
    </row>
    <row r="261" ht="22.5" customHeight="1">
      <c r="A261" s="528" t="str">
        <f>IFERROR(__xludf.DUMMYFUNCTION("""COMPUTED_VALUE"""),"Новапродукт АГ")</f>
        <v>Новапродукт АГ</v>
      </c>
      <c r="B261" s="528"/>
      <c r="C261" s="528" t="str">
        <f>IFERROR(__xludf.DUMMYFUNCTION("""COMPUTED_VALUE"""),"Этикетка Новапродукт заменитель сахара Новасвит 650 боковая (узбекский+казахский)")</f>
        <v>Этикетка Новапродукт заменитель сахара Новасвит 650 боковая (узбекский+казахский)</v>
      </c>
      <c r="D261" s="528">
        <f>IFERROR(__xludf.DUMMYFUNCTION("""COMPUTED_VALUE"""),2322.0)</f>
        <v>2322</v>
      </c>
      <c r="E261" s="528" t="str">
        <f>IFERROR(__xludf.DUMMYFUNCTION("""COMPUTED_VALUE"""),"Шаповалова Юлия")</f>
        <v>Шаповалова Юлия</v>
      </c>
      <c r="F261" s="535" t="str">
        <f>IFERROR(__xludf.DUMMYFUNCTION("""COMPUTED_VALUE"""),"Повтор")</f>
        <v>Повтор</v>
      </c>
      <c r="G261" s="536" t="str">
        <f>IFERROR(__xludf.DUMMYFUNCTION("""COMPUTED_VALUE"""),"86.6*28")</f>
        <v>86.6*28</v>
      </c>
      <c r="H261" s="338" t="str">
        <f>IFERROR(__xludf.DUMMYFUNCTION("""COMPUTED_VALUE"""),"Флексопечать")</f>
        <v>Флексопечать</v>
      </c>
      <c r="I261" s="338" t="str">
        <f>IFERROR(__xludf.DUMMYFUNCTION("""COMPUTED_VALUE"""),"Bg-330")</f>
        <v>Bg-330</v>
      </c>
      <c r="J261" s="536" t="str">
        <f>IFERROR(__xludf.DUMMYFUNCTION("""COMPUTED_VALUE"""),"50 000")</f>
        <v>50 000</v>
      </c>
      <c r="K261" s="537">
        <f>IFERROR(__xludf.DUMMYFUNCTION("""COMPUTED_VALUE"""),46156.0)</f>
        <v>46156</v>
      </c>
      <c r="L261" s="537"/>
      <c r="M261" s="338" t="str">
        <f>IFERROR(__xludf.DUMMYFUNCTION("""COMPUTED_VALUE"""),"Бумага полуглянец акрил")</f>
        <v>Бумага полуглянец акрил</v>
      </c>
      <c r="N261" s="338" t="str">
        <f>IFERROR(__xludf.DUMMYFUNCTION("""COMPUTED_VALUE"""),"Отгружен")</f>
        <v>Отгружен</v>
      </c>
      <c r="O261" s="537"/>
      <c r="P261" s="338" t="str">
        <f>IFERROR(__xludf.DUMMYFUNCTION("""COMPUTED_VALUE"""),"паспорт качества")</f>
        <v>паспорт качества</v>
      </c>
      <c r="Q261" s="338" t="str">
        <f>IFERROR(__xludf.DUMMYFUNCTION("""COMPUTED_VALUE"""),"МО г. Подольск д. Северово ул. Кутузовская д. 5  Отгрузка до 16:00, +7 (977) 615-23-51 Екатерина")</f>
        <v>МО г. Подольск д. Северово ул. Кутузовская д. 5  Отгрузка до 16:00, +7 (977) 615-23-51 Екатерина</v>
      </c>
      <c r="R261" s="338"/>
      <c r="S261" s="338"/>
      <c r="T261" s="338"/>
      <c r="U261" s="338"/>
      <c r="V261" s="338"/>
      <c r="W261" s="338"/>
      <c r="X261" s="338"/>
      <c r="Y261" s="338"/>
      <c r="Z261" s="338"/>
    </row>
    <row r="262" ht="22.5" customHeight="1">
      <c r="A262" s="528" t="str">
        <f>IFERROR(__xludf.DUMMYFUNCTION("""COMPUTED_VALUE"""),"Новапродукт АГ")</f>
        <v>Новапродукт АГ</v>
      </c>
      <c r="B262" s="528"/>
      <c r="C262" s="528" t="str">
        <f>IFERROR(__xludf.DUMMYFUNCTION("""COMPUTED_VALUE"""),"Этикетка Новапродукт заменитель сахара 650 лицевая Ол'Лайт ")</f>
        <v>Этикетка Новапродукт заменитель сахара 650 лицевая Ол'Лайт </v>
      </c>
      <c r="D262" s="528">
        <f>IFERROR(__xludf.DUMMYFUNCTION("""COMPUTED_VALUE"""),2323.0)</f>
        <v>2323</v>
      </c>
      <c r="E262" s="528" t="str">
        <f>IFERROR(__xludf.DUMMYFUNCTION("""COMPUTED_VALUE"""),"Шаповалова Юлия")</f>
        <v>Шаповалова Юлия</v>
      </c>
      <c r="F262" s="535" t="str">
        <f>IFERROR(__xludf.DUMMYFUNCTION("""COMPUTED_VALUE"""),"Повтор")</f>
        <v>Повтор</v>
      </c>
      <c r="G262" s="536" t="str">
        <f>IFERROR(__xludf.DUMMYFUNCTION("""COMPUTED_VALUE"""),"86.6*28")</f>
        <v>86.6*28</v>
      </c>
      <c r="H262" s="338" t="str">
        <f>IFERROR(__xludf.DUMMYFUNCTION("""COMPUTED_VALUE"""),"Флексопечать")</f>
        <v>Флексопечать</v>
      </c>
      <c r="I262" s="338" t="str">
        <f>IFERROR(__xludf.DUMMYFUNCTION("""COMPUTED_VALUE"""),"Bg-330")</f>
        <v>Bg-330</v>
      </c>
      <c r="J262" s="536" t="str">
        <f>IFERROR(__xludf.DUMMYFUNCTION("""COMPUTED_VALUE"""),"100 00")</f>
        <v>100 00</v>
      </c>
      <c r="K262" s="537">
        <f>IFERROR(__xludf.DUMMYFUNCTION("""COMPUTED_VALUE"""),46156.0)</f>
        <v>46156</v>
      </c>
      <c r="L262" s="537"/>
      <c r="M262" s="338" t="str">
        <f>IFERROR(__xludf.DUMMYFUNCTION("""COMPUTED_VALUE"""),"Бумага полуглянец акрил")</f>
        <v>Бумага полуглянец акрил</v>
      </c>
      <c r="N262" s="338" t="str">
        <f>IFERROR(__xludf.DUMMYFUNCTION("""COMPUTED_VALUE"""),"Отгружен")</f>
        <v>Отгружен</v>
      </c>
      <c r="O262" s="537"/>
      <c r="P262" s="338" t="str">
        <f>IFERROR(__xludf.DUMMYFUNCTION("""COMPUTED_VALUE"""),"паспорт качества")</f>
        <v>паспорт качества</v>
      </c>
      <c r="Q262" s="338" t="str">
        <f>IFERROR(__xludf.DUMMYFUNCTION("""COMPUTED_VALUE"""),"МО г. Подольск д. Северово ул. Кутузовская д. 5  Отгрузка до 16:00, +7 (977) 615-23-51 Екатерина")</f>
        <v>МО г. Подольск д. Северово ул. Кутузовская д. 5  Отгрузка до 16:00, +7 (977) 615-23-51 Екатерина</v>
      </c>
      <c r="R262" s="338"/>
      <c r="S262" s="338"/>
      <c r="T262" s="338"/>
      <c r="U262" s="338"/>
      <c r="V262" s="338"/>
      <c r="W262" s="338"/>
      <c r="X262" s="338"/>
      <c r="Y262" s="338"/>
      <c r="Z262" s="338"/>
    </row>
    <row r="263" ht="22.5" customHeight="1">
      <c r="A263" s="528" t="str">
        <f>IFERROR(__xludf.DUMMYFUNCTION("""COMPUTED_VALUE"""),"Новапродукт АГ")</f>
        <v>Новапродукт АГ</v>
      </c>
      <c r="B263" s="528"/>
      <c r="C263" s="528" t="str">
        <f>IFERROR(__xludf.DUMMYFUNCTION("""COMPUTED_VALUE"""),"Этикетка Новапродукт заменитель сахара 650 оборотная Ол'Лайт ")</f>
        <v>Этикетка Новапродукт заменитель сахара 650 оборотная Ол'Лайт </v>
      </c>
      <c r="D263" s="528">
        <f>IFERROR(__xludf.DUMMYFUNCTION("""COMPUTED_VALUE"""),2324.0)</f>
        <v>2324</v>
      </c>
      <c r="E263" s="528" t="str">
        <f>IFERROR(__xludf.DUMMYFUNCTION("""COMPUTED_VALUE"""),"Шаповалова Юлия")</f>
        <v>Шаповалова Юлия</v>
      </c>
      <c r="F263" s="535" t="str">
        <f>IFERROR(__xludf.DUMMYFUNCTION("""COMPUTED_VALUE"""),"Повтор")</f>
        <v>Повтор</v>
      </c>
      <c r="G263" s="536" t="str">
        <f>IFERROR(__xludf.DUMMYFUNCTION("""COMPUTED_VALUE"""),"86.6*28")</f>
        <v>86.6*28</v>
      </c>
      <c r="H263" s="338" t="str">
        <f>IFERROR(__xludf.DUMMYFUNCTION("""COMPUTED_VALUE"""),"Флексопечать")</f>
        <v>Флексопечать</v>
      </c>
      <c r="I263" s="338" t="str">
        <f>IFERROR(__xludf.DUMMYFUNCTION("""COMPUTED_VALUE"""),"Bg-330")</f>
        <v>Bg-330</v>
      </c>
      <c r="J263" s="536" t="str">
        <f>IFERROR(__xludf.DUMMYFUNCTION("""COMPUTED_VALUE"""),"100 000")</f>
        <v>100 000</v>
      </c>
      <c r="K263" s="537">
        <f>IFERROR(__xludf.DUMMYFUNCTION("""COMPUTED_VALUE"""),46156.0)</f>
        <v>46156</v>
      </c>
      <c r="L263" s="537"/>
      <c r="M263" s="338" t="str">
        <f>IFERROR(__xludf.DUMMYFUNCTION("""COMPUTED_VALUE"""),"Бумага полуглянец акрил")</f>
        <v>Бумага полуглянец акрил</v>
      </c>
      <c r="N263" s="338" t="str">
        <f>IFERROR(__xludf.DUMMYFUNCTION("""COMPUTED_VALUE"""),"Отгружен")</f>
        <v>Отгружен</v>
      </c>
      <c r="O263" s="537"/>
      <c r="P263" s="338" t="str">
        <f>IFERROR(__xludf.DUMMYFUNCTION("""COMPUTED_VALUE"""),"паспорт качества")</f>
        <v>паспорт качества</v>
      </c>
      <c r="Q263" s="338" t="str">
        <f>IFERROR(__xludf.DUMMYFUNCTION("""COMPUTED_VALUE"""),"МО г. Подольск д. Северово ул. Кутузовская д. 5  Отгрузка до 16:00, +7 (977) 615-23-51 Екатерина")</f>
        <v>МО г. Подольск д. Северово ул. Кутузовская д. 5  Отгрузка до 16:00, +7 (977) 615-23-51 Екатерина</v>
      </c>
      <c r="R263" s="338"/>
      <c r="S263" s="338"/>
      <c r="T263" s="338"/>
      <c r="U263" s="338"/>
      <c r="V263" s="338"/>
      <c r="W263" s="338"/>
      <c r="X263" s="338"/>
      <c r="Y263" s="338"/>
      <c r="Z263" s="338"/>
    </row>
    <row r="264" ht="22.5" customHeight="1">
      <c r="A264" s="528" t="str">
        <f>IFERROR(__xludf.DUMMYFUNCTION("""COMPUTED_VALUE"""),"Калье")</f>
        <v>Калье</v>
      </c>
      <c r="B264" s="528"/>
      <c r="C264" s="528" t="str">
        <f>IFERROR(__xludf.DUMMYFUNCTION("""COMPUTED_VALUE"""),"Двухфазный спрей Sistema с голографией ")</f>
        <v>Двухфазный спрей Sistema с голографией </v>
      </c>
      <c r="D264" s="528">
        <f>IFERROR(__xludf.DUMMYFUNCTION("""COMPUTED_VALUE"""),2325.0)</f>
        <v>2325</v>
      </c>
      <c r="E264" s="528" t="str">
        <f>IFERROR(__xludf.DUMMYFUNCTION("""COMPUTED_VALUE"""),"Татьяна Денисова")</f>
        <v>Татьяна Денисова</v>
      </c>
      <c r="F264" s="535" t="str">
        <f>IFERROR(__xludf.DUMMYFUNCTION("""COMPUTED_VALUE"""),"Новая")</f>
        <v>Новая</v>
      </c>
      <c r="G264" s="536" t="str">
        <f>IFERROR(__xludf.DUMMYFUNCTION("""COMPUTED_VALUE"""),"130*145")</f>
        <v>130*145</v>
      </c>
      <c r="H264" s="338" t="str">
        <f>IFERROR(__xludf.DUMMYFUNCTION("""COMPUTED_VALUE"""),"Флексопечать")</f>
        <v>Флексопечать</v>
      </c>
      <c r="I264" s="338" t="str">
        <f>IFERROR(__xludf.DUMMYFUNCTION("""COMPUTED_VALUE"""),"Bg-330")</f>
        <v>Bg-330</v>
      </c>
      <c r="J264" s="536">
        <f>IFERROR(__xludf.DUMMYFUNCTION("""COMPUTED_VALUE"""),10000.0)</f>
        <v>10000</v>
      </c>
      <c r="K264" s="537">
        <f>IFERROR(__xludf.DUMMYFUNCTION("""COMPUTED_VALUE"""),46154.0)</f>
        <v>46154</v>
      </c>
      <c r="L264" s="537"/>
      <c r="M264" s="338" t="str">
        <f>IFERROR(__xludf.DUMMYFUNCTION("""COMPUTED_VALUE"""),"Пленка PP суперпрозрачная")</f>
        <v>Пленка PP суперпрозрачная</v>
      </c>
      <c r="N264" s="338" t="str">
        <f>IFERROR(__xludf.DUMMYFUNCTION("""COMPUTED_VALUE"""),"Отгружен")</f>
        <v>Отгружен</v>
      </c>
      <c r="O264" s="537"/>
      <c r="P264" s="338" t="str">
        <f>IFERROR(__xludf.DUMMYFUNCTION("""COMPUTED_VALUE"""),"Приладка в раб дни до 17:30 как обычно")</f>
        <v>Приладка в раб дни до 17:30 как обычно</v>
      </c>
      <c r="Q264" s="338" t="str">
        <f>IFERROR(__xludf.DUMMYFUNCTION("""COMPUTED_VALUE"""),"Сама заказываю ТК")</f>
        <v>Сама заказываю ТК</v>
      </c>
      <c r="R264" s="338"/>
      <c r="S264" s="338"/>
      <c r="T264" s="338"/>
      <c r="U264" s="338"/>
      <c r="V264" s="338"/>
      <c r="W264" s="338"/>
      <c r="X264" s="338"/>
      <c r="Y264" s="338"/>
      <c r="Z264" s="338"/>
    </row>
    <row r="265" ht="22.5" customHeight="1">
      <c r="A265" s="528" t="str">
        <f>IFERROR(__xludf.DUMMYFUNCTION("""COMPUTED_VALUE"""),"ООО Меренга ")</f>
        <v>ООО Меренга </v>
      </c>
      <c r="B265" s="528"/>
      <c r="C265" s="528" t="str">
        <f>IFERROR(__xludf.DUMMYFUNCTION("""COMPUTED_VALUE"""),"Эклер наполеон")</f>
        <v>Эклер наполеон</v>
      </c>
      <c r="D265" s="528">
        <f>IFERROR(__xludf.DUMMYFUNCTION("""COMPUTED_VALUE"""),2328.0)</f>
        <v>2328</v>
      </c>
      <c r="E265" s="528" t="str">
        <f>IFERROR(__xludf.DUMMYFUNCTION("""COMPUTED_VALUE"""),"Римма Лукина")</f>
        <v>Римма Лукина</v>
      </c>
      <c r="F265" s="535" t="str">
        <f>IFERROR(__xludf.DUMMYFUNCTION("""COMPUTED_VALUE"""),"Новая")</f>
        <v>Новая</v>
      </c>
      <c r="G265" s="536" t="str">
        <f>IFERROR(__xludf.DUMMYFUNCTION("""COMPUTED_VALUE"""),"70*165")</f>
        <v>70*165</v>
      </c>
      <c r="H265" s="338" t="str">
        <f>IFERROR(__xludf.DUMMYFUNCTION("""COMPUTED_VALUE"""),"Флексопечать")</f>
        <v>Флексопечать</v>
      </c>
      <c r="I265" s="338" t="str">
        <f>IFERROR(__xludf.DUMMYFUNCTION("""COMPUTED_VALUE"""),"Bg-330")</f>
        <v>Bg-330</v>
      </c>
      <c r="J265" s="536">
        <f>IFERROR(__xludf.DUMMYFUNCTION("""COMPUTED_VALUE"""),15000.0)</f>
        <v>15000</v>
      </c>
      <c r="K265" s="537">
        <f>IFERROR(__xludf.DUMMYFUNCTION("""COMPUTED_VALUE"""),46155.0)</f>
        <v>46155</v>
      </c>
      <c r="L265" s="537"/>
      <c r="M265" s="338" t="str">
        <f>IFERROR(__xludf.DUMMYFUNCTION("""COMPUTED_VALUE"""),"Бумага полуглянец акрил")</f>
        <v>Бумага полуглянец акрил</v>
      </c>
      <c r="N265" s="338" t="str">
        <f>IFERROR(__xludf.DUMMYFUNCTION("""COMPUTED_VALUE"""),"Отгружен")</f>
        <v>Отгружен</v>
      </c>
      <c r="O265" s="537"/>
      <c r="P265" s="338" t="str">
        <f>IFERROR(__xludf.DUMMYFUNCTION("""COMPUTED_VALUE"""),"отправить в пятницу 15.05")</f>
        <v>отправить в пятницу 15.05</v>
      </c>
      <c r="Q265" s="338" t="str">
        <f>IFERROR(__xludf.DUMMYFUNCTION("""COMPUTED_VALUE""")," Москва, Пермская 1 стр 7-8. Контакты приемки на складе Меренга :Женя рук склада 89252992868, Осим 89500029927")</f>
        <v> Москва, Пермская 1 стр 7-8. Контакты приемки на складе Меренга :Женя рук склада 89252992868, Осим 89500029927</v>
      </c>
      <c r="R265" s="338"/>
      <c r="S265" s="338"/>
      <c r="T265" s="338"/>
      <c r="U265" s="338"/>
      <c r="V265" s="338"/>
      <c r="W265" s="338"/>
      <c r="X265" s="338"/>
      <c r="Y265" s="338"/>
      <c r="Z265" s="338"/>
    </row>
    <row r="266" ht="22.5" customHeight="1">
      <c r="A266" s="528" t="str">
        <f>IFERROR(__xludf.DUMMYFUNCTION("""COMPUTED_VALUE"""),"ОЗОН ВКУС")</f>
        <v>ОЗОН ВКУС</v>
      </c>
      <c r="B266" s="528"/>
      <c r="C266" s="528" t="str">
        <f>IFERROR(__xludf.DUMMYFUNCTION("""COMPUTED_VALUE"""),"Термоэтикетка 58*60мм  ЭКО")</f>
        <v>Термоэтикетка 58*60мм  ЭКО</v>
      </c>
      <c r="D266" s="528">
        <f>IFERROR(__xludf.DUMMYFUNCTION("""COMPUTED_VALUE"""),2330.0)</f>
        <v>2330</v>
      </c>
      <c r="E266" s="528" t="str">
        <f>IFERROR(__xludf.DUMMYFUNCTION("""COMPUTED_VALUE"""),"Римма Лукина")</f>
        <v>Римма Лукина</v>
      </c>
      <c r="F266" s="535" t="str">
        <f>IFERROR(__xludf.DUMMYFUNCTION("""COMPUTED_VALUE"""),"Повтор")</f>
        <v>Повтор</v>
      </c>
      <c r="G266" s="536" t="str">
        <f>IFERROR(__xludf.DUMMYFUNCTION("""COMPUTED_VALUE"""),"58*60")</f>
        <v>58*60</v>
      </c>
      <c r="H266" s="338"/>
      <c r="I266" s="338"/>
      <c r="J266" s="536">
        <f>IFERROR(__xludf.DUMMYFUNCTION("""COMPUTED_VALUE"""),100000.0)</f>
        <v>100000</v>
      </c>
      <c r="K266" s="537">
        <f>IFERROR(__xludf.DUMMYFUNCTION("""COMPUTED_VALUE"""),46156.0)</f>
        <v>46156</v>
      </c>
      <c r="L266" s="537"/>
      <c r="M266" s="338" t="str">
        <f>IFERROR(__xludf.DUMMYFUNCTION("""COMPUTED_VALUE"""),"Термоэко")</f>
        <v>Термоэко</v>
      </c>
      <c r="N266" s="338" t="str">
        <f>IFERROR(__xludf.DUMMYFUNCTION("""COMPUTED_VALUE"""),"Отгружен")</f>
        <v>Отгружен</v>
      </c>
      <c r="O266" s="537"/>
      <c r="P266" s="338" t="str">
        <f>IFERROR(__xludf.DUMMYFUNCTION("""COMPUTED_VALUE"""),"паспорт качества")</f>
        <v>паспорт качества</v>
      </c>
      <c r="Q266" s="338"/>
      <c r="R266" s="338"/>
      <c r="S266" s="338"/>
      <c r="T266" s="338"/>
      <c r="U266" s="338"/>
      <c r="V266" s="338"/>
      <c r="W266" s="338"/>
      <c r="X266" s="338"/>
      <c r="Y266" s="338"/>
      <c r="Z266" s="338"/>
    </row>
    <row r="267" ht="22.5" customHeight="1">
      <c r="A267" s="528" t="str">
        <f>IFERROR(__xludf.DUMMYFUNCTION("""COMPUTED_VALUE"""),"ОЗОН ВКУС")</f>
        <v>ОЗОН ВКУС</v>
      </c>
      <c r="B267" s="528"/>
      <c r="C267" s="528" t="str">
        <f>IFERROR(__xludf.DUMMYFUNCTION("""COMPUTED_VALUE"""),"Стикер ""Важно, что ешь"" D 70мм")</f>
        <v>Стикер "Важно, что ешь" D 70мм</v>
      </c>
      <c r="D267" s="528">
        <f>IFERROR(__xludf.DUMMYFUNCTION("""COMPUTED_VALUE"""),2331.0)</f>
        <v>2331</v>
      </c>
      <c r="E267" s="528" t="str">
        <f>IFERROR(__xludf.DUMMYFUNCTION("""COMPUTED_VALUE"""),"Римма Лукина")</f>
        <v>Римма Лукина</v>
      </c>
      <c r="F267" s="535" t="str">
        <f>IFERROR(__xludf.DUMMYFUNCTION("""COMPUTED_VALUE"""),"Повтор")</f>
        <v>Повтор</v>
      </c>
      <c r="G267" s="536" t="str">
        <f>IFERROR(__xludf.DUMMYFUNCTION("""COMPUTED_VALUE"""),"D 70")</f>
        <v>D 70</v>
      </c>
      <c r="H267" s="338" t="str">
        <f>IFERROR(__xludf.DUMMYFUNCTION("""COMPUTED_VALUE"""),"Флексопечать")</f>
        <v>Флексопечать</v>
      </c>
      <c r="I267" s="338"/>
      <c r="J267" s="536">
        <f>IFERROR(__xludf.DUMMYFUNCTION("""COMPUTED_VALUE"""),100000.0)</f>
        <v>100000</v>
      </c>
      <c r="K267" s="537">
        <f>IFERROR(__xludf.DUMMYFUNCTION("""COMPUTED_VALUE"""),46156.0)</f>
        <v>46156</v>
      </c>
      <c r="L267" s="537"/>
      <c r="M267" s="338" t="str">
        <f>IFERROR(__xludf.DUMMYFUNCTION("""COMPUTED_VALUE"""),"Бумага полуглянец акрил")</f>
        <v>Бумага полуглянец акрил</v>
      </c>
      <c r="N267" s="338" t="str">
        <f>IFERROR(__xludf.DUMMYFUNCTION("""COMPUTED_VALUE"""),"Отгружен")</f>
        <v>Отгружен</v>
      </c>
      <c r="O267" s="537"/>
      <c r="P267" s="338" t="str">
        <f>IFERROR(__xludf.DUMMYFUNCTION("""COMPUTED_VALUE"""),"паспорт качества")</f>
        <v>паспорт качества</v>
      </c>
      <c r="Q267" s="338"/>
      <c r="R267" s="338"/>
      <c r="S267" s="338"/>
      <c r="T267" s="338"/>
      <c r="U267" s="338"/>
      <c r="V267" s="338"/>
      <c r="W267" s="338"/>
      <c r="X267" s="338"/>
      <c r="Y267" s="338"/>
      <c r="Z267" s="338"/>
    </row>
    <row r="268" ht="22.5" customHeight="1">
      <c r="A268" s="528" t="str">
        <f>IFERROR(__xludf.DUMMYFUNCTION("""COMPUTED_VALUE"""),"ЯПД")</f>
        <v>ЯПД</v>
      </c>
      <c r="B268" s="528"/>
      <c r="C268" s="528" t="str">
        <f>IFERROR(__xludf.DUMMYFUNCTION("""COMPUTED_VALUE"""),"Барилла")</f>
        <v>Барилла</v>
      </c>
      <c r="D268" s="528">
        <f>IFERROR(__xludf.DUMMYFUNCTION("""COMPUTED_VALUE"""),2335.0)</f>
        <v>2335</v>
      </c>
      <c r="E268" s="528" t="str">
        <f>IFERROR(__xludf.DUMMYFUNCTION("""COMPUTED_VALUE"""),"Татьяна Денисова")</f>
        <v>Татьяна Денисова</v>
      </c>
      <c r="F268" s="535" t="str">
        <f>IFERROR(__xludf.DUMMYFUNCTION("""COMPUTED_VALUE"""),"Повтор")</f>
        <v>Повтор</v>
      </c>
      <c r="G268" s="536"/>
      <c r="H268" s="338" t="str">
        <f>IFERROR(__xludf.DUMMYFUNCTION("""COMPUTED_VALUE"""),"Цифра+Полуротация")</f>
        <v>Цифра+Полуротация</v>
      </c>
      <c r="I268" s="338" t="str">
        <f>IFERROR(__xludf.DUMMYFUNCTION("""COMPUTED_VALUE"""),"LS(ЦПМ)")</f>
        <v>LS(ЦПМ)</v>
      </c>
      <c r="J268" s="536">
        <f>IFERROR(__xludf.DUMMYFUNCTION("""COMPUTED_VALUE"""),500.0)</f>
        <v>500</v>
      </c>
      <c r="K268" s="537">
        <f>IFERROR(__xludf.DUMMYFUNCTION("""COMPUTED_VALUE"""),46156.0)</f>
        <v>46156</v>
      </c>
      <c r="L268" s="537"/>
      <c r="M268" s="338" t="str">
        <f>IFERROR(__xludf.DUMMYFUNCTION("""COMPUTED_VALUE"""),"Бумага полуглянец акрил")</f>
        <v>Бумага полуглянец акрил</v>
      </c>
      <c r="N268" s="338" t="str">
        <f>IFERROR(__xludf.DUMMYFUNCTION("""COMPUTED_VALUE"""),"Отгружен")</f>
        <v>Отгружен</v>
      </c>
      <c r="O268" s="537"/>
      <c r="P268" s="338"/>
      <c r="Q268" s="338" t="str">
        <f>IFERROR(__xludf.DUMMYFUNCTION("""COMPUTED_VALUE"""),"Самовывоз")</f>
        <v>Самовывоз</v>
      </c>
      <c r="R268" s="338"/>
      <c r="S268" s="338"/>
      <c r="T268" s="338"/>
      <c r="U268" s="338"/>
      <c r="V268" s="338"/>
      <c r="W268" s="338"/>
      <c r="X268" s="338"/>
      <c r="Y268" s="338"/>
      <c r="Z268" s="338"/>
    </row>
    <row r="269" ht="22.5" customHeight="1">
      <c r="A269" s="528" t="str">
        <f>IFERROR(__xludf.DUMMYFUNCTION("""COMPUTED_VALUE"""),"ООО Фосфорель")</f>
        <v>ООО Фосфорель</v>
      </c>
      <c r="B269" s="528"/>
      <c r="C269" s="528" t="str">
        <f>IFERROR(__xludf.DUMMYFUNCTION("""COMPUTED_VALUE"""),"Атлантика сельдь кусочки  малосольная 240гр")</f>
        <v>Атлантика сельдь кусочки  малосольная 240гр</v>
      </c>
      <c r="D269" s="528">
        <f>IFERROR(__xludf.DUMMYFUNCTION("""COMPUTED_VALUE"""),2351.0)</f>
        <v>2351</v>
      </c>
      <c r="E269" s="528" t="str">
        <f>IFERROR(__xludf.DUMMYFUNCTION("""COMPUTED_VALUE"""),"Римма Лукина")</f>
        <v>Римма Лукина</v>
      </c>
      <c r="F269" s="535" t="str">
        <f>IFERROR(__xludf.DUMMYFUNCTION("""COMPUTED_VALUE"""),"Новая")</f>
        <v>Новая</v>
      </c>
      <c r="G269" s="536" t="str">
        <f>IFERROR(__xludf.DUMMYFUNCTION("""COMPUTED_VALUE"""),"D 110")</f>
        <v>D 110</v>
      </c>
      <c r="H269" s="338" t="str">
        <f>IFERROR(__xludf.DUMMYFUNCTION("""COMPUTED_VALUE"""),"Флексопечать")</f>
        <v>Флексопечать</v>
      </c>
      <c r="I269" s="338" t="str">
        <f>IFERROR(__xludf.DUMMYFUNCTION("""COMPUTED_VALUE"""),"Wg-450")</f>
        <v>Wg-450</v>
      </c>
      <c r="J269" s="536">
        <f>IFERROR(__xludf.DUMMYFUNCTION("""COMPUTED_VALUE"""),200000.0)</f>
        <v>200000</v>
      </c>
      <c r="K269" s="537">
        <f>IFERROR(__xludf.DUMMYFUNCTION("""COMPUTED_VALUE"""),46155.0)</f>
        <v>46155</v>
      </c>
      <c r="L269" s="537"/>
      <c r="M269" s="338" t="str">
        <f>IFERROR(__xludf.DUMMYFUNCTION("""COMPUTED_VALUE"""),"Пленка PP белая акрил")</f>
        <v>Пленка PP белая акрил</v>
      </c>
      <c r="N269" s="338" t="str">
        <f>IFERROR(__xludf.DUMMYFUNCTION("""COMPUTED_VALUE"""),"Отгружен")</f>
        <v>Отгружен</v>
      </c>
      <c r="O269" s="537"/>
      <c r="P269" s="338" t="str">
        <f>IFERROR(__xludf.DUMMYFUNCTION("""COMPUTED_VALUE"""),"паспорта качества")</f>
        <v>паспорта качества</v>
      </c>
      <c r="Q269" s="338" t="str">
        <f>IFERROR(__xludf.DUMMYFUNCTION("""COMPUTED_VALUE"""),"сами заберут в пятницу 15.05")</f>
        <v>сами заберут в пятницу 15.05</v>
      </c>
      <c r="R269" s="338"/>
      <c r="S269" s="338"/>
      <c r="T269" s="338"/>
      <c r="U269" s="338"/>
      <c r="V269" s="338"/>
      <c r="W269" s="338"/>
      <c r="X269" s="338"/>
      <c r="Y269" s="338"/>
      <c r="Z269" s="338"/>
    </row>
    <row r="270" ht="22.5" customHeight="1">
      <c r="A270" s="528" t="str">
        <f>IFERROR(__xludf.DUMMYFUNCTION("""COMPUTED_VALUE"""),"     
ООО""ФерЭльГам""")</f>
        <v>     
ООО"ФерЭльГам"</v>
      </c>
      <c r="B270" s="528"/>
      <c r="C270" s="528" t="str">
        <f>IFERROR(__xludf.DUMMYFUNCTION("""COMPUTED_VALUE"""),"470241 Капуста с морковью 500 г (Хороший день) этик. ")</f>
        <v>470241 Капуста с морковью 500 г (Хороший день) этик. </v>
      </c>
      <c r="D270" s="528">
        <f>IFERROR(__xludf.DUMMYFUNCTION("""COMPUTED_VALUE"""),2362.0)</f>
        <v>2362</v>
      </c>
      <c r="E270" s="528" t="str">
        <f>IFERROR(__xludf.DUMMYFUNCTION("""COMPUTED_VALUE"""),"Баранов Александр")</f>
        <v>Баранов Александр</v>
      </c>
      <c r="F270" s="535" t="str">
        <f>IFERROR(__xludf.DUMMYFUNCTION("""COMPUTED_VALUE"""),"Повтор")</f>
        <v>Повтор</v>
      </c>
      <c r="G270" s="536" t="str">
        <f>IFERROR(__xludf.DUMMYFUNCTION("""COMPUTED_VALUE"""),"д110")</f>
        <v>д110</v>
      </c>
      <c r="H270" s="338" t="str">
        <f>IFERROR(__xludf.DUMMYFUNCTION("""COMPUTED_VALUE"""),"Флексопечать")</f>
        <v>Флексопечать</v>
      </c>
      <c r="I270" s="338" t="str">
        <f>IFERROR(__xludf.DUMMYFUNCTION("""COMPUTED_VALUE"""),"Wg-450")</f>
        <v>Wg-450</v>
      </c>
      <c r="J270" s="536">
        <f>IFERROR(__xludf.DUMMYFUNCTION("""COMPUTED_VALUE"""),10000.0)</f>
        <v>10000</v>
      </c>
      <c r="K270" s="537">
        <f>IFERROR(__xludf.DUMMYFUNCTION("""COMPUTED_VALUE"""),46157.0)</f>
        <v>46157</v>
      </c>
      <c r="L270" s="537"/>
      <c r="M270" s="338" t="str">
        <f>IFERROR(__xludf.DUMMYFUNCTION("""COMPUTED_VALUE"""),"Пленка PP белая каучук")</f>
        <v>Пленка PP белая каучук</v>
      </c>
      <c r="N270" s="338" t="str">
        <f>IFERROR(__xludf.DUMMYFUNCTION("""COMPUTED_VALUE"""),"Отгружен")</f>
        <v>Отгружен</v>
      </c>
      <c r="O270" s="537"/>
      <c r="P270" s="338" t="str">
        <f>IFERROR(__xludf.DUMMYFUNCTION("""COMPUTED_VALUE"""),"СРОЧНЫЙ")</f>
        <v>СРОЧНЫЙ</v>
      </c>
      <c r="Q270" s="338"/>
      <c r="R270" s="338"/>
      <c r="S270" s="338"/>
      <c r="T270" s="338"/>
      <c r="U270" s="338"/>
      <c r="V270" s="338"/>
      <c r="W270" s="338"/>
      <c r="X270" s="338"/>
      <c r="Y270" s="338"/>
      <c r="Z270" s="338"/>
    </row>
    <row r="271" ht="22.5" customHeight="1">
      <c r="A271" s="528" t="str">
        <f>IFERROR(__xludf.DUMMYFUNCTION("""COMPUTED_VALUE"""),"ООО Меренга ")</f>
        <v>ООО Меренга </v>
      </c>
      <c r="B271" s="528"/>
      <c r="C271" s="528" t="str">
        <f>IFERROR(__xludf.DUMMYFUNCTION("""COMPUTED_VALUE"""),"ВВ Этикетка цветная ВВ ""Торт бенто клубника с днем рождения""")</f>
        <v>ВВ Этикетка цветная ВВ "Торт бенто клубника с днем рождения"</v>
      </c>
      <c r="D271" s="528">
        <f>IFERROR(__xludf.DUMMYFUNCTION("""COMPUTED_VALUE"""),2367.0)</f>
        <v>2367</v>
      </c>
      <c r="E271" s="528" t="str">
        <f>IFERROR(__xludf.DUMMYFUNCTION("""COMPUTED_VALUE"""),"Римма Лукина")</f>
        <v>Римма Лукина</v>
      </c>
      <c r="F271" s="535" t="str">
        <f>IFERROR(__xludf.DUMMYFUNCTION("""COMPUTED_VALUE"""),"Повтор")</f>
        <v>Повтор</v>
      </c>
      <c r="G271" s="536" t="str">
        <f>IFERROR(__xludf.DUMMYFUNCTION("""COMPUTED_VALUE"""),"40*295")</f>
        <v>40*295</v>
      </c>
      <c r="H271" s="338" t="str">
        <f>IFERROR(__xludf.DUMMYFUNCTION("""COMPUTED_VALUE"""),"Флексопечать")</f>
        <v>Флексопечать</v>
      </c>
      <c r="I271" s="338"/>
      <c r="J271" s="536">
        <f>IFERROR(__xludf.DUMMYFUNCTION("""COMPUTED_VALUE"""),15000.0)</f>
        <v>15000</v>
      </c>
      <c r="K271" s="537">
        <f>IFERROR(__xludf.DUMMYFUNCTION("""COMPUTED_VALUE"""),46156.0)</f>
        <v>46156</v>
      </c>
      <c r="L271" s="537"/>
      <c r="M271" s="338" t="str">
        <f>IFERROR(__xludf.DUMMYFUNCTION("""COMPUTED_VALUE"""),"Бумага полуглянец акрил")</f>
        <v>Бумага полуглянец акрил</v>
      </c>
      <c r="N271" s="338" t="str">
        <f>IFERROR(__xludf.DUMMYFUNCTION("""COMPUTED_VALUE"""),"Отгружен")</f>
        <v>Отгружен</v>
      </c>
      <c r="O271" s="537"/>
      <c r="P271" s="338" t="str">
        <f>IFERROR(__xludf.DUMMYFUNCTION("""COMPUTED_VALUE"""),"паспорт качества")</f>
        <v>паспорт качества</v>
      </c>
      <c r="Q271" s="338"/>
      <c r="R271" s="338"/>
      <c r="S271" s="338"/>
      <c r="T271" s="338"/>
      <c r="U271" s="338"/>
      <c r="V271" s="338"/>
      <c r="W271" s="338"/>
      <c r="X271" s="338"/>
      <c r="Y271" s="338"/>
      <c r="Z271" s="338"/>
    </row>
    <row r="272" ht="22.5" customHeight="1">
      <c r="A272" s="528" t="str">
        <f>IFERROR(__xludf.DUMMYFUNCTION("""COMPUTED_VALUE"""),"ООО Фосфорель")</f>
        <v>ООО Фосфорель</v>
      </c>
      <c r="B272" s="528"/>
      <c r="C272" s="528" t="str">
        <f>IFERROR(__xludf.DUMMYFUNCTION("""COMPUTED_VALUE"""),"Этикетка "" колбаски из лосося вяленые"" 150гр")</f>
        <v>Этикетка " колбаски из лосося вяленые" 150гр</v>
      </c>
      <c r="D272" s="528">
        <f>IFERROR(__xludf.DUMMYFUNCTION("""COMPUTED_VALUE"""),2374.0)</f>
        <v>2374</v>
      </c>
      <c r="E272" s="528" t="str">
        <f>IFERROR(__xludf.DUMMYFUNCTION("""COMPUTED_VALUE"""),"Римма Лукина")</f>
        <v>Римма Лукина</v>
      </c>
      <c r="F272" s="535" t="str">
        <f>IFERROR(__xludf.DUMMYFUNCTION("""COMPUTED_VALUE"""),"Новая")</f>
        <v>Новая</v>
      </c>
      <c r="G272" s="536" t="str">
        <f>IFERROR(__xludf.DUMMYFUNCTION("""COMPUTED_VALUE"""),"100*90")</f>
        <v>100*90</v>
      </c>
      <c r="H272" s="338" t="str">
        <f>IFERROR(__xludf.DUMMYFUNCTION("""COMPUTED_VALUE"""),"Флексопечать")</f>
        <v>Флексопечать</v>
      </c>
      <c r="I272" s="338" t="str">
        <f>IFERROR(__xludf.DUMMYFUNCTION("""COMPUTED_VALUE"""),"Bg-330")</f>
        <v>Bg-330</v>
      </c>
      <c r="J272" s="536">
        <f>IFERROR(__xludf.DUMMYFUNCTION("""COMPUTED_VALUE"""),50000.0)</f>
        <v>50000</v>
      </c>
      <c r="K272" s="537">
        <f>IFERROR(__xludf.DUMMYFUNCTION("""COMPUTED_VALUE"""),46155.0)</f>
        <v>46155</v>
      </c>
      <c r="L272" s="537"/>
      <c r="M272" s="338" t="str">
        <f>IFERROR(__xludf.DUMMYFUNCTION("""COMPUTED_VALUE"""),"Пленка PP белая акрил")</f>
        <v>Пленка PP белая акрил</v>
      </c>
      <c r="N272" s="338" t="str">
        <f>IFERROR(__xludf.DUMMYFUNCTION("""COMPUTED_VALUE"""),"Отгружен")</f>
        <v>Отгружен</v>
      </c>
      <c r="O272" s="537"/>
      <c r="P272" s="338" t="str">
        <f>IFERROR(__xludf.DUMMYFUNCTION("""COMPUTED_VALUE"""),"паспорт качества, отвезти на ПВЗ СДЭК")</f>
        <v>паспорт качества, отвезти на ПВЗ СДЭК</v>
      </c>
      <c r="Q272" s="338" t="str">
        <f>IFERROR(__xludf.DUMMYFUNCTION("""COMPUTED_VALUE"""),"Оформила накладную СДЭК")</f>
        <v>Оформила накладную СДЭК</v>
      </c>
      <c r="R272" s="338"/>
      <c r="S272" s="338"/>
      <c r="T272" s="338"/>
      <c r="U272" s="338"/>
      <c r="V272" s="338"/>
      <c r="W272" s="338"/>
      <c r="X272" s="338"/>
      <c r="Y272" s="338"/>
      <c r="Z272" s="338"/>
    </row>
    <row r="273" ht="22.5" customHeight="1">
      <c r="A273" s="528" t="str">
        <f>IFERROR(__xludf.DUMMYFUNCTION("""COMPUTED_VALUE"""),"     
ООО""ФерЭльГам""")</f>
        <v>     
ООО"ФерЭльГам"</v>
      </c>
      <c r="B273" s="528"/>
      <c r="C273" s="528" t="str">
        <f>IFERROR(__xludf.DUMMYFUNCTION("""COMPUTED_VALUE"""),"470821 Капуста квашеная с клюквой 500 г (Global village) этик.")</f>
        <v>470821 Капуста квашеная с клюквой 500 г (Global village) этик.</v>
      </c>
      <c r="D273" s="528">
        <f>IFERROR(__xludf.DUMMYFUNCTION("""COMPUTED_VALUE"""),2379.0)</f>
        <v>2379</v>
      </c>
      <c r="E273" s="528" t="str">
        <f>IFERROR(__xludf.DUMMYFUNCTION("""COMPUTED_VALUE"""),"Баранов Александр")</f>
        <v>Баранов Александр</v>
      </c>
      <c r="F273" s="535" t="str">
        <f>IFERROR(__xludf.DUMMYFUNCTION("""COMPUTED_VALUE"""),"Повтор")</f>
        <v>Повтор</v>
      </c>
      <c r="G273" s="536" t="str">
        <f>IFERROR(__xludf.DUMMYFUNCTION("""COMPUTED_VALUE"""),"д99")</f>
        <v>д99</v>
      </c>
      <c r="H273" s="338" t="str">
        <f>IFERROR(__xludf.DUMMYFUNCTION("""COMPUTED_VALUE"""),"Флексопечать")</f>
        <v>Флексопечать</v>
      </c>
      <c r="I273" s="338" t="str">
        <f>IFERROR(__xludf.DUMMYFUNCTION("""COMPUTED_VALUE"""),"Wg-450")</f>
        <v>Wg-450</v>
      </c>
      <c r="J273" s="536">
        <f>IFERROR(__xludf.DUMMYFUNCTION("""COMPUTED_VALUE"""),150000.0)</f>
        <v>150000</v>
      </c>
      <c r="K273" s="537">
        <f>IFERROR(__xludf.DUMMYFUNCTION("""COMPUTED_VALUE"""),46157.0)</f>
        <v>46157</v>
      </c>
      <c r="L273" s="537"/>
      <c r="M273" s="338" t="str">
        <f>IFERROR(__xludf.DUMMYFUNCTION("""COMPUTED_VALUE"""),"Пленка PP белая каучук")</f>
        <v>Пленка PP белая каучук</v>
      </c>
      <c r="N273" s="338" t="str">
        <f>IFERROR(__xludf.DUMMYFUNCTION("""COMPUTED_VALUE"""),"Отгружен")</f>
        <v>Отгружен</v>
      </c>
      <c r="O273" s="537"/>
      <c r="P273" s="338"/>
      <c r="Q273" s="338"/>
      <c r="R273" s="338"/>
      <c r="S273" s="338"/>
      <c r="T273" s="338"/>
      <c r="U273" s="338"/>
      <c r="V273" s="338"/>
      <c r="W273" s="338"/>
      <c r="X273" s="338"/>
      <c r="Y273" s="338"/>
      <c r="Z273" s="338"/>
    </row>
    <row r="274" ht="22.5" customHeight="1">
      <c r="A274" s="528" t="str">
        <f>IFERROR(__xludf.DUMMYFUNCTION("""COMPUTED_VALUE"""),"МПП Южное")</f>
        <v>МПП Южное</v>
      </c>
      <c r="B274" s="528"/>
      <c r="C274" s="528" t="str">
        <f>IFERROR(__xludf.DUMMYFUNCTION("""COMPUTED_VALUE"""),"Логотип МПП Южное")</f>
        <v>Логотип МПП Южное</v>
      </c>
      <c r="D274" s="528" t="str">
        <f>IFERROR(__xludf.DUMMYFUNCTION("""COMPUTED_VALUE"""),"2160/2161")</f>
        <v>2160/2161</v>
      </c>
      <c r="E274" s="528" t="str">
        <f>IFERROR(__xludf.DUMMYFUNCTION("""COMPUTED_VALUE"""),"Шаповалова Юлия")</f>
        <v>Шаповалова Юлия</v>
      </c>
      <c r="F274" s="535" t="str">
        <f>IFERROR(__xludf.DUMMYFUNCTION("""COMPUTED_VALUE"""),"ТЕСТ")</f>
        <v>ТЕСТ</v>
      </c>
      <c r="G274" s="536" t="str">
        <f>IFERROR(__xludf.DUMMYFUNCTION("""COMPUTED_VALUE"""),"58*120")</f>
        <v>58*120</v>
      </c>
      <c r="H274" s="338" t="str">
        <f>IFERROR(__xludf.DUMMYFUNCTION("""COMPUTED_VALUE"""),"Флексопечать")</f>
        <v>Флексопечать</v>
      </c>
      <c r="I274" s="338"/>
      <c r="J274" s="536"/>
      <c r="K274" s="537">
        <f>IFERROR(__xludf.DUMMYFUNCTION("""COMPUTED_VALUE"""),46148.0)</f>
        <v>46148</v>
      </c>
      <c r="L274" s="537"/>
      <c r="M274" s="338" t="str">
        <f>IFERROR(__xludf.DUMMYFUNCTION("""COMPUTED_VALUE"""),"Термо Топ для глубокой заморозки")</f>
        <v>Термо Топ для глубокой заморозки</v>
      </c>
      <c r="N274" s="338" t="str">
        <f>IFERROR(__xludf.DUMMYFUNCTION("""COMPUTED_VALUE"""),"Отгружен")</f>
        <v>Отгружен</v>
      </c>
      <c r="O274" s="537"/>
      <c r="P274" s="338" t="str">
        <f>IFERROR(__xludf.DUMMYFUNCTION("""COMPUTED_VALUE"""),"2 ролика на 76 втулке по 300 шт.
4 ролика на 40 втулке по 100 шт.")</f>
        <v>2 ролика на 76 втулке по 300 шт.
4 ролика на 40 втулке по 100 шт.</v>
      </c>
      <c r="Q274" s="338" t="str">
        <f>IFERROR(__xludf.DUMMYFUNCTION("""COMPUTED_VALUE"""),"Краснодарский край, г. Гулькевичи, Территория Промзона 1 Г 8-918-032-19-47 Дарья, 9-18, пн-пт.")</f>
        <v>Краснодарский край, г. Гулькевичи, Территория Промзона 1 Г 8-918-032-19-47 Дарья, 9-18, пн-пт.</v>
      </c>
      <c r="R274" s="338"/>
      <c r="S274" s="338"/>
      <c r="T274" s="338"/>
      <c r="U274" s="338"/>
      <c r="V274" s="338"/>
      <c r="W274" s="338"/>
      <c r="X274" s="338"/>
      <c r="Y274" s="338"/>
      <c r="Z274" s="338"/>
    </row>
    <row r="275" ht="22.5" customHeight="1">
      <c r="A275" s="528" t="str">
        <f>IFERROR(__xludf.DUMMYFUNCTION("""COMPUTED_VALUE"""),"     
ООО""ФерЭльГам""")</f>
        <v>     
ООО"ФерЭльГам"</v>
      </c>
      <c r="B275" s="528"/>
      <c r="C275" s="528" t="str">
        <f>IFERROR(__xludf.DUMMYFUNCTION("""COMPUTED_VALUE"""),"470796 Огурцы соленые 1100 гр. бок Ваш выбор Этик. ")</f>
        <v>470796 Огурцы соленые 1100 гр. бок Ваш выбор Этик. </v>
      </c>
      <c r="D275" s="528">
        <f>IFERROR(__xludf.DUMMYFUNCTION("""COMPUTED_VALUE"""),2380.0)</f>
        <v>2380</v>
      </c>
      <c r="E275" s="528" t="str">
        <f>IFERROR(__xludf.DUMMYFUNCTION("""COMPUTED_VALUE"""),"Баранов Александр")</f>
        <v>Баранов Александр</v>
      </c>
      <c r="F275" s="535" t="str">
        <f>IFERROR(__xludf.DUMMYFUNCTION("""COMPUTED_VALUE"""),"Повтор")</f>
        <v>Повтор</v>
      </c>
      <c r="G275" s="536" t="str">
        <f>IFERROR(__xludf.DUMMYFUNCTION("""COMPUTED_VALUE"""),"60*110")</f>
        <v>60*110</v>
      </c>
      <c r="H275" s="338" t="str">
        <f>IFERROR(__xludf.DUMMYFUNCTION("""COMPUTED_VALUE"""),"Флексопечать")</f>
        <v>Флексопечать</v>
      </c>
      <c r="I275" s="338" t="str">
        <f>IFERROR(__xludf.DUMMYFUNCTION("""COMPUTED_VALUE"""),"Wg-450")</f>
        <v>Wg-450</v>
      </c>
      <c r="J275" s="536">
        <f>IFERROR(__xludf.DUMMYFUNCTION("""COMPUTED_VALUE"""),30000.0)</f>
        <v>30000</v>
      </c>
      <c r="K275" s="537">
        <f>IFERROR(__xludf.DUMMYFUNCTION("""COMPUTED_VALUE"""),46157.0)</f>
        <v>46157</v>
      </c>
      <c r="L275" s="537"/>
      <c r="M275" s="338" t="str">
        <f>IFERROR(__xludf.DUMMYFUNCTION("""COMPUTED_VALUE"""),"Пленка PP белая каучук")</f>
        <v>Пленка PP белая каучук</v>
      </c>
      <c r="N275" s="338" t="str">
        <f>IFERROR(__xludf.DUMMYFUNCTION("""COMPUTED_VALUE"""),"Отгружен")</f>
        <v>Отгружен</v>
      </c>
      <c r="O275" s="537"/>
      <c r="P275" s="338"/>
      <c r="Q275" s="338"/>
      <c r="R275" s="338"/>
      <c r="S275" s="338"/>
      <c r="T275" s="338"/>
      <c r="U275" s="338"/>
      <c r="V275" s="338"/>
      <c r="W275" s="338"/>
      <c r="X275" s="338"/>
      <c r="Y275" s="338"/>
      <c r="Z275" s="338"/>
    </row>
    <row r="276" ht="22.5" customHeight="1">
      <c r="A276" s="528" t="str">
        <f>IFERROR(__xludf.DUMMYFUNCTION("""COMPUTED_VALUE"""),"     
ООО""ФерЭльГам""")</f>
        <v>     
ООО"ФерЭльГам"</v>
      </c>
      <c r="B276" s="528"/>
      <c r="C276" s="528" t="str">
        <f>IFERROR(__xludf.DUMMYFUNCTION("""COMPUTED_VALUE"""),"471015 Капуста квашеная с морковью и хреном 350 г (Семейные секреты) этик.")</f>
        <v>471015 Капуста квашеная с морковью и хреном 350 г (Семейные секреты) этик.</v>
      </c>
      <c r="D276" s="528">
        <f>IFERROR(__xludf.DUMMYFUNCTION("""COMPUTED_VALUE"""),2381.0)</f>
        <v>2381</v>
      </c>
      <c r="E276" s="528" t="str">
        <f>IFERROR(__xludf.DUMMYFUNCTION("""COMPUTED_VALUE"""),"Баранов Александр")</f>
        <v>Баранов Александр</v>
      </c>
      <c r="F276" s="535" t="str">
        <f>IFERROR(__xludf.DUMMYFUNCTION("""COMPUTED_VALUE"""),"Повтор")</f>
        <v>Повтор</v>
      </c>
      <c r="G276" s="536" t="str">
        <f>IFERROR(__xludf.DUMMYFUNCTION("""COMPUTED_VALUE"""),"д110")</f>
        <v>д110</v>
      </c>
      <c r="H276" s="338" t="str">
        <f>IFERROR(__xludf.DUMMYFUNCTION("""COMPUTED_VALUE"""),"Флексопечать")</f>
        <v>Флексопечать</v>
      </c>
      <c r="I276" s="338" t="str">
        <f>IFERROR(__xludf.DUMMYFUNCTION("""COMPUTED_VALUE"""),"Wg-450")</f>
        <v>Wg-450</v>
      </c>
      <c r="J276" s="536">
        <f>IFERROR(__xludf.DUMMYFUNCTION("""COMPUTED_VALUE"""),150000.0)</f>
        <v>150000</v>
      </c>
      <c r="K276" s="537">
        <f>IFERROR(__xludf.DUMMYFUNCTION("""COMPUTED_VALUE"""),46157.0)</f>
        <v>46157</v>
      </c>
      <c r="L276" s="537"/>
      <c r="M276" s="338" t="str">
        <f>IFERROR(__xludf.DUMMYFUNCTION("""COMPUTED_VALUE"""),"Пленка PP белая каучук")</f>
        <v>Пленка PP белая каучук</v>
      </c>
      <c r="N276" s="338" t="str">
        <f>IFERROR(__xludf.DUMMYFUNCTION("""COMPUTED_VALUE"""),"Отгружен")</f>
        <v>Отгружен</v>
      </c>
      <c r="O276" s="537"/>
      <c r="P276" s="338"/>
      <c r="Q276" s="338"/>
      <c r="R276" s="338"/>
      <c r="S276" s="338"/>
      <c r="T276" s="338"/>
      <c r="U276" s="338"/>
      <c r="V276" s="338"/>
      <c r="W276" s="338"/>
      <c r="X276" s="338"/>
      <c r="Y276" s="338"/>
      <c r="Z276" s="338"/>
    </row>
    <row r="277" ht="22.5" customHeight="1">
      <c r="A277" s="528" t="str">
        <f>IFERROR(__xludf.DUMMYFUNCTION("""COMPUTED_VALUE"""),"Калье")</f>
        <v>Калье</v>
      </c>
      <c r="B277" s="528"/>
      <c r="C277" s="528" t="str">
        <f>IFERROR(__xludf.DUMMYFUNCTION("""COMPUTED_VALUE"""),"Пенка-кератолик")</f>
        <v>Пенка-кератолик</v>
      </c>
      <c r="D277" s="528">
        <f>IFERROR(__xludf.DUMMYFUNCTION("""COMPUTED_VALUE"""),2384.0)</f>
        <v>2384</v>
      </c>
      <c r="E277" s="528" t="str">
        <f>IFERROR(__xludf.DUMMYFUNCTION("""COMPUTED_VALUE"""),"Татьяна Денисова")</f>
        <v>Татьяна Денисова</v>
      </c>
      <c r="F277" s="535" t="str">
        <f>IFERROR(__xludf.DUMMYFUNCTION("""COMPUTED_VALUE"""),"Новая")</f>
        <v>Новая</v>
      </c>
      <c r="G277" s="536" t="str">
        <f>IFERROR(__xludf.DUMMYFUNCTION("""COMPUTED_VALUE"""),"90*58")</f>
        <v>90*58</v>
      </c>
      <c r="H277" s="338" t="str">
        <f>IFERROR(__xludf.DUMMYFUNCTION("""COMPUTED_VALUE"""),"Флексопечать")</f>
        <v>Флексопечать</v>
      </c>
      <c r="I277" s="338" t="str">
        <f>IFERROR(__xludf.DUMMYFUNCTION("""COMPUTED_VALUE"""),"LS(ЦПМ)")</f>
        <v>LS(ЦПМ)</v>
      </c>
      <c r="J277" s="536">
        <f>IFERROR(__xludf.DUMMYFUNCTION("""COMPUTED_VALUE"""),3250.0)</f>
        <v>3250</v>
      </c>
      <c r="K277" s="537">
        <f>IFERROR(__xludf.DUMMYFUNCTION("""COMPUTED_VALUE"""),46157.0)</f>
        <v>46157</v>
      </c>
      <c r="L277" s="537"/>
      <c r="M277" s="338" t="str">
        <f>IFERROR(__xludf.DUMMYFUNCTION("""COMPUTED_VALUE"""),"Пленка PP белая акрил")</f>
        <v>Пленка PP белая акрил</v>
      </c>
      <c r="N277" s="338" t="str">
        <f>IFERROR(__xludf.DUMMYFUNCTION("""COMPUTED_VALUE"""),"Отгружен")</f>
        <v>Отгружен</v>
      </c>
      <c r="O277" s="537"/>
      <c r="P277" s="338" t="str">
        <f>IFERROR(__xludf.DUMMYFUNCTION("""COMPUTED_VALUE"""),"Приладка в раб дни до 17:30 как обычно")</f>
        <v>Приладка в раб дни до 17:30 как обычно</v>
      </c>
      <c r="Q277" s="338" t="str">
        <f>IFERROR(__xludf.DUMMYFUNCTION("""COMPUTED_VALUE"""),"Сама заказываю ТК")</f>
        <v>Сама заказываю ТК</v>
      </c>
      <c r="R277" s="338"/>
      <c r="S277" s="338"/>
      <c r="T277" s="338"/>
      <c r="U277" s="338"/>
      <c r="V277" s="338"/>
      <c r="W277" s="338"/>
      <c r="X277" s="338"/>
      <c r="Y277" s="338"/>
      <c r="Z277" s="338"/>
    </row>
    <row r="278" ht="22.5" customHeight="1">
      <c r="A278" s="528" t="str">
        <f>IFERROR(__xludf.DUMMYFUNCTION("""COMPUTED_VALUE"""),"Ангстрем/Националь")</f>
        <v>Ангстрем/Националь</v>
      </c>
      <c r="B278" s="528"/>
      <c r="C278" s="528" t="str">
        <f>IFERROR(__xludf.DUMMYFUNCTION("""COMPUTED_VALUE"""),"Этикетка стикер Птитим хорека")</f>
        <v>Этикетка стикер Птитим хорека</v>
      </c>
      <c r="D278" s="528">
        <f>IFERROR(__xludf.DUMMYFUNCTION("""COMPUTED_VALUE"""),2385.0)</f>
        <v>2385</v>
      </c>
      <c r="E278" s="528" t="str">
        <f>IFERROR(__xludf.DUMMYFUNCTION("""COMPUTED_VALUE"""),"Шаповалова Юлия")</f>
        <v>Шаповалова Юлия</v>
      </c>
      <c r="F278" s="535" t="str">
        <f>IFERROR(__xludf.DUMMYFUNCTION("""COMPUTED_VALUE"""),"Новая")</f>
        <v>Новая</v>
      </c>
      <c r="G278" s="536" t="str">
        <f>IFERROR(__xludf.DUMMYFUNCTION("""COMPUTED_VALUE"""),"100х70")</f>
        <v>100х70</v>
      </c>
      <c r="H278" s="338" t="str">
        <f>IFERROR(__xludf.DUMMYFUNCTION("""COMPUTED_VALUE"""),"Флексопечать")</f>
        <v>Флексопечать</v>
      </c>
      <c r="I278" s="338" t="str">
        <f>IFERROR(__xludf.DUMMYFUNCTION("""COMPUTED_VALUE"""),"LS(ЦПМ)")</f>
        <v>LS(ЦПМ)</v>
      </c>
      <c r="J278" s="536" t="str">
        <f>IFERROR(__xludf.DUMMYFUNCTION("""COMPUTED_VALUE"""),"10 000")</f>
        <v>10 000</v>
      </c>
      <c r="K278" s="537">
        <f>IFERROR(__xludf.DUMMYFUNCTION("""COMPUTED_VALUE"""),46154.0)</f>
        <v>46154</v>
      </c>
      <c r="L278" s="537"/>
      <c r="M278" s="338" t="str">
        <f>IFERROR(__xludf.DUMMYFUNCTION("""COMPUTED_VALUE"""),"Бумага полуглянец акрил")</f>
        <v>Бумага полуглянец акрил</v>
      </c>
      <c r="N278" s="338" t="str">
        <f>IFERROR(__xludf.DUMMYFUNCTION("""COMPUTED_VALUE"""),"Отгружен")</f>
        <v>Отгружен</v>
      </c>
      <c r="O278" s="537"/>
      <c r="P278" s="338" t="str">
        <f>IFERROR(__xludf.DUMMYFUNCTION("""COMPUTED_VALUE"""),"паспорт качества")</f>
        <v>паспорт качества</v>
      </c>
      <c r="Q278" s="338" t="str">
        <f>IFERROR(__xludf.DUMMYFUNCTION("""COMPUTED_VALUE"""),"""Краснодарский край, Красноармейский р-н, Протичка х, 2000 метров на восток от хутора
 Контактное лицо: Мурзинов Дмитрий, 8-989-267-19-51""")</f>
        <v>"Краснодарский край, Красноармейский р-н, Протичка х, 2000 метров на восток от хутора
 Контактное лицо: Мурзинов Дмитрий, 8-989-267-19-51"</v>
      </c>
      <c r="R278" s="338"/>
      <c r="S278" s="338"/>
      <c r="T278" s="338"/>
      <c r="U278" s="338"/>
      <c r="V278" s="338"/>
      <c r="W278" s="338"/>
      <c r="X278" s="338"/>
      <c r="Y278" s="338"/>
      <c r="Z278" s="338"/>
    </row>
    <row r="279" ht="22.5" customHeight="1">
      <c r="A279" s="528" t="str">
        <f>IFERROR(__xludf.DUMMYFUNCTION("""COMPUTED_VALUE"""),"ООО ""Абиогрупп""")</f>
        <v>ООО "Абиогрупп"</v>
      </c>
      <c r="B279" s="528"/>
      <c r="C279" s="528" t="str">
        <f>IFERROR(__xludf.DUMMYFUNCTION("""COMPUTED_VALUE"""),"Этикетка ""мука кормовая животного происхождения (Птица)
сорт 1 70*99"" бумага полуглянец каучуковый")</f>
        <v>Этикетка "мука кормовая животного происхождения (Птица)
сорт 1 70*99" бумага полуглянец каучуковый</v>
      </c>
      <c r="D279" s="528">
        <f>IFERROR(__xludf.DUMMYFUNCTION("""COMPUTED_VALUE"""),2389.0)</f>
        <v>2389</v>
      </c>
      <c r="E279" s="528" t="str">
        <f>IFERROR(__xludf.DUMMYFUNCTION("""COMPUTED_VALUE"""),"Баранов Александр")</f>
        <v>Баранов Александр</v>
      </c>
      <c r="F279" s="535" t="str">
        <f>IFERROR(__xludf.DUMMYFUNCTION("""COMPUTED_VALUE"""),"Повтор с изменениями")</f>
        <v>Повтор с изменениями</v>
      </c>
      <c r="G279" s="536" t="str">
        <f>IFERROR(__xludf.DUMMYFUNCTION("""COMPUTED_VALUE"""),"70*99")</f>
        <v>70*99</v>
      </c>
      <c r="H279" s="338" t="str">
        <f>IFERROR(__xludf.DUMMYFUNCTION("""COMPUTED_VALUE"""),"Флексопечать")</f>
        <v>Флексопечать</v>
      </c>
      <c r="I279" s="338" t="str">
        <f>IFERROR(__xludf.DUMMYFUNCTION("""COMPUTED_VALUE"""),"G-160")</f>
        <v>G-160</v>
      </c>
      <c r="J279" s="536">
        <f>IFERROR(__xludf.DUMMYFUNCTION("""COMPUTED_VALUE"""),7500.0)</f>
        <v>7500</v>
      </c>
      <c r="K279" s="537">
        <f>IFERROR(__xludf.DUMMYFUNCTION("""COMPUTED_VALUE"""),46150.0)</f>
        <v>46150</v>
      </c>
      <c r="L279" s="537"/>
      <c r="M279" s="338" t="str">
        <f>IFERROR(__xludf.DUMMYFUNCTION("""COMPUTED_VALUE"""),"Бумага полуглянец каучук")</f>
        <v>Бумага полуглянец каучук</v>
      </c>
      <c r="N279" s="338" t="str">
        <f>IFERROR(__xludf.DUMMYFUNCTION("""COMPUTED_VALUE"""),"Отгружен")</f>
        <v>Отгружен</v>
      </c>
      <c r="O279" s="537"/>
      <c r="P279" s="338" t="str">
        <f>IFERROR(__xludf.DUMMYFUNCTION("""COMPUTED_VALUE"""),"ЗАМЕНА ЧЕРНОЙ ФОРМЫ")</f>
        <v>ЗАМЕНА ЧЕРНОЙ ФОРМЫ</v>
      </c>
      <c r="Q279" s="338"/>
      <c r="R279" s="338"/>
      <c r="S279" s="338"/>
      <c r="T279" s="338"/>
      <c r="U279" s="338"/>
      <c r="V279" s="338"/>
      <c r="W279" s="338"/>
      <c r="X279" s="338"/>
      <c r="Y279" s="338"/>
      <c r="Z279" s="338"/>
    </row>
    <row r="280" ht="22.5" customHeight="1">
      <c r="A280" s="528" t="str">
        <f>IFERROR(__xludf.DUMMYFUNCTION("""COMPUTED_VALUE"""),"ООО ФОсфорель")</f>
        <v>ООО ФОсфорель</v>
      </c>
      <c r="B280" s="528"/>
      <c r="C280" s="528" t="str">
        <f>IFERROR(__xludf.DUMMYFUNCTION("""COMPUTED_VALUE"""),"Этикетка ""Атлантика кальмар горячего копчения 80гр""")</f>
        <v>Этикетка "Атлантика кальмар горячего копчения 80гр"</v>
      </c>
      <c r="D280" s="528">
        <f>IFERROR(__xludf.DUMMYFUNCTION("""COMPUTED_VALUE"""),2393.0)</f>
        <v>2393</v>
      </c>
      <c r="E280" s="528" t="str">
        <f>IFERROR(__xludf.DUMMYFUNCTION("""COMPUTED_VALUE"""),"Римма Лукина")</f>
        <v>Римма Лукина</v>
      </c>
      <c r="F280" s="535" t="str">
        <f>IFERROR(__xludf.DUMMYFUNCTION("""COMPUTED_VALUE"""),"Новая")</f>
        <v>Новая</v>
      </c>
      <c r="G280" s="536" t="str">
        <f>IFERROR(__xludf.DUMMYFUNCTION("""COMPUTED_VALUE"""),"90*90")</f>
        <v>90*90</v>
      </c>
      <c r="H280" s="338" t="str">
        <f>IFERROR(__xludf.DUMMYFUNCTION("""COMPUTED_VALUE"""),"Флексопечать")</f>
        <v>Флексопечать</v>
      </c>
      <c r="I280" s="338" t="str">
        <f>IFERROR(__xludf.DUMMYFUNCTION("""COMPUTED_VALUE"""),"Bg-330")</f>
        <v>Bg-330</v>
      </c>
      <c r="J280" s="536">
        <f>IFERROR(__xludf.DUMMYFUNCTION("""COMPUTED_VALUE"""),30000.0)</f>
        <v>30000</v>
      </c>
      <c r="K280" s="537">
        <f>IFERROR(__xludf.DUMMYFUNCTION("""COMPUTED_VALUE"""),46157.0)</f>
        <v>46157</v>
      </c>
      <c r="L280" s="537"/>
      <c r="M280" s="338" t="str">
        <f>IFERROR(__xludf.DUMMYFUNCTION("""COMPUTED_VALUE"""),"Пленка PP белая акрил")</f>
        <v>Пленка PP белая акрил</v>
      </c>
      <c r="N280" s="338" t="str">
        <f>IFERROR(__xludf.DUMMYFUNCTION("""COMPUTED_VALUE"""),"Отгружен")</f>
        <v>Отгружен</v>
      </c>
      <c r="O280" s="537"/>
      <c r="P280" s="338" t="str">
        <f>IFERROR(__xludf.DUMMYFUNCTION("""COMPUTED_VALUE"""),"паспорт качества, отвезти на ПВЗ СДЭК")</f>
        <v>паспорт качества, отвезти на ПВЗ СДЭК</v>
      </c>
      <c r="Q280" s="338" t="str">
        <f>IFERROR(__xludf.DUMMYFUNCTION("""COMPUTED_VALUE"""),"Оформила накладную СДЭК")</f>
        <v>Оформила накладную СДЭК</v>
      </c>
      <c r="R280" s="338"/>
      <c r="S280" s="338"/>
      <c r="T280" s="338"/>
      <c r="U280" s="338"/>
      <c r="V280" s="338"/>
      <c r="W280" s="338"/>
      <c r="X280" s="338"/>
      <c r="Y280" s="338"/>
      <c r="Z280" s="338"/>
    </row>
    <row r="281" ht="22.5" customHeight="1">
      <c r="A281" s="528" t="str">
        <f>IFERROR(__xludf.DUMMYFUNCTION("""COMPUTED_VALUE"""),"Ангстрем/Националь")</f>
        <v>Ангстрем/Националь</v>
      </c>
      <c r="B281" s="528"/>
      <c r="C281" s="528" t="str">
        <f>IFERROR(__xludf.DUMMYFUNCTION("""COMPUTED_VALUE"""),"Клапан 70*30")</f>
        <v>Клапан 70*30</v>
      </c>
      <c r="D281" s="528">
        <f>IFERROR(__xludf.DUMMYFUNCTION("""COMPUTED_VALUE"""),2395.0)</f>
        <v>2395</v>
      </c>
      <c r="E281" s="528" t="str">
        <f>IFERROR(__xludf.DUMMYFUNCTION("""COMPUTED_VALUE"""),"Шаповалова Юлия")</f>
        <v>Шаповалова Юлия</v>
      </c>
      <c r="F281" s="535" t="str">
        <f>IFERROR(__xludf.DUMMYFUNCTION("""COMPUTED_VALUE"""),"Повтор")</f>
        <v>Повтор</v>
      </c>
      <c r="G281" s="536" t="str">
        <f>IFERROR(__xludf.DUMMYFUNCTION("""COMPUTED_VALUE"""),"70х30")</f>
        <v>70х30</v>
      </c>
      <c r="H281" s="338" t="str">
        <f>IFERROR(__xludf.DUMMYFUNCTION("""COMPUTED_VALUE"""),"Флексопечать")</f>
        <v>Флексопечать</v>
      </c>
      <c r="I281" s="338" t="str">
        <f>IFERROR(__xludf.DUMMYFUNCTION("""COMPUTED_VALUE"""),"Wg-450")</f>
        <v>Wg-450</v>
      </c>
      <c r="J281" s="536" t="str">
        <f>IFERROR(__xludf.DUMMYFUNCTION("""COMPUTED_VALUE"""),"120 000")</f>
        <v>120 000</v>
      </c>
      <c r="K281" s="537">
        <f>IFERROR(__xludf.DUMMYFUNCTION("""COMPUTED_VALUE"""),46154.0)</f>
        <v>46154</v>
      </c>
      <c r="L281" s="537"/>
      <c r="M281" s="338" t="str">
        <f>IFERROR(__xludf.DUMMYFUNCTION("""COMPUTED_VALUE"""),"Пленка PP прозрачная")</f>
        <v>Пленка PP прозрачная</v>
      </c>
      <c r="N281" s="338" t="str">
        <f>IFERROR(__xludf.DUMMYFUNCTION("""COMPUTED_VALUE"""),"Отгружен")</f>
        <v>Отгружен</v>
      </c>
      <c r="O281" s="537"/>
      <c r="P281" s="338" t="str">
        <f>IFERROR(__xludf.DUMMYFUNCTION("""COMPUTED_VALUE"""),"паспорт качества")</f>
        <v>паспорт качества</v>
      </c>
      <c r="Q281" s="338" t="str">
        <f>IFERROR(__xludf.DUMMYFUNCTION("""COMPUTED_VALUE"""),"""Краснодарский край, Красноармейский р-н, Протичка х, 2000 метров на восток от хутора
 Контактное лицо: Мурзинов Дмитрий, 8-989-267-19-51""")</f>
        <v>"Краснодарский край, Красноармейский р-н, Протичка х, 2000 метров на восток от хутора
 Контактное лицо: Мурзинов Дмитрий, 8-989-267-19-51"</v>
      </c>
      <c r="R281" s="338"/>
      <c r="S281" s="338"/>
      <c r="T281" s="338"/>
      <c r="U281" s="338"/>
      <c r="V281" s="338"/>
      <c r="W281" s="338"/>
      <c r="X281" s="338"/>
      <c r="Y281" s="338"/>
      <c r="Z281" s="338"/>
    </row>
    <row r="282" ht="22.5" customHeight="1">
      <c r="A282" s="528" t="str">
        <f>IFERROR(__xludf.DUMMYFUNCTION("""COMPUTED_VALUE"""),"     
ООО""ФерЭльГам""")</f>
        <v>     
ООО"ФерЭльГам"</v>
      </c>
      <c r="B282" s="528"/>
      <c r="C282" s="528" t="str">
        <f>IFERROR(__xludf.DUMMYFUNCTION("""COMPUTED_VALUE"""),"471036 Томаты ЛЕНТА соленые красные Черри 500г .")</f>
        <v>471036 Томаты ЛЕНТА соленые красные Черри 500г .</v>
      </c>
      <c r="D282" s="528">
        <f>IFERROR(__xludf.DUMMYFUNCTION("""COMPUTED_VALUE"""),2396.0)</f>
        <v>2396</v>
      </c>
      <c r="E282" s="528" t="str">
        <f>IFERROR(__xludf.DUMMYFUNCTION("""COMPUTED_VALUE"""),"Баранов Александр")</f>
        <v>Баранов Александр</v>
      </c>
      <c r="F282" s="535" t="str">
        <f>IFERROR(__xludf.DUMMYFUNCTION("""COMPUTED_VALUE"""),"Новая")</f>
        <v>Новая</v>
      </c>
      <c r="G282" s="536" t="str">
        <f>IFERROR(__xludf.DUMMYFUNCTION("""COMPUTED_VALUE"""),"д110")</f>
        <v>д110</v>
      </c>
      <c r="H282" s="338" t="str">
        <f>IFERROR(__xludf.DUMMYFUNCTION("""COMPUTED_VALUE"""),"Флексопечать")</f>
        <v>Флексопечать</v>
      </c>
      <c r="I282" s="338" t="str">
        <f>IFERROR(__xludf.DUMMYFUNCTION("""COMPUTED_VALUE"""),"Wg-450")</f>
        <v>Wg-450</v>
      </c>
      <c r="J282" s="536">
        <f>IFERROR(__xludf.DUMMYFUNCTION("""COMPUTED_VALUE"""),10000.0)</f>
        <v>10000</v>
      </c>
      <c r="K282" s="537">
        <f>IFERROR(__xludf.DUMMYFUNCTION("""COMPUTED_VALUE"""),46149.0)</f>
        <v>46149</v>
      </c>
      <c r="L282" s="537"/>
      <c r="M282" s="338" t="str">
        <f>IFERROR(__xludf.DUMMYFUNCTION("""COMPUTED_VALUE"""),"Пленка PP белая каучук")</f>
        <v>Пленка PP белая каучук</v>
      </c>
      <c r="N282" s="338" t="str">
        <f>IFERROR(__xludf.DUMMYFUNCTION("""COMPUTED_VALUE"""),"Отгружен")</f>
        <v>Отгружен</v>
      </c>
      <c r="O282" s="537"/>
      <c r="P282" s="338"/>
      <c r="Q282" s="338"/>
      <c r="R282" s="338"/>
      <c r="S282" s="338"/>
      <c r="T282" s="338"/>
      <c r="U282" s="338"/>
      <c r="V282" s="338"/>
      <c r="W282" s="338"/>
      <c r="X282" s="338"/>
      <c r="Y282" s="338"/>
      <c r="Z282" s="338"/>
    </row>
    <row r="283" ht="22.5" customHeight="1">
      <c r="A283" s="528" t="str">
        <f>IFERROR(__xludf.DUMMYFUNCTION("""COMPUTED_VALUE"""),"     
ООО""ФерЭльГам""")</f>
        <v>     
ООО"ФерЭльГам"</v>
      </c>
      <c r="B283" s="528"/>
      <c r="C283" s="528" t="str">
        <f>IFERROR(__xludf.DUMMYFUNCTION("""COMPUTED_VALUE"""),"470240 Капуста с морковью 500 г (Глобус) этик.")</f>
        <v>470240 Капуста с морковью 500 г (Глобус) этик.</v>
      </c>
      <c r="D283" s="528">
        <f>IFERROR(__xludf.DUMMYFUNCTION("""COMPUTED_VALUE"""),2397.0)</f>
        <v>2397</v>
      </c>
      <c r="E283" s="528" t="str">
        <f>IFERROR(__xludf.DUMMYFUNCTION("""COMPUTED_VALUE"""),"Баранов Александр")</f>
        <v>Баранов Александр</v>
      </c>
      <c r="F283" s="535" t="str">
        <f>IFERROR(__xludf.DUMMYFUNCTION("""COMPUTED_VALUE"""),"Новая")</f>
        <v>Новая</v>
      </c>
      <c r="G283" s="536" t="str">
        <f>IFERROR(__xludf.DUMMYFUNCTION("""COMPUTED_VALUE"""),"д108")</f>
        <v>д108</v>
      </c>
      <c r="H283" s="338" t="str">
        <f>IFERROR(__xludf.DUMMYFUNCTION("""COMPUTED_VALUE"""),"Флексопечать")</f>
        <v>Флексопечать</v>
      </c>
      <c r="I283" s="338" t="str">
        <f>IFERROR(__xludf.DUMMYFUNCTION("""COMPUTED_VALUE"""),"Wg-450")</f>
        <v>Wg-450</v>
      </c>
      <c r="J283" s="536">
        <f>IFERROR(__xludf.DUMMYFUNCTION("""COMPUTED_VALUE"""),20000.0)</f>
        <v>20000</v>
      </c>
      <c r="K283" s="537">
        <f>IFERROR(__xludf.DUMMYFUNCTION("""COMPUTED_VALUE"""),46149.0)</f>
        <v>46149</v>
      </c>
      <c r="L283" s="537"/>
      <c r="M283" s="338" t="str">
        <f>IFERROR(__xludf.DUMMYFUNCTION("""COMPUTED_VALUE"""),"Пленка PP белая каучук")</f>
        <v>Пленка PP белая каучук</v>
      </c>
      <c r="N283" s="338" t="str">
        <f>IFERROR(__xludf.DUMMYFUNCTION("""COMPUTED_VALUE"""),"Отгружен")</f>
        <v>Отгружен</v>
      </c>
      <c r="O283" s="537"/>
      <c r="P283" s="338"/>
      <c r="Q283" s="338"/>
      <c r="R283" s="338"/>
      <c r="S283" s="338"/>
      <c r="T283" s="338"/>
      <c r="U283" s="338"/>
      <c r="V283" s="338"/>
      <c r="W283" s="338"/>
      <c r="X283" s="338"/>
      <c r="Y283" s="338"/>
      <c r="Z283" s="338"/>
    </row>
    <row r="284" ht="22.5" customHeight="1">
      <c r="A284" s="528" t="str">
        <f>IFERROR(__xludf.DUMMYFUNCTION("""COMPUTED_VALUE"""),"     
ООО""ФерЭльГам""")</f>
        <v>     
ООО"ФерЭльГам"</v>
      </c>
      <c r="B284" s="528"/>
      <c r="C284" s="528" t="str">
        <f>IFERROR(__xludf.DUMMYFUNCTION("""COMPUTED_VALUE"""),"470137 Капуста квашеная с морковью 500 г (Магнит) этик.")</f>
        <v>470137 Капуста квашеная с морковью 500 г (Магнит) этик.</v>
      </c>
      <c r="D284" s="528">
        <f>IFERROR(__xludf.DUMMYFUNCTION("""COMPUTED_VALUE"""),2399.0)</f>
        <v>2399</v>
      </c>
      <c r="E284" s="528" t="str">
        <f>IFERROR(__xludf.DUMMYFUNCTION("""COMPUTED_VALUE"""),"Баранов Александр")</f>
        <v>Баранов Александр</v>
      </c>
      <c r="F284" s="535" t="str">
        <f>IFERROR(__xludf.DUMMYFUNCTION("""COMPUTED_VALUE"""),"Повтор")</f>
        <v>Повтор</v>
      </c>
      <c r="G284" s="536" t="str">
        <f>IFERROR(__xludf.DUMMYFUNCTION("""COMPUTED_VALUE"""),"д110")</f>
        <v>д110</v>
      </c>
      <c r="H284" s="338" t="str">
        <f>IFERROR(__xludf.DUMMYFUNCTION("""COMPUTED_VALUE"""),"Флексопечать")</f>
        <v>Флексопечать</v>
      </c>
      <c r="I284" s="338" t="str">
        <f>IFERROR(__xludf.DUMMYFUNCTION("""COMPUTED_VALUE"""),"Wg-450")</f>
        <v>Wg-450</v>
      </c>
      <c r="J284" s="536">
        <f>IFERROR(__xludf.DUMMYFUNCTION("""COMPUTED_VALUE"""),352500.0)</f>
        <v>352500</v>
      </c>
      <c r="K284" s="537">
        <f>IFERROR(__xludf.DUMMYFUNCTION("""COMPUTED_VALUE"""),46157.0)</f>
        <v>46157</v>
      </c>
      <c r="L284" s="537"/>
      <c r="M284" s="338" t="str">
        <f>IFERROR(__xludf.DUMMYFUNCTION("""COMPUTED_VALUE"""),"Пленка PP белая каучук")</f>
        <v>Пленка PP белая каучук</v>
      </c>
      <c r="N284" s="338" t="str">
        <f>IFERROR(__xludf.DUMMYFUNCTION("""COMPUTED_VALUE"""),"Отгружен")</f>
        <v>Отгружен</v>
      </c>
      <c r="O284" s="537"/>
      <c r="P284" s="338" t="str">
        <f>IFERROR(__xludf.DUMMYFUNCTION("""COMPUTED_VALUE"""),"2500 лишние в отгрузку")</f>
        <v>2500 лишние в отгрузку</v>
      </c>
      <c r="Q284" s="338"/>
      <c r="R284" s="338"/>
      <c r="S284" s="338"/>
      <c r="T284" s="338"/>
      <c r="U284" s="338"/>
      <c r="V284" s="338"/>
      <c r="W284" s="338"/>
      <c r="X284" s="338"/>
      <c r="Y284" s="338"/>
      <c r="Z284" s="338"/>
    </row>
    <row r="285" ht="22.5" customHeight="1">
      <c r="A285" s="528" t="str">
        <f>IFERROR(__xludf.DUMMYFUNCTION("""COMPUTED_VALUE"""),"     
ООО""ФерЭльГам""")</f>
        <v>     
ООО"ФерЭльГам"</v>
      </c>
      <c r="B285" s="528"/>
      <c r="C285" s="528" t="str">
        <f>IFERROR(__xludf.DUMMYFUNCTION("""COMPUTED_VALUE""")," 471012 Морковь по-корейски 350 г Этик. ")</f>
        <v> 471012 Морковь по-корейски 350 г Этик. </v>
      </c>
      <c r="D285" s="528">
        <f>IFERROR(__xludf.DUMMYFUNCTION("""COMPUTED_VALUE"""),2400.0)</f>
        <v>2400</v>
      </c>
      <c r="E285" s="528" t="str">
        <f>IFERROR(__xludf.DUMMYFUNCTION("""COMPUTED_VALUE"""),"Баранов Александр")</f>
        <v>Баранов Александр</v>
      </c>
      <c r="F285" s="535" t="str">
        <f>IFERROR(__xludf.DUMMYFUNCTION("""COMPUTED_VALUE"""),"Новая")</f>
        <v>Новая</v>
      </c>
      <c r="G285" s="536" t="str">
        <f>IFERROR(__xludf.DUMMYFUNCTION("""COMPUTED_VALUE"""),"д110")</f>
        <v>д110</v>
      </c>
      <c r="H285" s="338" t="str">
        <f>IFERROR(__xludf.DUMMYFUNCTION("""COMPUTED_VALUE"""),"Флексопечать")</f>
        <v>Флексопечать</v>
      </c>
      <c r="I285" s="338" t="str">
        <f>IFERROR(__xludf.DUMMYFUNCTION("""COMPUTED_VALUE"""),"Wg-450")</f>
        <v>Wg-450</v>
      </c>
      <c r="J285" s="536">
        <f>IFERROR(__xludf.DUMMYFUNCTION("""COMPUTED_VALUE"""),20000.0)</f>
        <v>20000</v>
      </c>
      <c r="K285" s="537">
        <f>IFERROR(__xludf.DUMMYFUNCTION("""COMPUTED_VALUE"""),46148.0)</f>
        <v>46148</v>
      </c>
      <c r="L285" s="537"/>
      <c r="M285" s="338" t="str">
        <f>IFERROR(__xludf.DUMMYFUNCTION("""COMPUTED_VALUE"""),"Пленка PP белая каучук")</f>
        <v>Пленка PP белая каучук</v>
      </c>
      <c r="N285" s="338" t="str">
        <f>IFERROR(__xludf.DUMMYFUNCTION("""COMPUTED_VALUE"""),"Отгружен")</f>
        <v>Отгружен</v>
      </c>
      <c r="O285" s="537"/>
      <c r="P285" s="338"/>
      <c r="Q285" s="338"/>
      <c r="R285" s="338"/>
      <c r="S285" s="338"/>
      <c r="T285" s="338"/>
      <c r="U285" s="338"/>
      <c r="V285" s="338"/>
      <c r="W285" s="338"/>
      <c r="X285" s="338"/>
      <c r="Y285" s="338"/>
      <c r="Z285" s="338"/>
    </row>
    <row r="286" ht="22.5" customHeight="1">
      <c r="A286" s="528" t="str">
        <f>IFERROR(__xludf.DUMMYFUNCTION("""COMPUTED_VALUE"""),"     
ООО""ФерЭльГам""")</f>
        <v>     
ООО"ФерЭльГам"</v>
      </c>
      <c r="B286" s="528"/>
      <c r="C286" s="528" t="str">
        <f>IFERROR(__xludf.DUMMYFUNCTION("""COMPUTED_VALUE"""),"470249 Капуста квашеная с морковью 700 г этик.")</f>
        <v>470249 Капуста квашеная с морковью 700 г этик.</v>
      </c>
      <c r="D286" s="528">
        <f>IFERROR(__xludf.DUMMYFUNCTION("""COMPUTED_VALUE"""),2401.0)</f>
        <v>2401</v>
      </c>
      <c r="E286" s="528" t="str">
        <f>IFERROR(__xludf.DUMMYFUNCTION("""COMPUTED_VALUE"""),"Баранов Александр")</f>
        <v>Баранов Александр</v>
      </c>
      <c r="F286" s="535" t="str">
        <f>IFERROR(__xludf.DUMMYFUNCTION("""COMPUTED_VALUE"""),"Новая")</f>
        <v>Новая</v>
      </c>
      <c r="G286" s="536" t="str">
        <f>IFERROR(__xludf.DUMMYFUNCTION("""COMPUTED_VALUE"""),"д110")</f>
        <v>д110</v>
      </c>
      <c r="H286" s="338" t="str">
        <f>IFERROR(__xludf.DUMMYFUNCTION("""COMPUTED_VALUE"""),"Флексопечать")</f>
        <v>Флексопечать</v>
      </c>
      <c r="I286" s="338" t="str">
        <f>IFERROR(__xludf.DUMMYFUNCTION("""COMPUTED_VALUE"""),"Wg-450")</f>
        <v>Wg-450</v>
      </c>
      <c r="J286" s="536">
        <f>IFERROR(__xludf.DUMMYFUNCTION("""COMPUTED_VALUE"""),20000.0)</f>
        <v>20000</v>
      </c>
      <c r="K286" s="537">
        <f>IFERROR(__xludf.DUMMYFUNCTION("""COMPUTED_VALUE"""),46148.0)</f>
        <v>46148</v>
      </c>
      <c r="L286" s="537"/>
      <c r="M286" s="338" t="str">
        <f>IFERROR(__xludf.DUMMYFUNCTION("""COMPUTED_VALUE"""),"Пленка PP белая каучук")</f>
        <v>Пленка PP белая каучук</v>
      </c>
      <c r="N286" s="338" t="str">
        <f>IFERROR(__xludf.DUMMYFUNCTION("""COMPUTED_VALUE"""),"Отгружен")</f>
        <v>Отгружен</v>
      </c>
      <c r="O286" s="537"/>
      <c r="P286" s="338"/>
      <c r="Q286" s="338"/>
      <c r="R286" s="338"/>
      <c r="S286" s="338"/>
      <c r="T286" s="338"/>
      <c r="U286" s="338"/>
      <c r="V286" s="338"/>
      <c r="W286" s="338"/>
      <c r="X286" s="338"/>
      <c r="Y286" s="338"/>
      <c r="Z286" s="338"/>
    </row>
    <row r="287" ht="22.5" customHeight="1">
      <c r="A287" s="528" t="str">
        <f>IFERROR(__xludf.DUMMYFUNCTION("""COMPUTED_VALUE"""),"     
ООО""ФерЭльГам""")</f>
        <v>     
ООО"ФерЭльГам"</v>
      </c>
      <c r="B287" s="528"/>
      <c r="C287" s="528" t="str">
        <f>IFERROR(__xludf.DUMMYFUNCTION("""COMPUTED_VALUE"""),"470512 Салат из спаржи по-корейски 200 г этик.")</f>
        <v>470512 Салат из спаржи по-корейски 200 г этик.</v>
      </c>
      <c r="D287" s="528">
        <f>IFERROR(__xludf.DUMMYFUNCTION("""COMPUTED_VALUE"""),2402.0)</f>
        <v>2402</v>
      </c>
      <c r="E287" s="528" t="str">
        <f>IFERROR(__xludf.DUMMYFUNCTION("""COMPUTED_VALUE"""),"Баранов Александр")</f>
        <v>Баранов Александр</v>
      </c>
      <c r="F287" s="535" t="str">
        <f>IFERROR(__xludf.DUMMYFUNCTION("""COMPUTED_VALUE"""),"Новая")</f>
        <v>Новая</v>
      </c>
      <c r="G287" s="536" t="str">
        <f>IFERROR(__xludf.DUMMYFUNCTION("""COMPUTED_VALUE"""),"д110")</f>
        <v>д110</v>
      </c>
      <c r="H287" s="338" t="str">
        <f>IFERROR(__xludf.DUMMYFUNCTION("""COMPUTED_VALUE"""),"Флексопечать")</f>
        <v>Флексопечать</v>
      </c>
      <c r="I287" s="338" t="str">
        <f>IFERROR(__xludf.DUMMYFUNCTION("""COMPUTED_VALUE"""),"Wg-450")</f>
        <v>Wg-450</v>
      </c>
      <c r="J287" s="536">
        <f>IFERROR(__xludf.DUMMYFUNCTION("""COMPUTED_VALUE"""),10000.0)</f>
        <v>10000</v>
      </c>
      <c r="K287" s="537">
        <f>IFERROR(__xludf.DUMMYFUNCTION("""COMPUTED_VALUE"""),46148.0)</f>
        <v>46148</v>
      </c>
      <c r="L287" s="537"/>
      <c r="M287" s="338" t="str">
        <f>IFERROR(__xludf.DUMMYFUNCTION("""COMPUTED_VALUE"""),"Пленка PP белая каучук")</f>
        <v>Пленка PP белая каучук</v>
      </c>
      <c r="N287" s="338" t="str">
        <f>IFERROR(__xludf.DUMMYFUNCTION("""COMPUTED_VALUE"""),"Отгружен")</f>
        <v>Отгружен</v>
      </c>
      <c r="O287" s="537"/>
      <c r="P287" s="338"/>
      <c r="Q287" s="338"/>
      <c r="R287" s="338"/>
      <c r="S287" s="338"/>
      <c r="T287" s="338"/>
      <c r="U287" s="338"/>
      <c r="V287" s="338"/>
      <c r="W287" s="338"/>
      <c r="X287" s="338"/>
      <c r="Y287" s="338"/>
      <c r="Z287" s="338"/>
    </row>
    <row r="288" ht="22.5" customHeight="1">
      <c r="A288" s="528" t="str">
        <f>IFERROR(__xludf.DUMMYFUNCTION("""COMPUTED_VALUE"""),"ИП Ефимов")</f>
        <v>ИП Ефимов</v>
      </c>
      <c r="B288" s="528"/>
      <c r="C288" s="528" t="str">
        <f>IFERROR(__xludf.DUMMYFUNCTION("""COMPUTED_VALUE"""),"Этикетка для моющих пылесосов лицо+оборот")</f>
        <v>Этикетка для моющих пылесосов лицо+оборот</v>
      </c>
      <c r="D288" s="528">
        <f>IFERROR(__xludf.DUMMYFUNCTION("""COMPUTED_VALUE"""),2407.0)</f>
        <v>2407</v>
      </c>
      <c r="E288" s="528" t="str">
        <f>IFERROR(__xludf.DUMMYFUNCTION("""COMPUTED_VALUE"""),"Шаповалова Юлия")</f>
        <v>Шаповалова Юлия</v>
      </c>
      <c r="F288" s="535" t="str">
        <f>IFERROR(__xludf.DUMMYFUNCTION("""COMPUTED_VALUE"""),"ТЕСТ")</f>
        <v>ТЕСТ</v>
      </c>
      <c r="G288" s="536" t="str">
        <f>IFERROR(__xludf.DUMMYFUNCTION("""COMPUTED_VALUE"""),"74*150")</f>
        <v>74*150</v>
      </c>
      <c r="H288" s="338" t="str">
        <f>IFERROR(__xludf.DUMMYFUNCTION("""COMPUTED_VALUE"""),"Цифра+Лазер")</f>
        <v>Цифра+Лазер</v>
      </c>
      <c r="I288" s="338" t="str">
        <f>IFERROR(__xludf.DUMMYFUNCTION("""COMPUTED_VALUE"""),"LS(ЦПМ)")</f>
        <v>LS(ЦПМ)</v>
      </c>
      <c r="J288" s="536">
        <f>IFERROR(__xludf.DUMMYFUNCTION("""COMPUTED_VALUE"""),5.0)</f>
        <v>5</v>
      </c>
      <c r="K288" s="537">
        <f>IFERROR(__xludf.DUMMYFUNCTION("""COMPUTED_VALUE"""),46157.0)</f>
        <v>46157</v>
      </c>
      <c r="L288" s="537"/>
      <c r="M288" s="338" t="str">
        <f>IFERROR(__xludf.DUMMYFUNCTION("""COMPUTED_VALUE"""),"Пленка PP белая акрил")</f>
        <v>Пленка PP белая акрил</v>
      </c>
      <c r="N288" s="338" t="str">
        <f>IFERROR(__xludf.DUMMYFUNCTION("""COMPUTED_VALUE"""),"Отгружен")</f>
        <v>Отгружен</v>
      </c>
      <c r="O288" s="537"/>
      <c r="P288" s="338"/>
      <c r="Q288" s="338" t="str">
        <f>IFERROR(__xludf.DUMMYFUNCTION("""COMPUTED_VALUE"""),"Самовывоз")</f>
        <v>Самовывоз</v>
      </c>
      <c r="R288" s="338"/>
      <c r="S288" s="338"/>
      <c r="T288" s="338"/>
      <c r="U288" s="338"/>
      <c r="V288" s="338"/>
      <c r="W288" s="338"/>
      <c r="X288" s="338"/>
      <c r="Y288" s="338"/>
      <c r="Z288" s="338"/>
    </row>
    <row r="289" ht="22.5" customHeight="1">
      <c r="A289" s="528" t="str">
        <f>IFERROR(__xludf.DUMMYFUNCTION("""COMPUTED_VALUE"""),"Anowi")</f>
        <v>Anowi</v>
      </c>
      <c r="B289" s="528"/>
      <c r="C289" s="528" t="str">
        <f>IFERROR(__xludf.DUMMYFUNCTION("""COMPUTED_VALUE"""),"Парфюм 30 мл")</f>
        <v>Парфюм 30 мл</v>
      </c>
      <c r="D289" s="528"/>
      <c r="E289" s="528" t="str">
        <f>IFERROR(__xludf.DUMMYFUNCTION("""COMPUTED_VALUE"""),"Татьяна Денисова")</f>
        <v>Татьяна Денисова</v>
      </c>
      <c r="F289" s="535" t="str">
        <f>IFERROR(__xludf.DUMMYFUNCTION("""COMPUTED_VALUE"""),"Новая")</f>
        <v>Новая</v>
      </c>
      <c r="G289" s="536" t="str">
        <f>IFERROR(__xludf.DUMMYFUNCTION("""COMPUTED_VALUE"""),"32*42")</f>
        <v>32*42</v>
      </c>
      <c r="H289" s="338" t="str">
        <f>IFERROR(__xludf.DUMMYFUNCTION("""COMPUTED_VALUE"""),"Цифра+Лазер")</f>
        <v>Цифра+Лазер</v>
      </c>
      <c r="I289" s="338" t="str">
        <f>IFERROR(__xludf.DUMMYFUNCTION("""COMPUTED_VALUE"""),"LS(ЦПМ)")</f>
        <v>LS(ЦПМ)</v>
      </c>
      <c r="J289" s="536" t="str">
        <f>IFERROR(__xludf.DUMMYFUNCTION("""COMPUTED_VALUE"""),"4*500")</f>
        <v>4*500</v>
      </c>
      <c r="K289" s="537">
        <f>IFERROR(__xludf.DUMMYFUNCTION("""COMPUTED_VALUE"""),46129.0)</f>
        <v>46129</v>
      </c>
      <c r="L289" s="537"/>
      <c r="M289" s="338" t="str">
        <f>IFERROR(__xludf.DUMMYFUNCTION("""COMPUTED_VALUE"""),"Пленка PP белая акрил")</f>
        <v>Пленка PP белая акрил</v>
      </c>
      <c r="N289" s="338" t="str">
        <f>IFERROR(__xludf.DUMMYFUNCTION("""COMPUTED_VALUE"""),"Отгружен")</f>
        <v>Отгружен</v>
      </c>
      <c r="O289" s="537"/>
      <c r="P289" s="338" t="str">
        <f>IFERROR(__xludf.DUMMYFUNCTION("""COMPUTED_VALUE"""),"Проконтролировать качество печати, чтобы все читабельно и ок было))")</f>
        <v>Проконтролировать качество печати, чтобы все читабельно и ок было))</v>
      </c>
      <c r="Q289" s="338" t="str">
        <f>IFERROR(__xludf.DUMMYFUNCTION("""COMPUTED_VALUE"""),"Самовывоз")</f>
        <v>Самовывоз</v>
      </c>
      <c r="R289" s="338"/>
      <c r="S289" s="338"/>
      <c r="T289" s="338"/>
      <c r="U289" s="338"/>
      <c r="V289" s="338"/>
      <c r="W289" s="338"/>
      <c r="X289" s="338"/>
      <c r="Y289" s="338"/>
      <c r="Z289" s="338"/>
    </row>
    <row r="290" ht="22.5" customHeight="1">
      <c r="A290" s="528" t="str">
        <f>IFERROR(__xludf.DUMMYFUNCTION("""COMPUTED_VALUE"""),"Zakari")</f>
        <v>Zakari</v>
      </c>
      <c r="B290" s="528"/>
      <c r="C290" s="528" t="str">
        <f>IFERROR(__xludf.DUMMYFUNCTION("""COMPUTED_VALUE"""),"Парфюмы 30 мл")</f>
        <v>Парфюмы 30 мл</v>
      </c>
      <c r="D290" s="528"/>
      <c r="E290" s="528" t="str">
        <f>IFERROR(__xludf.DUMMYFUNCTION("""COMPUTED_VALUE"""),"Татьяна Денисова")</f>
        <v>Татьяна Денисова</v>
      </c>
      <c r="F290" s="535" t="str">
        <f>IFERROR(__xludf.DUMMYFUNCTION("""COMPUTED_VALUE"""),"Новая")</f>
        <v>Новая</v>
      </c>
      <c r="G290" s="536" t="str">
        <f>IFERROR(__xludf.DUMMYFUNCTION("""COMPUTED_VALUE"""),"32*42")</f>
        <v>32*42</v>
      </c>
      <c r="H290" s="338" t="str">
        <f>IFERROR(__xludf.DUMMYFUNCTION("""COMPUTED_VALUE"""),"Цифра+Лазер")</f>
        <v>Цифра+Лазер</v>
      </c>
      <c r="I290" s="338" t="str">
        <f>IFERROR(__xludf.DUMMYFUNCTION("""COMPUTED_VALUE"""),"LS(ЦПМ)")</f>
        <v>LS(ЦПМ)</v>
      </c>
      <c r="J290" s="536" t="str">
        <f>IFERROR(__xludf.DUMMYFUNCTION("""COMPUTED_VALUE"""),"2*1000")</f>
        <v>2*1000</v>
      </c>
      <c r="K290" s="537">
        <f>IFERROR(__xludf.DUMMYFUNCTION("""COMPUTED_VALUE"""),46141.0)</f>
        <v>46141</v>
      </c>
      <c r="L290" s="537"/>
      <c r="M290" s="338" t="str">
        <f>IFERROR(__xludf.DUMMYFUNCTION("""COMPUTED_VALUE"""),"Пленка PP белая акрил")</f>
        <v>Пленка PP белая акрил</v>
      </c>
      <c r="N290" s="338" t="str">
        <f>IFERROR(__xludf.DUMMYFUNCTION("""COMPUTED_VALUE"""),"Отгружен")</f>
        <v>Отгружен</v>
      </c>
      <c r="O290" s="537"/>
      <c r="P290" s="338"/>
      <c r="Q290" s="338" t="str">
        <f>IFERROR(__xludf.DUMMYFUNCTION("""COMPUTED_VALUE"""),"Самовывоз")</f>
        <v>Самовывоз</v>
      </c>
      <c r="R290" s="338"/>
      <c r="S290" s="338"/>
      <c r="T290" s="338"/>
      <c r="U290" s="338"/>
      <c r="V290" s="338"/>
      <c r="W290" s="338"/>
      <c r="X290" s="338"/>
      <c r="Y290" s="338"/>
      <c r="Z290" s="338"/>
    </row>
    <row r="291" ht="22.5" customHeight="1">
      <c r="A291" s="528" t="str">
        <f>IFERROR(__xludf.DUMMYFUNCTION("""COMPUTED_VALUE"""),"     
ООО""ФерЭльГам""")</f>
        <v>     
ООО"ФерЭльГам"</v>
      </c>
      <c r="B291" s="528"/>
      <c r="C291" s="528" t="str">
        <f>IFERROR(__xludf.DUMMYFUNCTION("""COMPUTED_VALUE"""),"470394 Огурцы соленые 1000 г (Глобус) этик.")</f>
        <v>470394 Огурцы соленые 1000 г (Глобус) этик.</v>
      </c>
      <c r="D291" s="528">
        <f>IFERROR(__xludf.DUMMYFUNCTION("""COMPUTED_VALUE"""),2408.0)</f>
        <v>2408</v>
      </c>
      <c r="E291" s="528" t="str">
        <f>IFERROR(__xludf.DUMMYFUNCTION("""COMPUTED_VALUE"""),"Баранов Александр")</f>
        <v>Баранов Александр</v>
      </c>
      <c r="F291" s="535" t="str">
        <f>IFERROR(__xludf.DUMMYFUNCTION("""COMPUTED_VALUE"""),"Новая")</f>
        <v>Новая</v>
      </c>
      <c r="G291" s="536" t="str">
        <f>IFERROR(__xludf.DUMMYFUNCTION("""COMPUTED_VALUE"""),"д108")</f>
        <v>д108</v>
      </c>
      <c r="H291" s="338" t="str">
        <f>IFERROR(__xludf.DUMMYFUNCTION("""COMPUTED_VALUE"""),"Флексопечать")</f>
        <v>Флексопечать</v>
      </c>
      <c r="I291" s="338" t="str">
        <f>IFERROR(__xludf.DUMMYFUNCTION("""COMPUTED_VALUE"""),"Wg-450")</f>
        <v>Wg-450</v>
      </c>
      <c r="J291" s="536">
        <f>IFERROR(__xludf.DUMMYFUNCTION("""COMPUTED_VALUE"""),20000.0)</f>
        <v>20000</v>
      </c>
      <c r="K291" s="537">
        <f>IFERROR(__xludf.DUMMYFUNCTION("""COMPUTED_VALUE"""),46149.0)</f>
        <v>46149</v>
      </c>
      <c r="L291" s="537"/>
      <c r="M291" s="338" t="str">
        <f>IFERROR(__xludf.DUMMYFUNCTION("""COMPUTED_VALUE"""),"Пленка PP белая каучук")</f>
        <v>Пленка PP белая каучук</v>
      </c>
      <c r="N291" s="338" t="str">
        <f>IFERROR(__xludf.DUMMYFUNCTION("""COMPUTED_VALUE"""),"Отгружен")</f>
        <v>Отгружен</v>
      </c>
      <c r="O291" s="537"/>
      <c r="P291" s="338" t="str">
        <f>IFERROR(__xludf.DUMMYFUNCTION("""COMPUTED_VALUE"""),"ждем согласования ")</f>
        <v>ждем согласования </v>
      </c>
      <c r="Q291" s="338"/>
      <c r="R291" s="338"/>
      <c r="S291" s="338"/>
      <c r="T291" s="338"/>
      <c r="U291" s="338"/>
      <c r="V291" s="338"/>
      <c r="W291" s="338"/>
      <c r="X291" s="338"/>
      <c r="Y291" s="338"/>
      <c r="Z291" s="338"/>
    </row>
    <row r="292" ht="22.5" customHeight="1">
      <c r="A292" s="528" t="str">
        <f>IFERROR(__xludf.DUMMYFUNCTION("""COMPUTED_VALUE"""),"     
ООО""ФерЭльГам""")</f>
        <v>     
ООО"ФерЭльГам"</v>
      </c>
      <c r="B292" s="528"/>
      <c r="C292" s="528" t="str">
        <f>IFERROR(__xludf.DUMMYFUNCTION("""COMPUTED_VALUE"""),"470809 Капуста квашеная с морковью 500 г Дикси этик.")</f>
        <v>470809 Капуста квашеная с морковью 500 г Дикси этик.</v>
      </c>
      <c r="D292" s="528">
        <f>IFERROR(__xludf.DUMMYFUNCTION("""COMPUTED_VALUE"""),2416.0)</f>
        <v>2416</v>
      </c>
      <c r="E292" s="528" t="str">
        <f>IFERROR(__xludf.DUMMYFUNCTION("""COMPUTED_VALUE"""),"Баранов Александр")</f>
        <v>Баранов Александр</v>
      </c>
      <c r="F292" s="535" t="str">
        <f>IFERROR(__xludf.DUMMYFUNCTION("""COMPUTED_VALUE"""),"Новая")</f>
        <v>Новая</v>
      </c>
      <c r="G292" s="536" t="str">
        <f>IFERROR(__xludf.DUMMYFUNCTION("""COMPUTED_VALUE"""),"Д110")</f>
        <v>Д110</v>
      </c>
      <c r="H292" s="338" t="str">
        <f>IFERROR(__xludf.DUMMYFUNCTION("""COMPUTED_VALUE"""),"Флексопечать")</f>
        <v>Флексопечать</v>
      </c>
      <c r="I292" s="338" t="str">
        <f>IFERROR(__xludf.DUMMYFUNCTION("""COMPUTED_VALUE"""),"Wg-450")</f>
        <v>Wg-450</v>
      </c>
      <c r="J292" s="536">
        <f>IFERROR(__xludf.DUMMYFUNCTION("""COMPUTED_VALUE"""),50000.0)</f>
        <v>50000</v>
      </c>
      <c r="K292" s="537">
        <f>IFERROR(__xludf.DUMMYFUNCTION("""COMPUTED_VALUE"""),46157.0)</f>
        <v>46157</v>
      </c>
      <c r="L292" s="537"/>
      <c r="M292" s="338" t="str">
        <f>IFERROR(__xludf.DUMMYFUNCTION("""COMPUTED_VALUE"""),"Пленка PP белая каучук")</f>
        <v>Пленка PP белая каучук</v>
      </c>
      <c r="N292" s="338" t="str">
        <f>IFERROR(__xludf.DUMMYFUNCTION("""COMPUTED_VALUE"""),"Отгружен")</f>
        <v>Отгружен</v>
      </c>
      <c r="O292" s="537"/>
      <c r="P292" s="338"/>
      <c r="Q292" s="338"/>
      <c r="R292" s="338"/>
      <c r="S292" s="338"/>
      <c r="T292" s="338"/>
      <c r="U292" s="338"/>
      <c r="V292" s="338"/>
      <c r="W292" s="338"/>
      <c r="X292" s="338"/>
      <c r="Y292" s="338"/>
      <c r="Z292" s="338"/>
    </row>
    <row r="293" ht="22.5" customHeight="1">
      <c r="A293" s="528" t="str">
        <f>IFERROR(__xludf.DUMMYFUNCTION("""COMPUTED_VALUE"""),"     
ООО""ФерЭльГам""")</f>
        <v>     
ООО"ФерЭльГам"</v>
      </c>
      <c r="B293" s="528"/>
      <c r="C293" s="528" t="str">
        <f>IFERROR(__xludf.DUMMYFUNCTION("""COMPUTED_VALUE"""),"470797 Капуста квашеная сладкая 450 гр круг Ваш выбор Этик.")</f>
        <v>470797 Капуста квашеная сладкая 450 гр круг Ваш выбор Этик.</v>
      </c>
      <c r="D293" s="528">
        <f>IFERROR(__xludf.DUMMYFUNCTION("""COMPUTED_VALUE"""),2417.0)</f>
        <v>2417</v>
      </c>
      <c r="E293" s="528" t="str">
        <f>IFERROR(__xludf.DUMMYFUNCTION("""COMPUTED_VALUE"""),"Баранов Александр")</f>
        <v>Баранов Александр</v>
      </c>
      <c r="F293" s="535" t="str">
        <f>IFERROR(__xludf.DUMMYFUNCTION("""COMPUTED_VALUE"""),"Новая")</f>
        <v>Новая</v>
      </c>
      <c r="G293" s="536" t="str">
        <f>IFERROR(__xludf.DUMMYFUNCTION("""COMPUTED_VALUE"""),"д108")</f>
        <v>д108</v>
      </c>
      <c r="H293" s="338" t="str">
        <f>IFERROR(__xludf.DUMMYFUNCTION("""COMPUTED_VALUE"""),"Флексопечать")</f>
        <v>Флексопечать</v>
      </c>
      <c r="I293" s="338" t="str">
        <f>IFERROR(__xludf.DUMMYFUNCTION("""COMPUTED_VALUE"""),"Wg-450")</f>
        <v>Wg-450</v>
      </c>
      <c r="J293" s="536">
        <f>IFERROR(__xludf.DUMMYFUNCTION("""COMPUTED_VALUE"""),20000.0)</f>
        <v>20000</v>
      </c>
      <c r="K293" s="537">
        <f>IFERROR(__xludf.DUMMYFUNCTION("""COMPUTED_VALUE"""),46157.0)</f>
        <v>46157</v>
      </c>
      <c r="L293" s="537"/>
      <c r="M293" s="338" t="str">
        <f>IFERROR(__xludf.DUMMYFUNCTION("""COMPUTED_VALUE"""),"Пленка PP белая каучук")</f>
        <v>Пленка PP белая каучук</v>
      </c>
      <c r="N293" s="338" t="str">
        <f>IFERROR(__xludf.DUMMYFUNCTION("""COMPUTED_VALUE"""),"Отгружен")</f>
        <v>Отгружен</v>
      </c>
      <c r="O293" s="537"/>
      <c r="P293" s="338"/>
      <c r="Q293" s="338"/>
      <c r="R293" s="338"/>
      <c r="S293" s="338"/>
      <c r="T293" s="338"/>
      <c r="U293" s="338"/>
      <c r="V293" s="338"/>
      <c r="W293" s="338"/>
      <c r="X293" s="338"/>
      <c r="Y293" s="338"/>
      <c r="Z293" s="338"/>
    </row>
    <row r="294" ht="22.5" customHeight="1">
      <c r="A294" s="528" t="str">
        <f>IFERROR(__xludf.DUMMYFUNCTION("""COMPUTED_VALUE"""),"Хелметекс")</f>
        <v>Хелметекс</v>
      </c>
      <c r="B294" s="528"/>
      <c r="C294" s="528" t="str">
        <f>IFERROR(__xludf.DUMMYFUNCTION("""COMPUTED_VALUE"""),"Нейтрализатор для обуви Чай&amp;Мята, 50 мл")</f>
        <v>Нейтрализатор для обуви Чай&amp;Мята, 50 мл</v>
      </c>
      <c r="D294" s="528">
        <f>IFERROR(__xludf.DUMMYFUNCTION("""COMPUTED_VALUE"""),2418.0)</f>
        <v>2418</v>
      </c>
      <c r="E294" s="528" t="str">
        <f>IFERROR(__xludf.DUMMYFUNCTION("""COMPUTED_VALUE"""),"Татьяна Денисова")</f>
        <v>Татьяна Денисова</v>
      </c>
      <c r="F294" s="535" t="str">
        <f>IFERROR(__xludf.DUMMYFUNCTION("""COMPUTED_VALUE"""),"Новая")</f>
        <v>Новая</v>
      </c>
      <c r="G294" s="536" t="str">
        <f>IFERROR(__xludf.DUMMYFUNCTION("""COMPUTED_VALUE"""),"58*99")</f>
        <v>58*99</v>
      </c>
      <c r="H294" s="338" t="str">
        <f>IFERROR(__xludf.DUMMYFUNCTION("""COMPUTED_VALUE"""),"Флексопечать")</f>
        <v>Флексопечать</v>
      </c>
      <c r="I294" s="338"/>
      <c r="J294" s="536">
        <f>IFERROR(__xludf.DUMMYFUNCTION("""COMPUTED_VALUE"""),10000.0)</f>
        <v>10000</v>
      </c>
      <c r="K294" s="537">
        <f>IFERROR(__xludf.DUMMYFUNCTION("""COMPUTED_VALUE"""),46157.0)</f>
        <v>46157</v>
      </c>
      <c r="L294" s="537"/>
      <c r="M294" s="338" t="str">
        <f>IFERROR(__xludf.DUMMYFUNCTION("""COMPUTED_VALUE"""),"Пленка PP белая акрил")</f>
        <v>Пленка PP белая акрил</v>
      </c>
      <c r="N294" s="338" t="str">
        <f>IFERROR(__xludf.DUMMYFUNCTION("""COMPUTED_VALUE"""),"Отгружен")</f>
        <v>Отгружен</v>
      </c>
      <c r="O294" s="537"/>
      <c r="P294" s="338" t="str">
        <f>IFERROR(__xludf.DUMMYFUNCTION("""COMPUTED_VALUE"""),"Новый заказчик, просьба проконтролировать качество ")</f>
        <v>Новый заказчик, просьба проконтролировать качество </v>
      </c>
      <c r="Q294" s="338" t="str">
        <f>IFERROR(__xludf.DUMMYFUNCTION("""COMPUTED_VALUE"""),"пгт. Путилково Территория Гринвуд стр.35 офис 320 Голубкова Мария  89107297131")</f>
        <v>пгт. Путилково Территория Гринвуд стр.35 офис 320 Голубкова Мария  89107297131</v>
      </c>
      <c r="R294" s="338"/>
      <c r="S294" s="338"/>
      <c r="T294" s="338"/>
      <c r="U294" s="338"/>
      <c r="V294" s="338"/>
      <c r="W294" s="338"/>
      <c r="X294" s="338"/>
      <c r="Y294" s="338"/>
      <c r="Z294" s="338"/>
    </row>
    <row r="295" ht="22.5" customHeight="1">
      <c r="A295" s="528" t="str">
        <f>IFERROR(__xludf.DUMMYFUNCTION("""COMPUTED_VALUE"""),"     
ООО""ФерЭльГам""")</f>
        <v>     
ООО"ФерЭльГам"</v>
      </c>
      <c r="B295" s="528"/>
      <c r="C295" s="528" t="str">
        <f>IFERROR(__xludf.DUMMYFUNCTION("""COMPUTED_VALUE"""),"470801 Капуста квашеная с хреном 450 гр круг Ваш выбор Этик.")</f>
        <v>470801 Капуста квашеная с хреном 450 гр круг Ваш выбор Этик.</v>
      </c>
      <c r="D295" s="528">
        <f>IFERROR(__xludf.DUMMYFUNCTION("""COMPUTED_VALUE"""),2423.0)</f>
        <v>2423</v>
      </c>
      <c r="E295" s="528" t="str">
        <f>IFERROR(__xludf.DUMMYFUNCTION("""COMPUTED_VALUE"""),"Баранов Александр")</f>
        <v>Баранов Александр</v>
      </c>
      <c r="F295" s="535" t="str">
        <f>IFERROR(__xludf.DUMMYFUNCTION("""COMPUTED_VALUE"""),"Новая")</f>
        <v>Новая</v>
      </c>
      <c r="G295" s="536" t="str">
        <f>IFERROR(__xludf.DUMMYFUNCTION("""COMPUTED_VALUE"""),"д108")</f>
        <v>д108</v>
      </c>
      <c r="H295" s="338" t="str">
        <f>IFERROR(__xludf.DUMMYFUNCTION("""COMPUTED_VALUE"""),"Флексопечать")</f>
        <v>Флексопечать</v>
      </c>
      <c r="I295" s="338" t="str">
        <f>IFERROR(__xludf.DUMMYFUNCTION("""COMPUTED_VALUE"""),"Wg-450")</f>
        <v>Wg-450</v>
      </c>
      <c r="J295" s="536">
        <f>IFERROR(__xludf.DUMMYFUNCTION("""COMPUTED_VALUE"""),20000.0)</f>
        <v>20000</v>
      </c>
      <c r="K295" s="537">
        <f>IFERROR(__xludf.DUMMYFUNCTION("""COMPUTED_VALUE"""),46157.0)</f>
        <v>46157</v>
      </c>
      <c r="L295" s="537"/>
      <c r="M295" s="338" t="str">
        <f>IFERROR(__xludf.DUMMYFUNCTION("""COMPUTED_VALUE"""),"Пленка PP белая каучук")</f>
        <v>Пленка PP белая каучук</v>
      </c>
      <c r="N295" s="338" t="str">
        <f>IFERROR(__xludf.DUMMYFUNCTION("""COMPUTED_VALUE"""),"Отгружен")</f>
        <v>Отгружен</v>
      </c>
      <c r="O295" s="537"/>
      <c r="P295" s="338"/>
      <c r="Q295" s="338"/>
      <c r="R295" s="338"/>
      <c r="S295" s="338"/>
      <c r="T295" s="338"/>
      <c r="U295" s="338"/>
      <c r="V295" s="338"/>
      <c r="W295" s="338"/>
      <c r="X295" s="338"/>
      <c r="Y295" s="338"/>
      <c r="Z295" s="338"/>
    </row>
    <row r="296" ht="22.5" customHeight="1">
      <c r="A296" s="528" t="str">
        <f>IFERROR(__xludf.DUMMYFUNCTION("""COMPUTED_VALUE"""),"     
ООО""ФерЭльГам""")</f>
        <v>     
ООО"ФерЭльГам"</v>
      </c>
      <c r="B296" s="528"/>
      <c r="C296" s="528" t="str">
        <f>IFERROR(__xludf.DUMMYFUNCTION("""COMPUTED_VALUE"""),"470761 Капуста квашеная с хреном 450 Вкуслинка 105х105 этик.")</f>
        <v>470761 Капуста квашеная с хреном 450 Вкуслинка 105х105 этик.</v>
      </c>
      <c r="D296" s="528">
        <f>IFERROR(__xludf.DUMMYFUNCTION("""COMPUTED_VALUE"""),2424.0)</f>
        <v>2424</v>
      </c>
      <c r="E296" s="528" t="str">
        <f>IFERROR(__xludf.DUMMYFUNCTION("""COMPUTED_VALUE"""),"Баранов Александр")</f>
        <v>Баранов Александр</v>
      </c>
      <c r="F296" s="535" t="str">
        <f>IFERROR(__xludf.DUMMYFUNCTION("""COMPUTED_VALUE"""),"Новая")</f>
        <v>Новая</v>
      </c>
      <c r="G296" s="536" t="str">
        <f>IFERROR(__xludf.DUMMYFUNCTION("""COMPUTED_VALUE"""),"д105")</f>
        <v>д105</v>
      </c>
      <c r="H296" s="338" t="str">
        <f>IFERROR(__xludf.DUMMYFUNCTION("""COMPUTED_VALUE"""),"Флексопечать")</f>
        <v>Флексопечать</v>
      </c>
      <c r="I296" s="338" t="str">
        <f>IFERROR(__xludf.DUMMYFUNCTION("""COMPUTED_VALUE"""),"Wg-450")</f>
        <v>Wg-450</v>
      </c>
      <c r="J296" s="536">
        <f>IFERROR(__xludf.DUMMYFUNCTION("""COMPUTED_VALUE"""),20000.0)</f>
        <v>20000</v>
      </c>
      <c r="K296" s="537">
        <f>IFERROR(__xludf.DUMMYFUNCTION("""COMPUTED_VALUE"""),46149.0)</f>
        <v>46149</v>
      </c>
      <c r="L296" s="537"/>
      <c r="M296" s="338" t="str">
        <f>IFERROR(__xludf.DUMMYFUNCTION("""COMPUTED_VALUE"""),"Пленка PP белая каучук")</f>
        <v>Пленка PP белая каучук</v>
      </c>
      <c r="N296" s="338" t="str">
        <f>IFERROR(__xludf.DUMMYFUNCTION("""COMPUTED_VALUE"""),"Отгружен")</f>
        <v>Отгружен</v>
      </c>
      <c r="O296" s="537"/>
      <c r="P296" s="338"/>
      <c r="Q296" s="338"/>
      <c r="R296" s="338"/>
      <c r="S296" s="338"/>
      <c r="T296" s="338"/>
      <c r="U296" s="338"/>
      <c r="V296" s="338"/>
      <c r="W296" s="338"/>
      <c r="X296" s="338"/>
      <c r="Y296" s="338"/>
      <c r="Z296" s="338"/>
    </row>
    <row r="297" ht="22.5" customHeight="1">
      <c r="A297" s="528" t="str">
        <f>IFERROR(__xludf.DUMMYFUNCTION("""COMPUTED_VALUE"""),"Калье")</f>
        <v>Калье</v>
      </c>
      <c r="B297" s="528"/>
      <c r="C297" s="528" t="str">
        <f>IFERROR(__xludf.DUMMYFUNCTION("""COMPUTED_VALUE"""),"Sistema Milk, Hot, Vol")</f>
        <v>Sistema Milk, Hot, Vol</v>
      </c>
      <c r="D297" s="528" t="str">
        <f>IFERROR(__xludf.DUMMYFUNCTION("""COMPUTED_VALUE"""),"2145-2147")</f>
        <v>2145-2147</v>
      </c>
      <c r="E297" s="528" t="str">
        <f>IFERROR(__xludf.DUMMYFUNCTION("""COMPUTED_VALUE"""),"Татьяна Денисова")</f>
        <v>Татьяна Денисова</v>
      </c>
      <c r="F297" s="535" t="str">
        <f>IFERROR(__xludf.DUMMYFUNCTION("""COMPUTED_VALUE"""),"Новая")</f>
        <v>Новая</v>
      </c>
      <c r="G297" s="536" t="str">
        <f>IFERROR(__xludf.DUMMYFUNCTION("""COMPUTED_VALUE"""),"130*145")</f>
        <v>130*145</v>
      </c>
      <c r="H297" s="338" t="str">
        <f>IFERROR(__xludf.DUMMYFUNCTION("""COMPUTED_VALUE"""),"Флексопечать")</f>
        <v>Флексопечать</v>
      </c>
      <c r="I297" s="338" t="str">
        <f>IFERROR(__xludf.DUMMYFUNCTION("""COMPUTED_VALUE"""),"Bg-330")</f>
        <v>Bg-330</v>
      </c>
      <c r="J297" s="536" t="str">
        <f>IFERROR(__xludf.DUMMYFUNCTION("""COMPUTED_VALUE"""),"3*10000")</f>
        <v>3*10000</v>
      </c>
      <c r="K297" s="537">
        <f>IFERROR(__xludf.DUMMYFUNCTION("""COMPUTED_VALUE"""),46146.0)</f>
        <v>46146</v>
      </c>
      <c r="L297" s="537"/>
      <c r="M297" s="338" t="str">
        <f>IFERROR(__xludf.DUMMYFUNCTION("""COMPUTED_VALUE"""),"Пленка метализированная акрил")</f>
        <v>Пленка метализированная акрил</v>
      </c>
      <c r="N297" s="338" t="str">
        <f>IFERROR(__xludf.DUMMYFUNCTION("""COMPUTED_VALUE"""),"Отгружен")</f>
        <v>Отгружен</v>
      </c>
      <c r="O297" s="537"/>
      <c r="P297" s="338" t="str">
        <f>IFERROR(__xludf.DUMMYFUNCTION("""COMPUTED_VALUE"""),"Приладка в раб дни до 17:30 как обычно")</f>
        <v>Приладка в раб дни до 17:30 как обычно</v>
      </c>
      <c r="Q297" s="338" t="str">
        <f>IFERROR(__xludf.DUMMYFUNCTION("""COMPUTED_VALUE"""),"Сама заказываю ТК")</f>
        <v>Сама заказываю ТК</v>
      </c>
      <c r="R297" s="338"/>
      <c r="S297" s="338"/>
      <c r="T297" s="338"/>
      <c r="U297" s="338"/>
      <c r="V297" s="338"/>
      <c r="W297" s="338"/>
      <c r="X297" s="338"/>
      <c r="Y297" s="338"/>
      <c r="Z297" s="338"/>
    </row>
    <row r="298" ht="22.5" customHeight="1">
      <c r="A298" s="528" t="str">
        <f>IFERROR(__xludf.DUMMYFUNCTION("""COMPUTED_VALUE"""),"Калье")</f>
        <v>Калье</v>
      </c>
      <c r="B298" s="528"/>
      <c r="C298" s="528" t="str">
        <f>IFERROR(__xludf.DUMMYFUNCTION("""COMPUTED_VALUE"""),"Дегидратирующие тоники")</f>
        <v>Дегидратирующие тоники</v>
      </c>
      <c r="D298" s="528" t="str">
        <f>IFERROR(__xludf.DUMMYFUNCTION("""COMPUTED_VALUE"""),"2152-2159")</f>
        <v>2152-2159</v>
      </c>
      <c r="E298" s="528" t="str">
        <f>IFERROR(__xludf.DUMMYFUNCTION("""COMPUTED_VALUE"""),"Татьяна Денисова")</f>
        <v>Татьяна Денисова</v>
      </c>
      <c r="F298" s="535" t="str">
        <f>IFERROR(__xludf.DUMMYFUNCTION("""COMPUTED_VALUE"""),"Новая")</f>
        <v>Новая</v>
      </c>
      <c r="G298" s="536" t="str">
        <f>IFERROR(__xludf.DUMMYFUNCTION("""COMPUTED_VALUE"""),"95*145")</f>
        <v>95*145</v>
      </c>
      <c r="H298" s="338" t="str">
        <f>IFERROR(__xludf.DUMMYFUNCTION("""COMPUTED_VALUE"""),"Флексопечать")</f>
        <v>Флексопечать</v>
      </c>
      <c r="I298" s="338" t="str">
        <f>IFERROR(__xludf.DUMMYFUNCTION("""COMPUTED_VALUE"""),"Bg-330")</f>
        <v>Bg-330</v>
      </c>
      <c r="J298" s="536" t="str">
        <f>IFERROR(__xludf.DUMMYFUNCTION("""COMPUTED_VALUE"""),"8*10000")</f>
        <v>8*10000</v>
      </c>
      <c r="K298" s="537">
        <f>IFERROR(__xludf.DUMMYFUNCTION("""COMPUTED_VALUE"""),46146.0)</f>
        <v>46146</v>
      </c>
      <c r="L298" s="537"/>
      <c r="M298" s="338" t="str">
        <f>IFERROR(__xludf.DUMMYFUNCTION("""COMPUTED_VALUE"""),"Пленка PP прозрачная")</f>
        <v>Пленка PP прозрачная</v>
      </c>
      <c r="N298" s="338" t="str">
        <f>IFERROR(__xludf.DUMMYFUNCTION("""COMPUTED_VALUE"""),"Отгружен")</f>
        <v>Отгружен</v>
      </c>
      <c r="O298" s="537"/>
      <c r="P298" s="338" t="str">
        <f>IFERROR(__xludf.DUMMYFUNCTION("""COMPUTED_VALUE"""),"Приладка в раб дни до 17:30 как обычно")</f>
        <v>Приладка в раб дни до 17:30 как обычно</v>
      </c>
      <c r="Q298" s="338" t="str">
        <f>IFERROR(__xludf.DUMMYFUNCTION("""COMPUTED_VALUE"""),"Сама заказываю ТК")</f>
        <v>Сама заказываю ТК</v>
      </c>
      <c r="R298" s="338"/>
      <c r="S298" s="338"/>
      <c r="T298" s="338"/>
      <c r="U298" s="338"/>
      <c r="V298" s="338"/>
      <c r="W298" s="338"/>
      <c r="X298" s="338"/>
      <c r="Y298" s="338"/>
      <c r="Z298" s="338"/>
    </row>
    <row r="299" ht="22.5" customHeight="1">
      <c r="A299" s="528" t="str">
        <f>IFERROR(__xludf.DUMMYFUNCTION("""COMPUTED_VALUE"""),"Калье")</f>
        <v>Калье</v>
      </c>
      <c r="B299" s="528"/>
      <c r="C299" s="528" t="str">
        <f>IFERROR(__xludf.DUMMYFUNCTION("""COMPUTED_VALUE"""),"Линейка Re:Born Спреи К + Р")</f>
        <v>Линейка Re:Born Спреи К + Р</v>
      </c>
      <c r="D299" s="528" t="str">
        <f>IFERROR(__xludf.DUMMYFUNCTION("""COMPUTED_VALUE"""),"2169/2170")</f>
        <v>2169/2170</v>
      </c>
      <c r="E299" s="528" t="str">
        <f>IFERROR(__xludf.DUMMYFUNCTION("""COMPUTED_VALUE"""),"Татьяна Денисова")</f>
        <v>Татьяна Денисова</v>
      </c>
      <c r="F299" s="535" t="str">
        <f>IFERROR(__xludf.DUMMYFUNCTION("""COMPUTED_VALUE"""),"Новая")</f>
        <v>Новая</v>
      </c>
      <c r="G299" s="536" t="str">
        <f>IFERROR(__xludf.DUMMYFUNCTION("""COMPUTED_VALUE"""),"90*110")</f>
        <v>90*110</v>
      </c>
      <c r="H299" s="338" t="str">
        <f>IFERROR(__xludf.DUMMYFUNCTION("""COMPUTED_VALUE"""),"Флексопечать")</f>
        <v>Флексопечать</v>
      </c>
      <c r="I299" s="338" t="str">
        <f>IFERROR(__xludf.DUMMYFUNCTION("""COMPUTED_VALUE"""),"Bg-330")</f>
        <v>Bg-330</v>
      </c>
      <c r="J299" s="536" t="str">
        <f>IFERROR(__xludf.DUMMYFUNCTION("""COMPUTED_VALUE"""),"2*10000")</f>
        <v>2*10000</v>
      </c>
      <c r="K299" s="537">
        <f>IFERROR(__xludf.DUMMYFUNCTION("""COMPUTED_VALUE"""),46148.0)</f>
        <v>46148</v>
      </c>
      <c r="L299" s="537"/>
      <c r="M299" s="338" t="str">
        <f>IFERROR(__xludf.DUMMYFUNCTION("""COMPUTED_VALUE"""),"Пленка PP белая акрил")</f>
        <v>Пленка PP белая акрил</v>
      </c>
      <c r="N299" s="338" t="str">
        <f>IFERROR(__xludf.DUMMYFUNCTION("""COMPUTED_VALUE"""),"Отгружен")</f>
        <v>Отгружен</v>
      </c>
      <c r="O299" s="537"/>
      <c r="P299" s="338" t="str">
        <f>IFERROR(__xludf.DUMMYFUNCTION("""COMPUTED_VALUE"""),"Приладка в раб дни до 17:30 как обычно")</f>
        <v>Приладка в раб дни до 17:30 как обычно</v>
      </c>
      <c r="Q299" s="338" t="str">
        <f>IFERROR(__xludf.DUMMYFUNCTION("""COMPUTED_VALUE"""),"Сама заказываю ТК")</f>
        <v>Сама заказываю ТК</v>
      </c>
      <c r="R299" s="338"/>
      <c r="S299" s="338"/>
      <c r="T299" s="338"/>
      <c r="U299" s="338"/>
      <c r="V299" s="338"/>
      <c r="W299" s="338"/>
      <c r="X299" s="338"/>
      <c r="Y299" s="338"/>
      <c r="Z299" s="338"/>
    </row>
    <row r="300" ht="22.5" customHeight="1">
      <c r="A300" s="528" t="str">
        <f>IFERROR(__xludf.DUMMYFUNCTION("""COMPUTED_VALUE"""),"Ангстрем/Националь")</f>
        <v>Ангстрем/Националь</v>
      </c>
      <c r="B300" s="528"/>
      <c r="C300" s="528" t="str">
        <f>IFERROR(__xludf.DUMMYFUNCTION("""COMPUTED_VALUE"""),"ВкусВилл Т/П Рис Ризотто 500 гр.")</f>
        <v>ВкусВилл Т/П Рис Ризотто 500 гр.</v>
      </c>
      <c r="D300" s="528">
        <f>IFERROR(__xludf.DUMMYFUNCTION("""COMPUTED_VALUE"""),2468.0)</f>
        <v>2468</v>
      </c>
      <c r="E300" s="528" t="str">
        <f>IFERROR(__xludf.DUMMYFUNCTION("""COMPUTED_VALUE"""),"Шаповалова Юлия")</f>
        <v>Шаповалова Юлия</v>
      </c>
      <c r="F300" s="535" t="str">
        <f>IFERROR(__xludf.DUMMYFUNCTION("""COMPUTED_VALUE"""),"Повтор")</f>
        <v>Повтор</v>
      </c>
      <c r="G300" s="536" t="str">
        <f>IFERROR(__xludf.DUMMYFUNCTION("""COMPUTED_VALUE"""),"100х70")</f>
        <v>100х70</v>
      </c>
      <c r="H300" s="338" t="str">
        <f>IFERROR(__xludf.DUMMYFUNCTION("""COMPUTED_VALUE"""),"Флексопечать")</f>
        <v>Флексопечать</v>
      </c>
      <c r="I300" s="338" t="str">
        <f>IFERROR(__xludf.DUMMYFUNCTION("""COMPUTED_VALUE"""),"Wg-450")</f>
        <v>Wg-450</v>
      </c>
      <c r="J300" s="536" t="str">
        <f>IFERROR(__xludf.DUMMYFUNCTION("""COMPUTED_VALUE"""),"25 000")</f>
        <v>25 000</v>
      </c>
      <c r="K300" s="537">
        <f>IFERROR(__xludf.DUMMYFUNCTION("""COMPUTED_VALUE"""),46154.0)</f>
        <v>46154</v>
      </c>
      <c r="L300" s="537"/>
      <c r="M300" s="338" t="str">
        <f>IFERROR(__xludf.DUMMYFUNCTION("""COMPUTED_VALUE"""),"Бумага полуглянец акрил")</f>
        <v>Бумага полуглянец акрил</v>
      </c>
      <c r="N300" s="338" t="str">
        <f>IFERROR(__xludf.DUMMYFUNCTION("""COMPUTED_VALUE"""),"Отгружен")</f>
        <v>Отгружен</v>
      </c>
      <c r="O300" s="537"/>
      <c r="P300" s="338" t="str">
        <f>IFERROR(__xludf.DUMMYFUNCTION("""COMPUTED_VALUE"""),"паспорт качества")</f>
        <v>паспорт качества</v>
      </c>
      <c r="Q300" s="338" t="str">
        <f>IFERROR(__xludf.DUMMYFUNCTION("""COMPUTED_VALUE"""),"""Краснодарский край, Красноармейский р-н, Протичка х, 2000 метров на восток от хутора
 Контактное лицо: Мурзинов Дмитрий, 8-989-267-19-51""")</f>
        <v>"Краснодарский край, Красноармейский р-н, Протичка х, 2000 метров на восток от хутора
 Контактное лицо: Мурзинов Дмитрий, 8-989-267-19-51"</v>
      </c>
      <c r="R300" s="338"/>
      <c r="S300" s="338"/>
      <c r="T300" s="338"/>
      <c r="U300" s="338"/>
      <c r="V300" s="338"/>
      <c r="W300" s="338"/>
      <c r="X300" s="338"/>
      <c r="Y300" s="338"/>
      <c r="Z300" s="338"/>
    </row>
    <row r="301" ht="22.5" customHeight="1">
      <c r="A301" s="528" t="str">
        <f>IFERROR(__xludf.DUMMYFUNCTION("""COMPUTED_VALUE"""),"ООО ""Рыбзавод ""За Родину""")</f>
        <v>ООО "Рыбзавод "За Родину"</v>
      </c>
      <c r="B301" s="528"/>
      <c r="C301" s="528" t="str">
        <f>IFERROR(__xludf.DUMMYFUNCTION("""COMPUTED_VALUE"""),"Шпроты в масле из кильки стекло 270")</f>
        <v>Шпроты в масле из кильки стекло 270</v>
      </c>
      <c r="D301" s="528">
        <f>IFERROR(__xludf.DUMMYFUNCTION("""COMPUTED_VALUE"""),2485.0)</f>
        <v>2485</v>
      </c>
      <c r="E301" s="528" t="str">
        <f>IFERROR(__xludf.DUMMYFUNCTION("""COMPUTED_VALUE"""),"Баранов Александр")</f>
        <v>Баранов Александр</v>
      </c>
      <c r="F301" s="535" t="str">
        <f>IFERROR(__xludf.DUMMYFUNCTION("""COMPUTED_VALUE"""),"ТЕСТ")</f>
        <v>ТЕСТ</v>
      </c>
      <c r="G301" s="536" t="str">
        <f>IFERROR(__xludf.DUMMYFUNCTION("""COMPUTED_VALUE"""),"38*250")</f>
        <v>38*250</v>
      </c>
      <c r="H301" s="338" t="str">
        <f>IFERROR(__xludf.DUMMYFUNCTION("""COMPUTED_VALUE"""),"Флексопечать")</f>
        <v>Флексопечать</v>
      </c>
      <c r="I301" s="338" t="str">
        <f>IFERROR(__xludf.DUMMYFUNCTION("""COMPUTED_VALUE"""),"Wg-450")</f>
        <v>Wg-450</v>
      </c>
      <c r="J301" s="536">
        <f>IFERROR(__xludf.DUMMYFUNCTION("""COMPUTED_VALUE"""),1800.0)</f>
        <v>1800</v>
      </c>
      <c r="K301" s="537">
        <f>IFERROR(__xludf.DUMMYFUNCTION("""COMPUTED_VALUE"""),46164.0)</f>
        <v>46164</v>
      </c>
      <c r="L301" s="537"/>
      <c r="M301" s="338" t="str">
        <f>IFERROR(__xludf.DUMMYFUNCTION("""COMPUTED_VALUE"""),"Пленка PP прозрачная")</f>
        <v>Пленка PP прозрачная</v>
      </c>
      <c r="N301" s="338" t="str">
        <f>IFERROR(__xludf.DUMMYFUNCTION("""COMPUTED_VALUE"""),"Отгружен")</f>
        <v>Отгружен</v>
      </c>
      <c r="O301" s="537"/>
      <c r="P301" s="338"/>
      <c r="Q301" s="338"/>
      <c r="R301" s="338"/>
      <c r="S301" s="338"/>
      <c r="T301" s="338"/>
      <c r="U301" s="338"/>
      <c r="V301" s="338"/>
      <c r="W301" s="338"/>
      <c r="X301" s="338"/>
      <c r="Y301" s="338"/>
      <c r="Z301" s="338"/>
    </row>
    <row r="302" ht="22.5" customHeight="1">
      <c r="A302" s="528" t="str">
        <f>IFERROR(__xludf.DUMMYFUNCTION("""COMPUTED_VALUE"""),"ООО ОЗОН ВКУС")</f>
        <v>ООО ОЗОН ВКУС</v>
      </c>
      <c r="B302" s="528"/>
      <c r="C302" s="528" t="str">
        <f>IFERROR(__xludf.DUMMYFUNCTION("""COMPUTED_VALUE"""),"Этикетка ""ЯЛ Сэндвич с курицей и печёным перцем, кремчизом, шпинатом и мёдом с чесноком""")</f>
        <v>Этикетка "ЯЛ Сэндвич с курицей и печёным перцем, кремчизом, шпинатом и мёдом с чесноком"</v>
      </c>
      <c r="D302" s="528">
        <f>IFERROR(__xludf.DUMMYFUNCTION("""COMPUTED_VALUE"""),2502.0)</f>
        <v>2502</v>
      </c>
      <c r="E302" s="528" t="str">
        <f>IFERROR(__xludf.DUMMYFUNCTION("""COMPUTED_VALUE"""),"Римма Лукина")</f>
        <v>Римма Лукина</v>
      </c>
      <c r="F302" s="535" t="str">
        <f>IFERROR(__xludf.DUMMYFUNCTION("""COMPUTED_VALUE"""),"Повтор")</f>
        <v>Повтор</v>
      </c>
      <c r="G302" s="536" t="str">
        <f>IFERROR(__xludf.DUMMYFUNCTION("""COMPUTED_VALUE"""),"87*117")</f>
        <v>87*117</v>
      </c>
      <c r="H302" s="338" t="str">
        <f>IFERROR(__xludf.DUMMYFUNCTION("""COMPUTED_VALUE"""),"Флексопечать")</f>
        <v>Флексопечать</v>
      </c>
      <c r="I302" s="338" t="str">
        <f>IFERROR(__xludf.DUMMYFUNCTION("""COMPUTED_VALUE"""),"Bg-330")</f>
        <v>Bg-330</v>
      </c>
      <c r="J302" s="536">
        <f>IFERROR(__xludf.DUMMYFUNCTION("""COMPUTED_VALUE"""),10000.0)</f>
        <v>10000</v>
      </c>
      <c r="K302" s="537">
        <f>IFERROR(__xludf.DUMMYFUNCTION("""COMPUTED_VALUE"""),46164.0)</f>
        <v>46164</v>
      </c>
      <c r="L302" s="537"/>
      <c r="M302" s="338" t="str">
        <f>IFERROR(__xludf.DUMMYFUNCTION("""COMPUTED_VALUE"""),"Бумага полуглянец акрил")</f>
        <v>Бумага полуглянец акрил</v>
      </c>
      <c r="N302" s="338" t="str">
        <f>IFERROR(__xludf.DUMMYFUNCTION("""COMPUTED_VALUE"""),"Отгружен")</f>
        <v>Отгружен</v>
      </c>
      <c r="O302" s="537"/>
      <c r="P302" s="338" t="str">
        <f>IFERROR(__xludf.DUMMYFUNCTION("""COMPUTED_VALUE"""),"в УПД, паспортах качества, логистических упаковках название этикетки должно полностью совпадать")</f>
        <v>в УПД, паспортах качества, логистических упаковках название этикетки должно полностью совпадать</v>
      </c>
      <c r="Q302" s="338"/>
      <c r="R302" s="338"/>
      <c r="S302" s="338"/>
      <c r="T302" s="338"/>
      <c r="U302" s="338"/>
      <c r="V302" s="338"/>
      <c r="W302" s="338"/>
      <c r="X302" s="338"/>
      <c r="Y302" s="338"/>
      <c r="Z302" s="338"/>
    </row>
    <row r="303" ht="22.5" customHeight="1">
      <c r="A303" s="528" t="str">
        <f>IFERROR(__xludf.DUMMYFUNCTION("""COMPUTED_VALUE"""),"ООО Кимберли Кларк")</f>
        <v>ООО Кимберли Кларк</v>
      </c>
      <c r="B303" s="528"/>
      <c r="C303" s="528" t="str">
        <f>IFERROR(__xludf.DUMMYFUNCTION("""COMPUTED_VALUE"""),"61284789 Наклейка на палету самоклеющаяся А5 АЛ")</f>
        <v>61284789 Наклейка на палету самоклеющаяся А5 АЛ</v>
      </c>
      <c r="D303" s="528">
        <f>IFERROR(__xludf.DUMMYFUNCTION("""COMPUTED_VALUE"""),2503.0)</f>
        <v>2503</v>
      </c>
      <c r="E303" s="528" t="str">
        <f>IFERROR(__xludf.DUMMYFUNCTION("""COMPUTED_VALUE"""),"Римма Лукина")</f>
        <v>Римма Лукина</v>
      </c>
      <c r="F303" s="535" t="str">
        <f>IFERROR(__xludf.DUMMYFUNCTION("""COMPUTED_VALUE"""),"Повтор")</f>
        <v>Повтор</v>
      </c>
      <c r="G303" s="536" t="str">
        <f>IFERROR(__xludf.DUMMYFUNCTION("""COMPUTED_VALUE"""),"178*210")</f>
        <v>178*210</v>
      </c>
      <c r="H303" s="338"/>
      <c r="I303" s="338"/>
      <c r="J303" s="536" t="str">
        <f>IFERROR(__xludf.DUMMYFUNCTION("""COMPUTED_VALUE"""),"42 000")</f>
        <v>42 000</v>
      </c>
      <c r="K303" s="537">
        <f>IFERROR(__xludf.DUMMYFUNCTION("""COMPUTED_VALUE"""),46163.0)</f>
        <v>46163</v>
      </c>
      <c r="L303" s="537"/>
      <c r="M303" s="338" t="str">
        <f>IFERROR(__xludf.DUMMYFUNCTION("""COMPUTED_VALUE"""),"Бумага полуглянец акрил")</f>
        <v>Бумага полуглянец акрил</v>
      </c>
      <c r="N303" s="338" t="str">
        <f>IFERROR(__xludf.DUMMYFUNCTION("""COMPUTED_VALUE"""),"Отгружен")</f>
        <v>Отгружен</v>
      </c>
      <c r="O303" s="537"/>
      <c r="P303" s="338" t="str">
        <f>IFERROR(__xludf.DUMMYFUNCTION("""COMPUTED_VALUE"""),"паспорт качества")</f>
        <v>паспорт качества</v>
      </c>
      <c r="Q303" s="338" t="str">
        <f>IFERROR(__xludf.DUMMYFUNCTION("""COMPUTED_VALUE"""),"Оформилю накладную СДЭК")</f>
        <v>Оформилю накладную СДЭК</v>
      </c>
      <c r="R303" s="338"/>
      <c r="S303" s="338"/>
      <c r="T303" s="338"/>
      <c r="U303" s="338"/>
      <c r="V303" s="338"/>
      <c r="W303" s="338"/>
      <c r="X303" s="338"/>
      <c r="Y303" s="338"/>
      <c r="Z303" s="338"/>
    </row>
    <row r="304" ht="22.5" customHeight="1">
      <c r="A304" s="528" t="str">
        <f>IFERROR(__xludf.DUMMYFUNCTION("""COMPUTED_VALUE"""),"ООО Кимберли Кларк")</f>
        <v>ООО Кимберли Кларк</v>
      </c>
      <c r="B304" s="528"/>
      <c r="C304" s="528" t="str">
        <f>IFERROR(__xludf.DUMMYFUNCTION("""COMPUTED_VALUE"""),"61284565УК ЧЗ Накл/пакет S4 Mega 66х2 Дев")</f>
        <v>61284565УК ЧЗ Накл/пакет S4 Mega 66х2 Дев</v>
      </c>
      <c r="D304" s="528">
        <f>IFERROR(__xludf.DUMMYFUNCTION("""COMPUTED_VALUE"""),2505.0)</f>
        <v>2505</v>
      </c>
      <c r="E304" s="528" t="str">
        <f>IFERROR(__xludf.DUMMYFUNCTION("""COMPUTED_VALUE"""),"Римма Лукина")</f>
        <v>Римма Лукина</v>
      </c>
      <c r="F304" s="535" t="str">
        <f>IFERROR(__xludf.DUMMYFUNCTION("""COMPUTED_VALUE"""),"Повтор")</f>
        <v>Повтор</v>
      </c>
      <c r="G304" s="536" t="str">
        <f>IFERROR(__xludf.DUMMYFUNCTION("""COMPUTED_VALUE"""),"55*55")</f>
        <v>55*55</v>
      </c>
      <c r="H304" s="338"/>
      <c r="I304" s="338"/>
      <c r="J304" s="536" t="str">
        <f>IFERROR(__xludf.DUMMYFUNCTION("""COMPUTED_VALUE"""),"5 000")</f>
        <v>5 000</v>
      </c>
      <c r="K304" s="537">
        <f>IFERROR(__xludf.DUMMYFUNCTION("""COMPUTED_VALUE"""),46163.0)</f>
        <v>46163</v>
      </c>
      <c r="L304" s="537"/>
      <c r="M304" s="338" t="str">
        <f>IFERROR(__xludf.DUMMYFUNCTION("""COMPUTED_VALUE"""),"Бумага полуглянец акрил")</f>
        <v>Бумага полуглянец акрил</v>
      </c>
      <c r="N304" s="338" t="str">
        <f>IFERROR(__xludf.DUMMYFUNCTION("""COMPUTED_VALUE"""),"Отгружен")</f>
        <v>Отгружен</v>
      </c>
      <c r="O304" s="537"/>
      <c r="P304" s="338" t="str">
        <f>IFERROR(__xludf.DUMMYFUNCTION("""COMPUTED_VALUE"""),"паспорт качества")</f>
        <v>паспорт качества</v>
      </c>
      <c r="Q304" s="338" t="str">
        <f>IFERROR(__xludf.DUMMYFUNCTION("""COMPUTED_VALUE"""),"Оформилю накладную СДЭК")</f>
        <v>Оформилю накладную СДЭК</v>
      </c>
      <c r="R304" s="338"/>
      <c r="S304" s="338"/>
      <c r="T304" s="338"/>
      <c r="U304" s="338"/>
      <c r="V304" s="338"/>
      <c r="W304" s="338"/>
      <c r="X304" s="338"/>
      <c r="Y304" s="338"/>
      <c r="Z304" s="338"/>
    </row>
    <row r="305" ht="22.5" customHeight="1">
      <c r="A305" s="528" t="str">
        <f>IFERROR(__xludf.DUMMYFUNCTION("""COMPUTED_VALUE"""),"ООО Кимберли Кларк")</f>
        <v>ООО Кимберли Кларк</v>
      </c>
      <c r="B305" s="528"/>
      <c r="C305" s="528" t="str">
        <f>IFERROR(__xludf.DUMMYFUNCTION("""COMPUTED_VALUE"""),"61284566 УК ЧЗ Накл/пакет S5 Mega 56x2 Дев")</f>
        <v>61284566 УК ЧЗ Накл/пакет S5 Mega 56x2 Дев</v>
      </c>
      <c r="D305" s="528">
        <f>IFERROR(__xludf.DUMMYFUNCTION("""COMPUTED_VALUE"""),2506.0)</f>
        <v>2506</v>
      </c>
      <c r="E305" s="528" t="str">
        <f>IFERROR(__xludf.DUMMYFUNCTION("""COMPUTED_VALUE"""),"Римма Лукина")</f>
        <v>Римма Лукина</v>
      </c>
      <c r="F305" s="535" t="str">
        <f>IFERROR(__xludf.DUMMYFUNCTION("""COMPUTED_VALUE"""),"Повтор")</f>
        <v>Повтор</v>
      </c>
      <c r="G305" s="536" t="str">
        <f>IFERROR(__xludf.DUMMYFUNCTION("""COMPUTED_VALUE"""),"55*55")</f>
        <v>55*55</v>
      </c>
      <c r="H305" s="338"/>
      <c r="I305" s="338"/>
      <c r="J305" s="536" t="str">
        <f>IFERROR(__xludf.DUMMYFUNCTION("""COMPUTED_VALUE"""),"15 000")</f>
        <v>15 000</v>
      </c>
      <c r="K305" s="537">
        <f>IFERROR(__xludf.DUMMYFUNCTION("""COMPUTED_VALUE"""),46163.0)</f>
        <v>46163</v>
      </c>
      <c r="L305" s="537"/>
      <c r="M305" s="338" t="str">
        <f>IFERROR(__xludf.DUMMYFUNCTION("""COMPUTED_VALUE"""),"Бумага полуглянец акрил")</f>
        <v>Бумага полуглянец акрил</v>
      </c>
      <c r="N305" s="338" t="str">
        <f>IFERROR(__xludf.DUMMYFUNCTION("""COMPUTED_VALUE"""),"Отгружен")</f>
        <v>Отгружен</v>
      </c>
      <c r="O305" s="537"/>
      <c r="P305" s="338" t="str">
        <f>IFERROR(__xludf.DUMMYFUNCTION("""COMPUTED_VALUE"""),"паспорт качества")</f>
        <v>паспорт качества</v>
      </c>
      <c r="Q305" s="338" t="str">
        <f>IFERROR(__xludf.DUMMYFUNCTION("""COMPUTED_VALUE"""),"Оформилю накладную СДЭК")</f>
        <v>Оформилю накладную СДЭК</v>
      </c>
      <c r="R305" s="338"/>
      <c r="S305" s="338"/>
      <c r="T305" s="338"/>
      <c r="U305" s="338"/>
      <c r="V305" s="338"/>
      <c r="W305" s="338"/>
      <c r="X305" s="338"/>
      <c r="Y305" s="338"/>
      <c r="Z305" s="338"/>
    </row>
    <row r="306" ht="22.5" customHeight="1">
      <c r="A306" s="528" t="str">
        <f>IFERROR(__xludf.DUMMYFUNCTION("""COMPUTED_VALUE"""),"ООО Кимберли Кларк")</f>
        <v>ООО Кимберли Кларк</v>
      </c>
      <c r="B306" s="528"/>
      <c r="C306" s="528" t="str">
        <f>IFERROR(__xludf.DUMMYFUNCTION("""COMPUTED_VALUE"""),"61284567 УК ЧЗ Накл/пакет S5 Giga 64x2 Дев")</f>
        <v>61284567 УК ЧЗ Накл/пакет S5 Giga 64x2 Дев</v>
      </c>
      <c r="D306" s="528">
        <f>IFERROR(__xludf.DUMMYFUNCTION("""COMPUTED_VALUE"""),2507.0)</f>
        <v>2507</v>
      </c>
      <c r="E306" s="528" t="str">
        <f>IFERROR(__xludf.DUMMYFUNCTION("""COMPUTED_VALUE"""),"Римма Лукина")</f>
        <v>Римма Лукина</v>
      </c>
      <c r="F306" s="535" t="str">
        <f>IFERROR(__xludf.DUMMYFUNCTION("""COMPUTED_VALUE"""),"Повтор")</f>
        <v>Повтор</v>
      </c>
      <c r="G306" s="536" t="str">
        <f>IFERROR(__xludf.DUMMYFUNCTION("""COMPUTED_VALUE"""),"55*55")</f>
        <v>55*55</v>
      </c>
      <c r="H306" s="338"/>
      <c r="I306" s="338"/>
      <c r="J306" s="536" t="str">
        <f>IFERROR(__xludf.DUMMYFUNCTION("""COMPUTED_VALUE"""),"40 000")</f>
        <v>40 000</v>
      </c>
      <c r="K306" s="537">
        <f>IFERROR(__xludf.DUMMYFUNCTION("""COMPUTED_VALUE"""),46163.0)</f>
        <v>46163</v>
      </c>
      <c r="L306" s="537"/>
      <c r="M306" s="338" t="str">
        <f>IFERROR(__xludf.DUMMYFUNCTION("""COMPUTED_VALUE"""),"Бумага полуглянец акрил")</f>
        <v>Бумага полуглянец акрил</v>
      </c>
      <c r="N306" s="338" t="str">
        <f>IFERROR(__xludf.DUMMYFUNCTION("""COMPUTED_VALUE"""),"Отгружен")</f>
        <v>Отгружен</v>
      </c>
      <c r="O306" s="537"/>
      <c r="P306" s="338" t="str">
        <f>IFERROR(__xludf.DUMMYFUNCTION("""COMPUTED_VALUE"""),"паспорт качества")</f>
        <v>паспорт качества</v>
      </c>
      <c r="Q306" s="338" t="str">
        <f>IFERROR(__xludf.DUMMYFUNCTION("""COMPUTED_VALUE"""),"Оформилю накладную СДЭК")</f>
        <v>Оформилю накладную СДЭК</v>
      </c>
      <c r="R306" s="338"/>
      <c r="S306" s="338"/>
      <c r="T306" s="338"/>
      <c r="U306" s="338"/>
      <c r="V306" s="338"/>
      <c r="W306" s="338"/>
      <c r="X306" s="338"/>
      <c r="Y306" s="338"/>
      <c r="Z306" s="338"/>
    </row>
    <row r="307" ht="22.5" customHeight="1">
      <c r="A307" s="528" t="str">
        <f>IFERROR(__xludf.DUMMYFUNCTION("""COMPUTED_VALUE"""),"ООО Кимберли Кларк")</f>
        <v>ООО Кимберли Кларк</v>
      </c>
      <c r="B307" s="528"/>
      <c r="C307" s="528" t="str">
        <f>IFERROR(__xludf.DUMMYFUNCTION("""COMPUTED_VALUE"""),"61284576 УК ЧЗ Накл/пакет S5 Mega 56x2 Мал")</f>
        <v>61284576 УК ЧЗ Накл/пакет S5 Mega 56x2 Мал</v>
      </c>
      <c r="D307" s="528">
        <f>IFERROR(__xludf.DUMMYFUNCTION("""COMPUTED_VALUE"""),2508.0)</f>
        <v>2508</v>
      </c>
      <c r="E307" s="528" t="str">
        <f>IFERROR(__xludf.DUMMYFUNCTION("""COMPUTED_VALUE"""),"Римма Лукина")</f>
        <v>Римма Лукина</v>
      </c>
      <c r="F307" s="535" t="str">
        <f>IFERROR(__xludf.DUMMYFUNCTION("""COMPUTED_VALUE"""),"Повтор")</f>
        <v>Повтор</v>
      </c>
      <c r="G307" s="536" t="str">
        <f>IFERROR(__xludf.DUMMYFUNCTION("""COMPUTED_VALUE"""),"55*55")</f>
        <v>55*55</v>
      </c>
      <c r="H307" s="338"/>
      <c r="I307" s="338"/>
      <c r="J307" s="536" t="str">
        <f>IFERROR(__xludf.DUMMYFUNCTION("""COMPUTED_VALUE"""),"25 000")</f>
        <v>25 000</v>
      </c>
      <c r="K307" s="537">
        <f>IFERROR(__xludf.DUMMYFUNCTION("""COMPUTED_VALUE"""),46163.0)</f>
        <v>46163</v>
      </c>
      <c r="L307" s="537"/>
      <c r="M307" s="338" t="str">
        <f>IFERROR(__xludf.DUMMYFUNCTION("""COMPUTED_VALUE"""),"Бумага полуглянец акрил")</f>
        <v>Бумага полуглянец акрил</v>
      </c>
      <c r="N307" s="338" t="str">
        <f>IFERROR(__xludf.DUMMYFUNCTION("""COMPUTED_VALUE"""),"Отгружен")</f>
        <v>Отгружен</v>
      </c>
      <c r="O307" s="537"/>
      <c r="P307" s="338" t="str">
        <f>IFERROR(__xludf.DUMMYFUNCTION("""COMPUTED_VALUE"""),"паспорт качества")</f>
        <v>паспорт качества</v>
      </c>
      <c r="Q307" s="338" t="str">
        <f>IFERROR(__xludf.DUMMYFUNCTION("""COMPUTED_VALUE"""),"Оформилю накладную СДЭК")</f>
        <v>Оформилю накладную СДЭК</v>
      </c>
      <c r="R307" s="338"/>
      <c r="S307" s="338"/>
      <c r="T307" s="338"/>
      <c r="U307" s="338"/>
      <c r="V307" s="338"/>
      <c r="W307" s="338"/>
      <c r="X307" s="338"/>
      <c r="Y307" s="338"/>
      <c r="Z307" s="338"/>
    </row>
    <row r="308" ht="22.5" customHeight="1">
      <c r="A308" s="528" t="str">
        <f>IFERROR(__xludf.DUMMYFUNCTION("""COMPUTED_VALUE"""),"ООО Кимберли Кларк")</f>
        <v>ООО Кимберли Кларк</v>
      </c>
      <c r="B308" s="528"/>
      <c r="C308" s="528" t="str">
        <f>IFERROR(__xludf.DUMMYFUNCTION("""COMPUTED_VALUE"""),"61284579 УК ЧЗ Накл/пакет S4 Giga 80x2 Мал")</f>
        <v>61284579 УК ЧЗ Накл/пакет S4 Giga 80x2 Мал</v>
      </c>
      <c r="D308" s="528">
        <f>IFERROR(__xludf.DUMMYFUNCTION("""COMPUTED_VALUE"""),2509.0)</f>
        <v>2509</v>
      </c>
      <c r="E308" s="528" t="str">
        <f>IFERROR(__xludf.DUMMYFUNCTION("""COMPUTED_VALUE"""),"Римма Лукина")</f>
        <v>Римма Лукина</v>
      </c>
      <c r="F308" s="535" t="str">
        <f>IFERROR(__xludf.DUMMYFUNCTION("""COMPUTED_VALUE"""),"Повтор")</f>
        <v>Повтор</v>
      </c>
      <c r="G308" s="536" t="str">
        <f>IFERROR(__xludf.DUMMYFUNCTION("""COMPUTED_VALUE"""),"55*55")</f>
        <v>55*55</v>
      </c>
      <c r="H308" s="338"/>
      <c r="I308" s="338"/>
      <c r="J308" s="536" t="str">
        <f>IFERROR(__xludf.DUMMYFUNCTION("""COMPUTED_VALUE"""),"30 000")</f>
        <v>30 000</v>
      </c>
      <c r="K308" s="537">
        <f>IFERROR(__xludf.DUMMYFUNCTION("""COMPUTED_VALUE"""),46163.0)</f>
        <v>46163</v>
      </c>
      <c r="L308" s="537"/>
      <c r="M308" s="338" t="str">
        <f>IFERROR(__xludf.DUMMYFUNCTION("""COMPUTED_VALUE"""),"Бумага полуглянец акрил")</f>
        <v>Бумага полуглянец акрил</v>
      </c>
      <c r="N308" s="338" t="str">
        <f>IFERROR(__xludf.DUMMYFUNCTION("""COMPUTED_VALUE"""),"Отгружен")</f>
        <v>Отгружен</v>
      </c>
      <c r="O308" s="537"/>
      <c r="P308" s="338" t="str">
        <f>IFERROR(__xludf.DUMMYFUNCTION("""COMPUTED_VALUE"""),"паспорт качества")</f>
        <v>паспорт качества</v>
      </c>
      <c r="Q308" s="338" t="str">
        <f>IFERROR(__xludf.DUMMYFUNCTION("""COMPUTED_VALUE"""),"Оформилю накладную СДЭК")</f>
        <v>Оформилю накладную СДЭК</v>
      </c>
      <c r="R308" s="338"/>
      <c r="S308" s="338"/>
      <c r="T308" s="338"/>
      <c r="U308" s="338"/>
      <c r="V308" s="338"/>
      <c r="W308" s="338"/>
      <c r="X308" s="338"/>
      <c r="Y308" s="338"/>
      <c r="Z308" s="338"/>
    </row>
    <row r="309" ht="22.5" customHeight="1">
      <c r="A309" s="528" t="str">
        <f>IFERROR(__xludf.DUMMYFUNCTION("""COMPUTED_VALUE"""),"ООО Кимберли Кларк")</f>
        <v>ООО Кимберли Кларк</v>
      </c>
      <c r="B309" s="528"/>
      <c r="C309" s="528" t="str">
        <f>IFERROR(__xludf.DUMMYFUNCTION("""COMPUTED_VALUE"""),"61284580 УК ЧЗ Накл/пакет S4 Giga 80x2 Дев")</f>
        <v>61284580 УК ЧЗ Накл/пакет S4 Giga 80x2 Дев</v>
      </c>
      <c r="D309" s="528">
        <f>IFERROR(__xludf.DUMMYFUNCTION("""COMPUTED_VALUE"""),2510.0)</f>
        <v>2510</v>
      </c>
      <c r="E309" s="528" t="str">
        <f>IFERROR(__xludf.DUMMYFUNCTION("""COMPUTED_VALUE"""),"Римма Лукина")</f>
        <v>Римма Лукина</v>
      </c>
      <c r="F309" s="535" t="str">
        <f>IFERROR(__xludf.DUMMYFUNCTION("""COMPUTED_VALUE"""),"Повтор")</f>
        <v>Повтор</v>
      </c>
      <c r="G309" s="536" t="str">
        <f>IFERROR(__xludf.DUMMYFUNCTION("""COMPUTED_VALUE"""),"55*55")</f>
        <v>55*55</v>
      </c>
      <c r="H309" s="338"/>
      <c r="I309" s="338"/>
      <c r="J309" s="536" t="str">
        <f>IFERROR(__xludf.DUMMYFUNCTION("""COMPUTED_VALUE"""),"25 000")</f>
        <v>25 000</v>
      </c>
      <c r="K309" s="537">
        <f>IFERROR(__xludf.DUMMYFUNCTION("""COMPUTED_VALUE"""),46163.0)</f>
        <v>46163</v>
      </c>
      <c r="L309" s="537"/>
      <c r="M309" s="338" t="str">
        <f>IFERROR(__xludf.DUMMYFUNCTION("""COMPUTED_VALUE"""),"Бумага полуглянец акрил")</f>
        <v>Бумага полуглянец акрил</v>
      </c>
      <c r="N309" s="338" t="str">
        <f>IFERROR(__xludf.DUMMYFUNCTION("""COMPUTED_VALUE"""),"Отгружен")</f>
        <v>Отгружен</v>
      </c>
      <c r="O309" s="537"/>
      <c r="P309" s="338" t="str">
        <f>IFERROR(__xludf.DUMMYFUNCTION("""COMPUTED_VALUE"""),"паспорт качества")</f>
        <v>паспорт качества</v>
      </c>
      <c r="Q309" s="338" t="str">
        <f>IFERROR(__xludf.DUMMYFUNCTION("""COMPUTED_VALUE"""),"Оформилю накладную СДЭК")</f>
        <v>Оформилю накладную СДЭК</v>
      </c>
      <c r="R309" s="338"/>
      <c r="S309" s="338"/>
      <c r="T309" s="338"/>
      <c r="U309" s="338"/>
      <c r="V309" s="338"/>
      <c r="W309" s="338"/>
      <c r="X309" s="338"/>
      <c r="Y309" s="338"/>
      <c r="Z309" s="338"/>
    </row>
    <row r="310" ht="22.5" customHeight="1">
      <c r="A310" s="528" t="str">
        <f>IFERROR(__xludf.DUMMYFUNCTION("""COMPUTED_VALUE"""),"ООО Кимберли Кларк")</f>
        <v>ООО Кимберли Кларк</v>
      </c>
      <c r="B310" s="528"/>
      <c r="C310" s="528" t="str">
        <f>IFERROR(__xludf.DUMMYFUNCTION("""COMPUTED_VALUE"""),"61284581 УК ЧЗ Накл/пакет S5 Giga 64x2 Мал")</f>
        <v>61284581 УК ЧЗ Накл/пакет S5 Giga 64x2 Мал</v>
      </c>
      <c r="D310" s="528">
        <f>IFERROR(__xludf.DUMMYFUNCTION("""COMPUTED_VALUE"""),2511.0)</f>
        <v>2511</v>
      </c>
      <c r="E310" s="528" t="str">
        <f>IFERROR(__xludf.DUMMYFUNCTION("""COMPUTED_VALUE"""),"Римма Лукина")</f>
        <v>Римма Лукина</v>
      </c>
      <c r="F310" s="535" t="str">
        <f>IFERROR(__xludf.DUMMYFUNCTION("""COMPUTED_VALUE"""),"Повтор")</f>
        <v>Повтор</v>
      </c>
      <c r="G310" s="536" t="str">
        <f>IFERROR(__xludf.DUMMYFUNCTION("""COMPUTED_VALUE"""),"55*55")</f>
        <v>55*55</v>
      </c>
      <c r="H310" s="338"/>
      <c r="I310" s="338"/>
      <c r="J310" s="536" t="str">
        <f>IFERROR(__xludf.DUMMYFUNCTION("""COMPUTED_VALUE"""),"90 000")</f>
        <v>90 000</v>
      </c>
      <c r="K310" s="537">
        <f>IFERROR(__xludf.DUMMYFUNCTION("""COMPUTED_VALUE"""),46163.0)</f>
        <v>46163</v>
      </c>
      <c r="L310" s="537"/>
      <c r="M310" s="338" t="str">
        <f>IFERROR(__xludf.DUMMYFUNCTION("""COMPUTED_VALUE"""),"Бумага полуглянец акрил")</f>
        <v>Бумага полуглянец акрил</v>
      </c>
      <c r="N310" s="338" t="str">
        <f>IFERROR(__xludf.DUMMYFUNCTION("""COMPUTED_VALUE"""),"Отгружен")</f>
        <v>Отгружен</v>
      </c>
      <c r="O310" s="537"/>
      <c r="P310" s="338" t="str">
        <f>IFERROR(__xludf.DUMMYFUNCTION("""COMPUTED_VALUE"""),"паспорт качества")</f>
        <v>паспорт качества</v>
      </c>
      <c r="Q310" s="338" t="str">
        <f>IFERROR(__xludf.DUMMYFUNCTION("""COMPUTED_VALUE"""),"Оформилю накладную СДЭК")</f>
        <v>Оформилю накладную СДЭК</v>
      </c>
      <c r="R310" s="338"/>
      <c r="S310" s="338"/>
      <c r="T310" s="338"/>
      <c r="U310" s="338"/>
      <c r="V310" s="338"/>
      <c r="W310" s="338"/>
      <c r="X310" s="338"/>
      <c r="Y310" s="338"/>
      <c r="Z310" s="338"/>
    </row>
    <row r="311" ht="22.5" customHeight="1">
      <c r="A311" s="528" t="str">
        <f>IFERROR(__xludf.DUMMYFUNCTION("""COMPUTED_VALUE"""),"ООО Люкс ЛК")</f>
        <v>ООО Люкс ЛК</v>
      </c>
      <c r="B311" s="528"/>
      <c r="C311" s="528" t="str">
        <f>IFERROR(__xludf.DUMMYFUNCTION("""COMPUTED_VALUE"""),"подводка НЕО")</f>
        <v>подводка НЕО</v>
      </c>
      <c r="D311" s="528">
        <f>IFERROR(__xludf.DUMMYFUNCTION("""COMPUTED_VALUE"""),2518.0)</f>
        <v>2518</v>
      </c>
      <c r="E311" s="528" t="str">
        <f>IFERROR(__xludf.DUMMYFUNCTION("""COMPUTED_VALUE"""),"Баранов Александр")</f>
        <v>Баранов Александр</v>
      </c>
      <c r="F311" s="535" t="str">
        <f>IFERROR(__xludf.DUMMYFUNCTION("""COMPUTED_VALUE"""),"Повтор")</f>
        <v>Повтор</v>
      </c>
      <c r="G311" s="536" t="str">
        <f>IFERROR(__xludf.DUMMYFUNCTION("""COMPUTED_VALUE"""),"25*98")</f>
        <v>25*98</v>
      </c>
      <c r="H311" s="338" t="str">
        <f>IFERROR(__xludf.DUMMYFUNCTION("""COMPUTED_VALUE"""),"Флексопечать")</f>
        <v>Флексопечать</v>
      </c>
      <c r="I311" s="338" t="str">
        <f>IFERROR(__xludf.DUMMYFUNCTION("""COMPUTED_VALUE"""),"G-160")</f>
        <v>G-160</v>
      </c>
      <c r="J311" s="536">
        <f>IFERROR(__xludf.DUMMYFUNCTION("""COMPUTED_VALUE"""),10000.0)</f>
        <v>10000</v>
      </c>
      <c r="K311" s="537">
        <f>IFERROR(__xludf.DUMMYFUNCTION("""COMPUTED_VALUE"""),46161.0)</f>
        <v>46161</v>
      </c>
      <c r="L311" s="537"/>
      <c r="M311" s="338" t="str">
        <f>IFERROR(__xludf.DUMMYFUNCTION("""COMPUTED_VALUE"""),"Пленка PP белая каучук")</f>
        <v>Пленка PP белая каучук</v>
      </c>
      <c r="N311" s="338" t="str">
        <f>IFERROR(__xludf.DUMMYFUNCTION("""COMPUTED_VALUE"""),"Отгружен")</f>
        <v>Отгружен</v>
      </c>
      <c r="O311" s="537"/>
      <c r="P311" s="338"/>
      <c r="Q311" s="338"/>
      <c r="R311" s="338"/>
      <c r="S311" s="338"/>
      <c r="T311" s="338"/>
      <c r="U311" s="338"/>
      <c r="V311" s="338"/>
      <c r="W311" s="338"/>
      <c r="X311" s="338"/>
      <c r="Y311" s="338"/>
      <c r="Z311" s="338"/>
    </row>
    <row r="312" ht="22.5" customHeight="1">
      <c r="A312" s="528" t="str">
        <f>IFERROR(__xludf.DUMMYFUNCTION("""COMPUTED_VALUE"""),"ООО ОЗОН ВКУС")</f>
        <v>ООО ОЗОН ВКУС</v>
      </c>
      <c r="B312" s="528"/>
      <c r="C312" s="528" t="str">
        <f>IFERROR(__xludf.DUMMYFUNCTION("""COMPUTED_VALUE"""),"Этикетка ""Сэндвич с тунцом и маринованным луком""")</f>
        <v>Этикетка "Сэндвич с тунцом и маринованным луком"</v>
      </c>
      <c r="D312" s="528">
        <f>IFERROR(__xludf.DUMMYFUNCTION("""COMPUTED_VALUE"""),2524.0)</f>
        <v>2524</v>
      </c>
      <c r="E312" s="528" t="str">
        <f>IFERROR(__xludf.DUMMYFUNCTION("""COMPUTED_VALUE"""),"Римма Лукина")</f>
        <v>Римма Лукина</v>
      </c>
      <c r="F312" s="535" t="str">
        <f>IFERROR(__xludf.DUMMYFUNCTION("""COMPUTED_VALUE"""),"Повтор с изменениями")</f>
        <v>Повтор с изменениями</v>
      </c>
      <c r="G312" s="536" t="str">
        <f>IFERROR(__xludf.DUMMYFUNCTION("""COMPUTED_VALUE"""),"76*118")</f>
        <v>76*118</v>
      </c>
      <c r="H312" s="338" t="str">
        <f>IFERROR(__xludf.DUMMYFUNCTION("""COMPUTED_VALUE"""),"Флексопечать")</f>
        <v>Флексопечать</v>
      </c>
      <c r="I312" s="338" t="str">
        <f>IFERROR(__xludf.DUMMYFUNCTION("""COMPUTED_VALUE"""),"Bg-330")</f>
        <v>Bg-330</v>
      </c>
      <c r="J312" s="536">
        <f>IFERROR(__xludf.DUMMYFUNCTION("""COMPUTED_VALUE"""),10000.0)</f>
        <v>10000</v>
      </c>
      <c r="K312" s="537">
        <f>IFERROR(__xludf.DUMMYFUNCTION("""COMPUTED_VALUE"""),46164.0)</f>
        <v>46164</v>
      </c>
      <c r="L312" s="537"/>
      <c r="M312" s="338" t="str">
        <f>IFERROR(__xludf.DUMMYFUNCTION("""COMPUTED_VALUE"""),"Бумага полуглянец акрил")</f>
        <v>Бумага полуглянец акрил</v>
      </c>
      <c r="N312" s="338" t="str">
        <f>IFERROR(__xludf.DUMMYFUNCTION("""COMPUTED_VALUE"""),"Отгружен")</f>
        <v>Отгружен</v>
      </c>
      <c r="O312" s="537"/>
      <c r="P312" s="338" t="str">
        <f>IFERROR(__xludf.DUMMYFUNCTION("""COMPUTED_VALUE"""),"в УПД, паспортах качества, логистических упаковках название этикетки должно полностью совпадать")</f>
        <v>в УПД, паспортах качества, логистических упаковках название этикетки должно полностью совпадать</v>
      </c>
      <c r="Q312" s="338"/>
      <c r="R312" s="338"/>
      <c r="S312" s="338"/>
      <c r="T312" s="338"/>
      <c r="U312" s="338"/>
      <c r="V312" s="338"/>
      <c r="W312" s="338"/>
      <c r="X312" s="338"/>
      <c r="Y312" s="338"/>
      <c r="Z312" s="338"/>
    </row>
    <row r="313" ht="22.5" customHeight="1">
      <c r="A313" s="528" t="str">
        <f>IFERROR(__xludf.DUMMYFUNCTION("""COMPUTED_VALUE"""),"     
ООО""ФерЭльГам""")</f>
        <v>     
ООО"ФерЭльГам"</v>
      </c>
      <c r="B313" s="528"/>
      <c r="C313" s="528" t="str">
        <f>IFERROR(__xludf.DUMMYFUNCTION("""COMPUTED_VALUE"""),"470845 Капуста квашеная с морковью 300 г (Green vitamin) этик.")</f>
        <v>470845 Капуста квашеная с морковью 300 г (Green vitamin) этик.</v>
      </c>
      <c r="D313" s="528">
        <f>IFERROR(__xludf.DUMMYFUNCTION("""COMPUTED_VALUE"""),2525.0)</f>
        <v>2525</v>
      </c>
      <c r="E313" s="528" t="str">
        <f>IFERROR(__xludf.DUMMYFUNCTION("""COMPUTED_VALUE"""),"Баранов Александр")</f>
        <v>Баранов Александр</v>
      </c>
      <c r="F313" s="535" t="str">
        <f>IFERROR(__xludf.DUMMYFUNCTION("""COMPUTED_VALUE"""),"Новая")</f>
        <v>Новая</v>
      </c>
      <c r="G313" s="536" t="str">
        <f>IFERROR(__xludf.DUMMYFUNCTION("""COMPUTED_VALUE"""),"д110")</f>
        <v>д110</v>
      </c>
      <c r="H313" s="338" t="str">
        <f>IFERROR(__xludf.DUMMYFUNCTION("""COMPUTED_VALUE"""),"Флексопечать")</f>
        <v>Флексопечать</v>
      </c>
      <c r="I313" s="338" t="str">
        <f>IFERROR(__xludf.DUMMYFUNCTION("""COMPUTED_VALUE"""),"Wg-450")</f>
        <v>Wg-450</v>
      </c>
      <c r="J313" s="536">
        <f>IFERROR(__xludf.DUMMYFUNCTION("""COMPUTED_VALUE"""),50000.0)</f>
        <v>50000</v>
      </c>
      <c r="K313" s="537">
        <f>IFERROR(__xludf.DUMMYFUNCTION("""COMPUTED_VALUE"""),46157.0)</f>
        <v>46157</v>
      </c>
      <c r="L313" s="537"/>
      <c r="M313" s="338" t="str">
        <f>IFERROR(__xludf.DUMMYFUNCTION("""COMPUTED_VALUE"""),"Пленка PP белая каучук")</f>
        <v>Пленка PP белая каучук</v>
      </c>
      <c r="N313" s="338" t="str">
        <f>IFERROR(__xludf.DUMMYFUNCTION("""COMPUTED_VALUE"""),"Отгружен")</f>
        <v>Отгружен</v>
      </c>
      <c r="O313" s="537"/>
      <c r="P313" s="338"/>
      <c r="Q313" s="338"/>
      <c r="R313" s="338"/>
      <c r="S313" s="338"/>
      <c r="T313" s="338"/>
      <c r="U313" s="338"/>
      <c r="V313" s="338"/>
      <c r="W313" s="338"/>
      <c r="X313" s="338"/>
      <c r="Y313" s="338"/>
      <c r="Z313" s="338"/>
    </row>
    <row r="314" ht="22.5" customHeight="1">
      <c r="A314" s="528" t="str">
        <f>IFERROR(__xludf.DUMMYFUNCTION("""COMPUTED_VALUE"""),"ООО ""Сарая СНГ""")</f>
        <v>ООО "Сарая СНГ"</v>
      </c>
      <c r="B314" s="528"/>
      <c r="C314" s="528" t="str">
        <f>IFERROR(__xludf.DUMMYFUNCTION("""COMPUTED_VALUE"""),"Этикетка Алсофт Р дезинфицирующие салфетки")</f>
        <v>Этикетка Алсофт Р дезинфицирующие салфетки</v>
      </c>
      <c r="D314" s="528">
        <f>IFERROR(__xludf.DUMMYFUNCTION("""COMPUTED_VALUE"""),2526.0)</f>
        <v>2526</v>
      </c>
      <c r="E314" s="528" t="str">
        <f>IFERROR(__xludf.DUMMYFUNCTION("""COMPUTED_VALUE"""),"Баранов Александр")</f>
        <v>Баранов Александр</v>
      </c>
      <c r="F314" s="535" t="str">
        <f>IFERROR(__xludf.DUMMYFUNCTION("""COMPUTED_VALUE"""),"Новая")</f>
        <v>Новая</v>
      </c>
      <c r="G314" s="536" t="str">
        <f>IFERROR(__xludf.DUMMYFUNCTION("""COMPUTED_VALUE"""),"83*130")</f>
        <v>83*130</v>
      </c>
      <c r="H314" s="338" t="str">
        <f>IFERROR(__xludf.DUMMYFUNCTION("""COMPUTED_VALUE"""),"Флексопечать")</f>
        <v>Флексопечать</v>
      </c>
      <c r="I314" s="338" t="str">
        <f>IFERROR(__xludf.DUMMYFUNCTION("""COMPUTED_VALUE"""),"Wg-450")</f>
        <v>Wg-450</v>
      </c>
      <c r="J314" s="536">
        <f>IFERROR(__xludf.DUMMYFUNCTION("""COMPUTED_VALUE"""),20000.0)</f>
        <v>20000</v>
      </c>
      <c r="K314" s="537">
        <f>IFERROR(__xludf.DUMMYFUNCTION("""COMPUTED_VALUE"""),46154.0)</f>
        <v>46154</v>
      </c>
      <c r="L314" s="537"/>
      <c r="M314" s="338" t="str">
        <f>IFERROR(__xludf.DUMMYFUNCTION("""COMPUTED_VALUE"""),"Пленка PP белая каучук")</f>
        <v>Пленка PP белая каучук</v>
      </c>
      <c r="N314" s="338" t="str">
        <f>IFERROR(__xludf.DUMMYFUNCTION("""COMPUTED_VALUE"""),"Отгружен")</f>
        <v>Отгружен</v>
      </c>
      <c r="O314" s="537"/>
      <c r="P314" s="338" t="str">
        <f>IFERROR(__xludf.DUMMYFUNCTION("""COMPUTED_VALUE""")," нужен паспорт качества")</f>
        <v> нужен паспорт качества</v>
      </c>
      <c r="Q314" s="338"/>
      <c r="R314" s="338"/>
      <c r="S314" s="338"/>
      <c r="T314" s="338"/>
      <c r="U314" s="338"/>
      <c r="V314" s="338"/>
      <c r="W314" s="338"/>
      <c r="X314" s="338"/>
      <c r="Y314" s="338"/>
      <c r="Z314" s="338"/>
    </row>
    <row r="315" ht="22.5" customHeight="1">
      <c r="A315" s="528" t="str">
        <f>IFERROR(__xludf.DUMMYFUNCTION("""COMPUTED_VALUE"""),"Кетейтирнг Технолоджи")</f>
        <v>Кетейтирнг Технолоджи</v>
      </c>
      <c r="B315" s="528"/>
      <c r="C315" s="528" t="str">
        <f>IFERROR(__xludf.DUMMYFUNCTION("""COMPUTED_VALUE"""),"Гаспачо огуречный")</f>
        <v>Гаспачо огуречный</v>
      </c>
      <c r="D315" s="528">
        <f>IFERROR(__xludf.DUMMYFUNCTION("""COMPUTED_VALUE"""),2527.0)</f>
        <v>2527</v>
      </c>
      <c r="E315" s="528" t="str">
        <f>IFERROR(__xludf.DUMMYFUNCTION("""COMPUTED_VALUE"""),"Татьяна Денисова")</f>
        <v>Татьяна Денисова</v>
      </c>
      <c r="F315" s="535" t="str">
        <f>IFERROR(__xludf.DUMMYFUNCTION("""COMPUTED_VALUE"""),"Новая")</f>
        <v>Новая</v>
      </c>
      <c r="G315" s="536" t="str">
        <f>IFERROR(__xludf.DUMMYFUNCTION("""COMPUTED_VALUE"""),"д=90")</f>
        <v>д=90</v>
      </c>
      <c r="H315" s="338" t="str">
        <f>IFERROR(__xludf.DUMMYFUNCTION("""COMPUTED_VALUE"""),"Флексопечать")</f>
        <v>Флексопечать</v>
      </c>
      <c r="I315" s="338" t="str">
        <f>IFERROR(__xludf.DUMMYFUNCTION("""COMPUTED_VALUE"""),"Bg-330")</f>
        <v>Bg-330</v>
      </c>
      <c r="J315" s="536">
        <f>IFERROR(__xludf.DUMMYFUNCTION("""COMPUTED_VALUE"""),10000.0)</f>
        <v>10000</v>
      </c>
      <c r="K315" s="537">
        <f>IFERROR(__xludf.DUMMYFUNCTION("""COMPUTED_VALUE"""),46164.0)</f>
        <v>46164</v>
      </c>
      <c r="L315" s="537"/>
      <c r="M315" s="338" t="str">
        <f>IFERROR(__xludf.DUMMYFUNCTION("""COMPUTED_VALUE"""),"Пленка PP белая акрил")</f>
        <v>Пленка PP белая акрил</v>
      </c>
      <c r="N315" s="338" t="str">
        <f>IFERROR(__xludf.DUMMYFUNCTION("""COMPUTED_VALUE"""),"Отгружен")</f>
        <v>Отгружен</v>
      </c>
      <c r="O315" s="537"/>
      <c r="P315" s="338" t="str">
        <f>IFERROR(__xludf.DUMMYFUNCTION("""COMPUTED_VALUE"""),"Новый клиент, проконтролировать качество ")</f>
        <v>Новый клиент, проконтролировать качество </v>
      </c>
      <c r="Q315" s="338" t="str">
        <f>IFERROR(__xludf.DUMMYFUNCTION("""COMPUTED_VALUE"""),"г. Москва, проезд Фрезер, дом 2, стр 13 (с 8 до 17 часов).
За 30 мин позвонить по тел. +79257247437 заказать пропуск на въезд на территорию.")</f>
        <v>г. Москва, проезд Фрезер, дом 2, стр 13 (с 8 до 17 часов).
За 30 мин позвонить по тел. +79257247437 заказать пропуск на въезд на территорию.</v>
      </c>
      <c r="R315" s="338"/>
      <c r="S315" s="338"/>
      <c r="T315" s="338"/>
      <c r="U315" s="338"/>
      <c r="V315" s="338"/>
      <c r="W315" s="338"/>
      <c r="X315" s="338"/>
      <c r="Y315" s="338"/>
      <c r="Z315" s="338"/>
    </row>
    <row r="316" ht="22.5" customHeight="1">
      <c r="A316" s="528" t="str">
        <f>IFERROR(__xludf.DUMMYFUNCTION("""COMPUTED_VALUE"""),"ООО ТПК ПРАГМА")</f>
        <v>ООО ТПК ПРАГМА</v>
      </c>
      <c r="B316" s="528"/>
      <c r="C316" s="528" t="str">
        <f>IFERROR(__xludf.DUMMYFUNCTION("""COMPUTED_VALUE"""),"Этикетка Для Колбас Свиная")</f>
        <v>Этикетка Для Колбас Свиная</v>
      </c>
      <c r="D316" s="528">
        <f>IFERROR(__xludf.DUMMYFUNCTION("""COMPUTED_VALUE"""),2528.0)</f>
        <v>2528</v>
      </c>
      <c r="E316" s="528" t="str">
        <f>IFERROR(__xludf.DUMMYFUNCTION("""COMPUTED_VALUE"""),"Шаповалова Юлия")</f>
        <v>Шаповалова Юлия</v>
      </c>
      <c r="F316" s="535" t="str">
        <f>IFERROR(__xludf.DUMMYFUNCTION("""COMPUTED_VALUE"""),"Новая")</f>
        <v>Новая</v>
      </c>
      <c r="G316" s="536" t="str">
        <f>IFERROR(__xludf.DUMMYFUNCTION("""COMPUTED_VALUE"""),"d 105")</f>
        <v>d 105</v>
      </c>
      <c r="H316" s="338" t="str">
        <f>IFERROR(__xludf.DUMMYFUNCTION("""COMPUTED_VALUE"""),"Флексопечать")</f>
        <v>Флексопечать</v>
      </c>
      <c r="I316" s="338" t="str">
        <f>IFERROR(__xludf.DUMMYFUNCTION("""COMPUTED_VALUE"""),"Wg-450")</f>
        <v>Wg-450</v>
      </c>
      <c r="J316" s="536" t="str">
        <f>IFERROR(__xludf.DUMMYFUNCTION("""COMPUTED_VALUE"""),"40 000")</f>
        <v>40 000</v>
      </c>
      <c r="K316" s="537">
        <f>IFERROR(__xludf.DUMMYFUNCTION("""COMPUTED_VALUE"""),46162.0)</f>
        <v>46162</v>
      </c>
      <c r="L316" s="537"/>
      <c r="M316" s="338" t="str">
        <f>IFERROR(__xludf.DUMMYFUNCTION("""COMPUTED_VALUE"""),"Пленка PP белая акрил")</f>
        <v>Пленка PP белая акрил</v>
      </c>
      <c r="N316" s="338" t="str">
        <f>IFERROR(__xludf.DUMMYFUNCTION("""COMPUTED_VALUE"""),"Отгружен")</f>
        <v>Отгружен</v>
      </c>
      <c r="O316" s="537"/>
      <c r="P316" s="338" t="str">
        <f>IFERROR(__xludf.DUMMYFUNCTION("""COMPUTED_VALUE"""),"паспорт качества, УПД ")</f>
        <v>паспорт качества, УПД </v>
      </c>
      <c r="Q316" s="338" t="str">
        <f>IFERROR(__xludf.DUMMYFUNCTION("""COMPUTED_VALUE"""),"142833, Московская область, городской округ Ступино, село Семёновское, Берёзовая улица, 32 - этот адрес не всегда есть в навигаторе, в навигаторе ориентироваться 142833, Московская область, городской округ Ступино, село Семёновское, Совхозная улица 29 (эт"&amp;"о здание рядом). Контакт для связи: +7 963 970 32 80 Лариса Александровна руководитель обособленого подразделения")</f>
        <v>142833, Московская область, городской округ Ступино, село Семёновское, Берёзовая улица, 32 - этот адрес не всегда есть в навигаторе, в навигаторе ориентироваться 142833, Московская область, городской округ Ступино, село Семёновское, Совхозная улица 29 (это здание рядом). Контакт для связи: +7 963 970 32 80 Лариса Александровна руководитель обособленого подразделения</v>
      </c>
      <c r="R316" s="338"/>
      <c r="S316" s="338"/>
      <c r="T316" s="338"/>
      <c r="U316" s="338"/>
      <c r="V316" s="338"/>
      <c r="W316" s="338"/>
      <c r="X316" s="338"/>
      <c r="Y316" s="338"/>
      <c r="Z316" s="338"/>
    </row>
    <row r="317" ht="22.5" customHeight="1">
      <c r="A317" s="528" t="str">
        <f>IFERROR(__xludf.DUMMYFUNCTION("""COMPUTED_VALUE"""),"ООО ТПК ПРАГМА")</f>
        <v>ООО ТПК ПРАГМА</v>
      </c>
      <c r="B317" s="528"/>
      <c r="C317" s="528" t="str">
        <f>IFERROR(__xludf.DUMMYFUNCTION("""COMPUTED_VALUE"""),"Этикетка Домашние Колбасы")</f>
        <v>Этикетка Домашние Колбасы</v>
      </c>
      <c r="D317" s="528">
        <f>IFERROR(__xludf.DUMMYFUNCTION("""COMPUTED_VALUE"""),2529.0)</f>
        <v>2529</v>
      </c>
      <c r="E317" s="528" t="str">
        <f>IFERROR(__xludf.DUMMYFUNCTION("""COMPUTED_VALUE"""),"Шаповалова Юлия")</f>
        <v>Шаповалова Юлия</v>
      </c>
      <c r="F317" s="535" t="str">
        <f>IFERROR(__xludf.DUMMYFUNCTION("""COMPUTED_VALUE"""),"Новая")</f>
        <v>Новая</v>
      </c>
      <c r="G317" s="536" t="str">
        <f>IFERROR(__xludf.DUMMYFUNCTION("""COMPUTED_VALUE"""),"d 105")</f>
        <v>d 105</v>
      </c>
      <c r="H317" s="338" t="str">
        <f>IFERROR(__xludf.DUMMYFUNCTION("""COMPUTED_VALUE"""),"Флексопечать")</f>
        <v>Флексопечать</v>
      </c>
      <c r="I317" s="338" t="str">
        <f>IFERROR(__xludf.DUMMYFUNCTION("""COMPUTED_VALUE"""),"Wg-450")</f>
        <v>Wg-450</v>
      </c>
      <c r="J317" s="536" t="str">
        <f>IFERROR(__xludf.DUMMYFUNCTION("""COMPUTED_VALUE"""),"20 000")</f>
        <v>20 000</v>
      </c>
      <c r="K317" s="537">
        <f>IFERROR(__xludf.DUMMYFUNCTION("""COMPUTED_VALUE"""),46162.0)</f>
        <v>46162</v>
      </c>
      <c r="L317" s="537"/>
      <c r="M317" s="338" t="str">
        <f>IFERROR(__xludf.DUMMYFUNCTION("""COMPUTED_VALUE"""),"Пленка PP белая акрил")</f>
        <v>Пленка PP белая акрил</v>
      </c>
      <c r="N317" s="338" t="str">
        <f>IFERROR(__xludf.DUMMYFUNCTION("""COMPUTED_VALUE"""),"Отгружен")</f>
        <v>Отгружен</v>
      </c>
      <c r="O317" s="537"/>
      <c r="P317" s="338" t="str">
        <f>IFERROR(__xludf.DUMMYFUNCTION("""COMPUTED_VALUE"""),"паспорт качества, УПД")</f>
        <v>паспорт качества, УПД</v>
      </c>
      <c r="Q317" s="338" t="str">
        <f>IFERROR(__xludf.DUMMYFUNCTION("""COMPUTED_VALUE"""),"142833, Московская область, городской округ Ступино, село Семёновское, Берёзовая улица, 32 - этот адрес не всегда есть в навигаторе, в навигаторе ориентироваться 142833, Московская область, городской округ Ступино, село Семёновское, Совхозная улица 29 (эт"&amp;"о здание рядом). Контакт для связи: +7 963 970 32 80 Лариса Александровна руководитель обособленого подразделения")</f>
        <v>142833, Московская область, городской округ Ступино, село Семёновское, Берёзовая улица, 32 - этот адрес не всегда есть в навигаторе, в навигаторе ориентироваться 142833, Московская область, городской округ Ступино, село Семёновское, Совхозная улица 29 (это здание рядом). Контакт для связи: +7 963 970 32 80 Лариса Александровна руководитель обособленого подразделения</v>
      </c>
      <c r="R317" s="338"/>
      <c r="S317" s="338"/>
      <c r="T317" s="338"/>
      <c r="U317" s="338"/>
      <c r="V317" s="338"/>
      <c r="W317" s="338"/>
      <c r="X317" s="338"/>
      <c r="Y317" s="338"/>
      <c r="Z317" s="338"/>
    </row>
    <row r="318" ht="22.5" customHeight="1">
      <c r="A318" s="528" t="str">
        <f>IFERROR(__xludf.DUMMYFUNCTION("""COMPUTED_VALUE"""),"ООО ТПК ПРАГМА")</f>
        <v>ООО ТПК ПРАГМА</v>
      </c>
      <c r="B318" s="528"/>
      <c r="C318" s="528" t="str">
        <f>IFERROR(__xludf.DUMMYFUNCTION("""COMPUTED_VALUE"""),"Этикетка Для Колбас Баранья")</f>
        <v>Этикетка Для Колбас Баранья</v>
      </c>
      <c r="D318" s="528">
        <f>IFERROR(__xludf.DUMMYFUNCTION("""COMPUTED_VALUE"""),2530.0)</f>
        <v>2530</v>
      </c>
      <c r="E318" s="528" t="str">
        <f>IFERROR(__xludf.DUMMYFUNCTION("""COMPUTED_VALUE"""),"Шаповалова Юлия")</f>
        <v>Шаповалова Юлия</v>
      </c>
      <c r="F318" s="535" t="str">
        <f>IFERROR(__xludf.DUMMYFUNCTION("""COMPUTED_VALUE"""),"Новая")</f>
        <v>Новая</v>
      </c>
      <c r="G318" s="536" t="str">
        <f>IFERROR(__xludf.DUMMYFUNCTION("""COMPUTED_VALUE"""),"25*98")</f>
        <v>25*98</v>
      </c>
      <c r="H318" s="338" t="str">
        <f>IFERROR(__xludf.DUMMYFUNCTION("""COMPUTED_VALUE"""),"Флексопечать")</f>
        <v>Флексопечать</v>
      </c>
      <c r="I318" s="338" t="str">
        <f>IFERROR(__xludf.DUMMYFUNCTION("""COMPUTED_VALUE"""),"Wg-450")</f>
        <v>Wg-450</v>
      </c>
      <c r="J318" s="536" t="str">
        <f>IFERROR(__xludf.DUMMYFUNCTION("""COMPUTED_VALUE"""),"10 000")</f>
        <v>10 000</v>
      </c>
      <c r="K318" s="537">
        <f>IFERROR(__xludf.DUMMYFUNCTION("""COMPUTED_VALUE"""),46162.0)</f>
        <v>46162</v>
      </c>
      <c r="L318" s="537"/>
      <c r="M318" s="338" t="str">
        <f>IFERROR(__xludf.DUMMYFUNCTION("""COMPUTED_VALUE"""),"Пленка PP белая акрил")</f>
        <v>Пленка PP белая акрил</v>
      </c>
      <c r="N318" s="338" t="str">
        <f>IFERROR(__xludf.DUMMYFUNCTION("""COMPUTED_VALUE"""),"Отгружен")</f>
        <v>Отгружен</v>
      </c>
      <c r="O318" s="537"/>
      <c r="P318" s="338" t="str">
        <f>IFERROR(__xludf.DUMMYFUNCTION("""COMPUTED_VALUE"""),"паспорт качества, УПД")</f>
        <v>паспорт качества, УПД</v>
      </c>
      <c r="Q318" s="338" t="str">
        <f>IFERROR(__xludf.DUMMYFUNCTION("""COMPUTED_VALUE"""),"142833, Московская область, городской округ Ступино, село Семёновское, Берёзовая улица, 32 - этот адрес не всегда есть в навигаторе, в навигаторе ориентироваться 142833, Московская область, городской округ Ступино, село Семёновское, Совхозная улица 29 (эт"&amp;"о здание рядом). Контакт для связи: +7 963 970 32 80 Лариса Александровна руководитель обособленого подразделения")</f>
        <v>142833, Московская область, городской округ Ступино, село Семёновское, Берёзовая улица, 32 - этот адрес не всегда есть в навигаторе, в навигаторе ориентироваться 142833, Московская область, городской округ Ступино, село Семёновское, Совхозная улица 29 (это здание рядом). Контакт для связи: +7 963 970 32 80 Лариса Александровна руководитель обособленого подразделения</v>
      </c>
      <c r="R318" s="338"/>
      <c r="S318" s="338"/>
      <c r="T318" s="338"/>
      <c r="U318" s="338"/>
      <c r="V318" s="338"/>
      <c r="W318" s="338"/>
      <c r="X318" s="338"/>
      <c r="Y318" s="338"/>
      <c r="Z318" s="338"/>
    </row>
    <row r="319" ht="22.5" customHeight="1">
      <c r="A319" s="528" t="str">
        <f>IFERROR(__xludf.DUMMYFUNCTION("""COMPUTED_VALUE"""),"ООО Фосфорель ")</f>
        <v>ООО Фосфорель </v>
      </c>
      <c r="B319" s="528"/>
      <c r="C319" s="528" t="str">
        <f>IFERROR(__xludf.DUMMYFUNCTION("""COMPUTED_VALUE"""),"Этикетка ""Рыбная соломка с паприкой холодного копчения 90гр""")</f>
        <v>Этикетка "Рыбная соломка с паприкой холодного копчения 90гр"</v>
      </c>
      <c r="D319" s="528">
        <f>IFERROR(__xludf.DUMMYFUNCTION("""COMPUTED_VALUE"""),2534.0)</f>
        <v>2534</v>
      </c>
      <c r="E319" s="528" t="str">
        <f>IFERROR(__xludf.DUMMYFUNCTION("""COMPUTED_VALUE"""),"Римма Лукина")</f>
        <v>Римма Лукина</v>
      </c>
      <c r="F319" s="535" t="str">
        <f>IFERROR(__xludf.DUMMYFUNCTION("""COMPUTED_VALUE"""),"Новая")</f>
        <v>Новая</v>
      </c>
      <c r="G319" s="536" t="str">
        <f>IFERROR(__xludf.DUMMYFUNCTION("""COMPUTED_VALUE"""),"90*100")</f>
        <v>90*100</v>
      </c>
      <c r="H319" s="338" t="str">
        <f>IFERROR(__xludf.DUMMYFUNCTION("""COMPUTED_VALUE"""),"Флексопечать")</f>
        <v>Флексопечать</v>
      </c>
      <c r="I319" s="338" t="str">
        <f>IFERROR(__xludf.DUMMYFUNCTION("""COMPUTED_VALUE"""),"Bg-330")</f>
        <v>Bg-330</v>
      </c>
      <c r="J319" s="536">
        <f>IFERROR(__xludf.DUMMYFUNCTION("""COMPUTED_VALUE"""),25000.0)</f>
        <v>25000</v>
      </c>
      <c r="K319" s="537">
        <f>IFERROR(__xludf.DUMMYFUNCTION("""COMPUTED_VALUE"""),46162.0)</f>
        <v>46162</v>
      </c>
      <c r="L319" s="537"/>
      <c r="M319" s="338" t="str">
        <f>IFERROR(__xludf.DUMMYFUNCTION("""COMPUTED_VALUE"""),"Пленка PP белая акрил")</f>
        <v>Пленка PP белая акрил</v>
      </c>
      <c r="N319" s="338" t="str">
        <f>IFERROR(__xludf.DUMMYFUNCTION("""COMPUTED_VALUE"""),"Отгружен")</f>
        <v>Отгружен</v>
      </c>
      <c r="O319" s="537"/>
      <c r="P319" s="338" t="str">
        <f>IFERROR(__xludf.DUMMYFUNCTION("""COMPUTED_VALUE"""),"паспорт качества")</f>
        <v>паспорт качества</v>
      </c>
      <c r="Q319" s="338" t="str">
        <f>IFERROR(__xludf.DUMMYFUNCTION("""COMPUTED_VALUE"""),"Оформилю накладную СДЭК")</f>
        <v>Оформилю накладную СДЭК</v>
      </c>
      <c r="R319" s="338"/>
      <c r="S319" s="338"/>
      <c r="T319" s="338"/>
      <c r="U319" s="338"/>
      <c r="V319" s="338"/>
      <c r="W319" s="338"/>
      <c r="X319" s="338"/>
      <c r="Y319" s="338"/>
      <c r="Z319" s="338"/>
    </row>
    <row r="320" ht="22.5" customHeight="1">
      <c r="A320" s="528" t="str">
        <f>IFERROR(__xludf.DUMMYFUNCTION("""COMPUTED_VALUE"""),"ООО Рыбный двор")</f>
        <v>ООО Рыбный двор</v>
      </c>
      <c r="B320" s="528"/>
      <c r="C320" s="528" t="str">
        <f>IFERROR(__xludf.DUMMYFUNCTION("""COMPUTED_VALUE"""),"Этикетка ""Камбала вяленая 100гр")</f>
        <v>Этикетка "Камбала вяленая 100гр</v>
      </c>
      <c r="D320" s="528">
        <f>IFERROR(__xludf.DUMMYFUNCTION("""COMPUTED_VALUE"""),2536.0)</f>
        <v>2536</v>
      </c>
      <c r="E320" s="528" t="str">
        <f>IFERROR(__xludf.DUMMYFUNCTION("""COMPUTED_VALUE"""),"Римма Лукина")</f>
        <v>Римма Лукина</v>
      </c>
      <c r="F320" s="535" t="str">
        <f>IFERROR(__xludf.DUMMYFUNCTION("""COMPUTED_VALUE"""),"Новая")</f>
        <v>Новая</v>
      </c>
      <c r="G320" s="536" t="str">
        <f>IFERROR(__xludf.DUMMYFUNCTION("""COMPUTED_VALUE"""),"80*130")</f>
        <v>80*130</v>
      </c>
      <c r="H320" s="338" t="str">
        <f>IFERROR(__xludf.DUMMYFUNCTION("""COMPUTED_VALUE"""),"Флексопечать")</f>
        <v>Флексопечать</v>
      </c>
      <c r="I320" s="338" t="str">
        <f>IFERROR(__xludf.DUMMYFUNCTION("""COMPUTED_VALUE"""),"Bg-330")</f>
        <v>Bg-330</v>
      </c>
      <c r="J320" s="536">
        <f>IFERROR(__xludf.DUMMYFUNCTION("""COMPUTED_VALUE"""),50000.0)</f>
        <v>50000</v>
      </c>
      <c r="K320" s="537">
        <f>IFERROR(__xludf.DUMMYFUNCTION("""COMPUTED_VALUE"""),46162.0)</f>
        <v>46162</v>
      </c>
      <c r="L320" s="537"/>
      <c r="M320" s="338" t="str">
        <f>IFERROR(__xludf.DUMMYFUNCTION("""COMPUTED_VALUE"""),"Пленка PP белая акрил")</f>
        <v>Пленка PP белая акрил</v>
      </c>
      <c r="N320" s="338" t="str">
        <f>IFERROR(__xludf.DUMMYFUNCTION("""COMPUTED_VALUE"""),"Отгружен")</f>
        <v>Отгружен</v>
      </c>
      <c r="O320" s="537"/>
      <c r="P320" s="338" t="str">
        <f>IFERROR(__xludf.DUMMYFUNCTION("""COMPUTED_VALUE"""),"паспорт качества")</f>
        <v>паспорт качества</v>
      </c>
      <c r="Q320" s="338" t="str">
        <f>IFERROR(__xludf.DUMMYFUNCTION("""COMPUTED_VALUE"""),"Оформилю накладную СДЭК")</f>
        <v>Оформилю накладную СДЭК</v>
      </c>
      <c r="R320" s="338"/>
      <c r="S320" s="338"/>
      <c r="T320" s="338"/>
      <c r="U320" s="338"/>
      <c r="V320" s="338"/>
      <c r="W320" s="338"/>
      <c r="X320" s="338"/>
      <c r="Y320" s="338"/>
      <c r="Z320" s="338"/>
    </row>
    <row r="321" ht="22.5" customHeight="1">
      <c r="A321" s="528" t="str">
        <f>IFERROR(__xludf.DUMMYFUNCTION("""COMPUTED_VALUE"""),"ООО Рыбный двор")</f>
        <v>ООО Рыбный двор</v>
      </c>
      <c r="B321" s="528"/>
      <c r="C321" s="528" t="str">
        <f>IFERROR(__xludf.DUMMYFUNCTION("""COMPUTED_VALUE"""),"Этикетки ""Креветки сушено-вяленые острые 40г""")</f>
        <v>Этикетки "Креветки сушено-вяленые острые 40г"</v>
      </c>
      <c r="D321" s="528">
        <f>IFERROR(__xludf.DUMMYFUNCTION("""COMPUTED_VALUE"""),2547.0)</f>
        <v>2547</v>
      </c>
      <c r="E321" s="528" t="str">
        <f>IFERROR(__xludf.DUMMYFUNCTION("""COMPUTED_VALUE"""),"Римма Лукина")</f>
        <v>Римма Лукина</v>
      </c>
      <c r="F321" s="535" t="str">
        <f>IFERROR(__xludf.DUMMYFUNCTION("""COMPUTED_VALUE"""),"Новая")</f>
        <v>Новая</v>
      </c>
      <c r="G321" s="536" t="str">
        <f>IFERROR(__xludf.DUMMYFUNCTION("""COMPUTED_VALUE"""),"80*90")</f>
        <v>80*90</v>
      </c>
      <c r="H321" s="338" t="str">
        <f>IFERROR(__xludf.DUMMYFUNCTION("""COMPUTED_VALUE"""),"Цифра+Полуротация")</f>
        <v>Цифра+Полуротация</v>
      </c>
      <c r="I321" s="338" t="str">
        <f>IFERROR(__xludf.DUMMYFUNCTION("""COMPUTED_VALUE"""),"LS(ЦПМ)")</f>
        <v>LS(ЦПМ)</v>
      </c>
      <c r="J321" s="536">
        <f>IFERROR(__xludf.DUMMYFUNCTION("""COMPUTED_VALUE"""),3000.0)</f>
        <v>3000</v>
      </c>
      <c r="K321" s="537">
        <f>IFERROR(__xludf.DUMMYFUNCTION("""COMPUTED_VALUE"""),46162.0)</f>
        <v>46162</v>
      </c>
      <c r="L321" s="537"/>
      <c r="M321" s="338" t="str">
        <f>IFERROR(__xludf.DUMMYFUNCTION("""COMPUTED_VALUE"""),"Пленка PP белая акрил")</f>
        <v>Пленка PP белая акрил</v>
      </c>
      <c r="N321" s="338" t="str">
        <f>IFERROR(__xludf.DUMMYFUNCTION("""COMPUTED_VALUE"""),"Отгружен")</f>
        <v>Отгружен</v>
      </c>
      <c r="O321" s="537"/>
      <c r="P321" s="338" t="str">
        <f>IFERROR(__xludf.DUMMYFUNCTION("""COMPUTED_VALUE"""),"паспорт качества")</f>
        <v>паспорт качества</v>
      </c>
      <c r="Q321" s="338" t="str">
        <f>IFERROR(__xludf.DUMMYFUNCTION("""COMPUTED_VALUE"""),"Оформилю накладную СДЭК")</f>
        <v>Оформилю накладную СДЭК</v>
      </c>
      <c r="R321" s="338"/>
      <c r="S321" s="338"/>
      <c r="T321" s="338"/>
      <c r="U321" s="338"/>
      <c r="V321" s="338"/>
      <c r="W321" s="338"/>
      <c r="X321" s="338"/>
      <c r="Y321" s="338"/>
      <c r="Z321" s="338"/>
    </row>
    <row r="322" ht="22.5" customHeight="1">
      <c r="A322" s="528" t="str">
        <f>IFERROR(__xludf.DUMMYFUNCTION("""COMPUTED_VALUE"""),"Калье")</f>
        <v>Калье</v>
      </c>
      <c r="B322" s="528"/>
      <c r="C322" s="528" t="str">
        <f>IFERROR(__xludf.DUMMYFUNCTION("""COMPUTED_VALUE"""),"Дегидратирующий тоник")</f>
        <v>Дегидратирующий тоник</v>
      </c>
      <c r="D322" s="528">
        <f>IFERROR(__xludf.DUMMYFUNCTION("""COMPUTED_VALUE"""),2560.0)</f>
        <v>2560</v>
      </c>
      <c r="E322" s="528" t="str">
        <f>IFERROR(__xludf.DUMMYFUNCTION("""COMPUTED_VALUE"""),"Татьяна Денисова")</f>
        <v>Татьяна Денисова</v>
      </c>
      <c r="F322" s="535" t="str">
        <f>IFERROR(__xludf.DUMMYFUNCTION("""COMPUTED_VALUE"""),"Новая")</f>
        <v>Новая</v>
      </c>
      <c r="G322" s="536" t="str">
        <f>IFERROR(__xludf.DUMMYFUNCTION("""COMPUTED_VALUE"""),"95*145")</f>
        <v>95*145</v>
      </c>
      <c r="H322" s="338" t="str">
        <f>IFERROR(__xludf.DUMMYFUNCTION("""COMPUTED_VALUE"""),"Флексопечать")</f>
        <v>Флексопечать</v>
      </c>
      <c r="I322" s="338" t="str">
        <f>IFERROR(__xludf.DUMMYFUNCTION("""COMPUTED_VALUE"""),"Bg-330")</f>
        <v>Bg-330</v>
      </c>
      <c r="J322" s="536" t="str">
        <f>IFERROR(__xludf.DUMMYFUNCTION("""COMPUTED_VALUE"""),"10 000")</f>
        <v>10 000</v>
      </c>
      <c r="K322" s="537">
        <f>IFERROR(__xludf.DUMMYFUNCTION("""COMPUTED_VALUE"""),46164.0)</f>
        <v>46164</v>
      </c>
      <c r="L322" s="537"/>
      <c r="M322" s="338" t="str">
        <f>IFERROR(__xludf.DUMMYFUNCTION("""COMPUTED_VALUE"""),"Пленка PP прозрачная")</f>
        <v>Пленка PP прозрачная</v>
      </c>
      <c r="N322" s="338" t="str">
        <f>IFERROR(__xludf.DUMMYFUNCTION("""COMPUTED_VALUE"""),"Отгружен")</f>
        <v>Отгружен</v>
      </c>
      <c r="O322" s="537"/>
      <c r="P322" s="338" t="str">
        <f>IFERROR(__xludf.DUMMYFUNCTION("""COMPUTED_VALUE"""),"Приладка в раб дни до 17:30 как обычно")</f>
        <v>Приладка в раб дни до 17:30 как обычно</v>
      </c>
      <c r="Q322" s="338" t="str">
        <f>IFERROR(__xludf.DUMMYFUNCTION("""COMPUTED_VALUE"""),"Сама заказываю ТК")</f>
        <v>Сама заказываю ТК</v>
      </c>
      <c r="R322" s="338"/>
      <c r="S322" s="338"/>
      <c r="T322" s="338"/>
      <c r="U322" s="338"/>
      <c r="V322" s="338"/>
      <c r="W322" s="338"/>
      <c r="X322" s="338"/>
      <c r="Y322" s="338"/>
      <c r="Z322" s="338"/>
    </row>
    <row r="323" ht="22.5" customHeight="1">
      <c r="A323" s="528" t="str">
        <f>IFERROR(__xludf.DUMMYFUNCTION("""COMPUTED_VALUE"""),"Калье")</f>
        <v>Калье</v>
      </c>
      <c r="B323" s="528"/>
      <c r="C323" s="528" t="str">
        <f>IFERROR(__xludf.DUMMYFUNCTION("""COMPUTED_VALUE"""),"Двухфазный спрей Prof Adri 250 мл")</f>
        <v>Двухфазный спрей Prof Adri 250 мл</v>
      </c>
      <c r="D323" s="528">
        <f>IFERROR(__xludf.DUMMYFUNCTION("""COMPUTED_VALUE"""),2575.0)</f>
        <v>2575</v>
      </c>
      <c r="E323" s="528" t="str">
        <f>IFERROR(__xludf.DUMMYFUNCTION("""COMPUTED_VALUE"""),"Татьяна Денисова")</f>
        <v>Татьяна Денисова</v>
      </c>
      <c r="F323" s="535" t="str">
        <f>IFERROR(__xludf.DUMMYFUNCTION("""COMPUTED_VALUE"""),"Новая")</f>
        <v>Новая</v>
      </c>
      <c r="G323" s="536" t="str">
        <f>IFERROR(__xludf.DUMMYFUNCTION("""COMPUTED_VALUE"""),"130*145")</f>
        <v>130*145</v>
      </c>
      <c r="H323" s="338" t="str">
        <f>IFERROR(__xludf.DUMMYFUNCTION("""COMPUTED_VALUE"""),"Флексопечать")</f>
        <v>Флексопечать</v>
      </c>
      <c r="I323" s="338" t="str">
        <f>IFERROR(__xludf.DUMMYFUNCTION("""COMPUTED_VALUE"""),"Bg-330")</f>
        <v>Bg-330</v>
      </c>
      <c r="J323" s="536" t="str">
        <f>IFERROR(__xludf.DUMMYFUNCTION("""COMPUTED_VALUE"""),"10 000")</f>
        <v>10 000</v>
      </c>
      <c r="K323" s="537">
        <f>IFERROR(__xludf.DUMMYFUNCTION("""COMPUTED_VALUE"""),46164.0)</f>
        <v>46164</v>
      </c>
      <c r="L323" s="537"/>
      <c r="M323" s="338" t="str">
        <f>IFERROR(__xludf.DUMMYFUNCTION("""COMPUTED_VALUE"""),"Пленка PP прозрачная")</f>
        <v>Пленка PP прозрачная</v>
      </c>
      <c r="N323" s="338" t="str">
        <f>IFERROR(__xludf.DUMMYFUNCTION("""COMPUTED_VALUE"""),"Отгружен")</f>
        <v>Отгружен</v>
      </c>
      <c r="O323" s="537"/>
      <c r="P323" s="338" t="str">
        <f>IFERROR(__xludf.DUMMYFUNCTION("""COMPUTED_VALUE"""),"Приладка в раб дни до 17:30 как обычно")</f>
        <v>Приладка в раб дни до 17:30 как обычно</v>
      </c>
      <c r="Q323" s="338" t="str">
        <f>IFERROR(__xludf.DUMMYFUNCTION("""COMPUTED_VALUE"""),"Сама заказываю ТК")</f>
        <v>Сама заказываю ТК</v>
      </c>
      <c r="R323" s="338"/>
      <c r="S323" s="338"/>
      <c r="T323" s="338"/>
      <c r="U323" s="338"/>
      <c r="V323" s="338"/>
      <c r="W323" s="338"/>
      <c r="X323" s="338"/>
      <c r="Y323" s="338"/>
      <c r="Z323" s="338"/>
    </row>
    <row r="324" ht="22.5" customHeight="1">
      <c r="A324" s="528" t="str">
        <f>IFERROR(__xludf.DUMMYFUNCTION("""COMPUTED_VALUE"""),"Калье")</f>
        <v>Калье</v>
      </c>
      <c r="B324" s="528"/>
      <c r="C324" s="528" t="str">
        <f>IFERROR(__xludf.DUMMYFUNCTION("""COMPUTED_VALUE"""),"Хелатирующий шампунь TNL, 1000 мл")</f>
        <v>Хелатирующий шампунь TNL, 1000 мл</v>
      </c>
      <c r="D324" s="528">
        <f>IFERROR(__xludf.DUMMYFUNCTION("""COMPUTED_VALUE"""),2576.0)</f>
        <v>2576</v>
      </c>
      <c r="E324" s="528" t="str">
        <f>IFERROR(__xludf.DUMMYFUNCTION("""COMPUTED_VALUE"""),"Татьяна Денисова")</f>
        <v>Татьяна Денисова</v>
      </c>
      <c r="F324" s="535" t="str">
        <f>IFERROR(__xludf.DUMMYFUNCTION("""COMPUTED_VALUE"""),"Новая")</f>
        <v>Новая</v>
      </c>
      <c r="G324" s="536" t="str">
        <f>IFERROR(__xludf.DUMMYFUNCTION("""COMPUTED_VALUE"""),"150*230")</f>
        <v>150*230</v>
      </c>
      <c r="H324" s="338" t="str">
        <f>IFERROR(__xludf.DUMMYFUNCTION("""COMPUTED_VALUE"""),"Флексопечать")</f>
        <v>Флексопечать</v>
      </c>
      <c r="I324" s="338" t="str">
        <f>IFERROR(__xludf.DUMMYFUNCTION("""COMPUTED_VALUE"""),"Bg-330")</f>
        <v>Bg-330</v>
      </c>
      <c r="J324" s="536">
        <f>IFERROR(__xludf.DUMMYFUNCTION("""COMPUTED_VALUE"""),10000.0)</f>
        <v>10000</v>
      </c>
      <c r="K324" s="537">
        <f>IFERROR(__xludf.DUMMYFUNCTION("""COMPUTED_VALUE"""),46164.0)</f>
        <v>46164</v>
      </c>
      <c r="L324" s="537"/>
      <c r="M324" s="338" t="str">
        <f>IFERROR(__xludf.DUMMYFUNCTION("""COMPUTED_VALUE"""),"Пленка PP белая акрил")</f>
        <v>Пленка PP белая акрил</v>
      </c>
      <c r="N324" s="338" t="str">
        <f>IFERROR(__xludf.DUMMYFUNCTION("""COMPUTED_VALUE"""),"Отгружен")</f>
        <v>Отгружен</v>
      </c>
      <c r="O324" s="537"/>
      <c r="P324" s="338" t="str">
        <f>IFERROR(__xludf.DUMMYFUNCTION("""COMPUTED_VALUE"""),"Приладка в раб дни до 17:30 как обычно")</f>
        <v>Приладка в раб дни до 17:30 как обычно</v>
      </c>
      <c r="Q324" s="338" t="str">
        <f>IFERROR(__xludf.DUMMYFUNCTION("""COMPUTED_VALUE"""),"Сама заказываю ТК")</f>
        <v>Сама заказываю ТК</v>
      </c>
      <c r="R324" s="338"/>
      <c r="S324" s="338"/>
      <c r="T324" s="338"/>
      <c r="U324" s="338"/>
      <c r="V324" s="338"/>
      <c r="W324" s="338"/>
      <c r="X324" s="338"/>
      <c r="Y324" s="338"/>
      <c r="Z324" s="338"/>
    </row>
    <row r="325" ht="22.5" customHeight="1">
      <c r="A325" s="528" t="str">
        <f>IFERROR(__xludf.DUMMYFUNCTION("""COMPUTED_VALUE"""),"Калье")</f>
        <v>Калье</v>
      </c>
      <c r="B325" s="528"/>
      <c r="C325" s="528" t="str">
        <f>IFERROR(__xludf.DUMMYFUNCTION("""COMPUTED_VALUE"""),"Мусс Curly, 150 мл")</f>
        <v>Мусс Curly, 150 мл</v>
      </c>
      <c r="D325" s="528">
        <f>IFERROR(__xludf.DUMMYFUNCTION("""COMPUTED_VALUE"""),2577.0)</f>
        <v>2577</v>
      </c>
      <c r="E325" s="528" t="str">
        <f>IFERROR(__xludf.DUMMYFUNCTION("""COMPUTED_VALUE"""),"Татьяна Денисова")</f>
        <v>Татьяна Денисова</v>
      </c>
      <c r="F325" s="535" t="str">
        <f>IFERROR(__xludf.DUMMYFUNCTION("""COMPUTED_VALUE"""),"Повтор с изменениями")</f>
        <v>Повтор с изменениями</v>
      </c>
      <c r="G325" s="536" t="str">
        <f>IFERROR(__xludf.DUMMYFUNCTION("""COMPUTED_VALUE"""),"100*140")</f>
        <v>100*140</v>
      </c>
      <c r="H325" s="338" t="str">
        <f>IFERROR(__xludf.DUMMYFUNCTION("""COMPUTED_VALUE"""),"Флексопечать")</f>
        <v>Флексопечать</v>
      </c>
      <c r="I325" s="338" t="str">
        <f>IFERROR(__xludf.DUMMYFUNCTION("""COMPUTED_VALUE"""),"Bg-330")</f>
        <v>Bg-330</v>
      </c>
      <c r="J325" s="536">
        <f>IFERROR(__xludf.DUMMYFUNCTION("""COMPUTED_VALUE"""),20000.0)</f>
        <v>20000</v>
      </c>
      <c r="K325" s="537">
        <f>IFERROR(__xludf.DUMMYFUNCTION("""COMPUTED_VALUE"""),46167.0)</f>
        <v>46167</v>
      </c>
      <c r="L325" s="537"/>
      <c r="M325" s="338" t="str">
        <f>IFERROR(__xludf.DUMMYFUNCTION("""COMPUTED_VALUE"""),"Пленка метализированная акрил")</f>
        <v>Пленка метализированная акрил</v>
      </c>
      <c r="N325" s="338" t="str">
        <f>IFERROR(__xludf.DUMMYFUNCTION("""COMPUTED_VALUE"""),"Отгружен")</f>
        <v>Отгружен</v>
      </c>
      <c r="O325" s="537"/>
      <c r="P325" s="338" t="str">
        <f>IFERROR(__xludf.DUMMYFUNCTION("""COMPUTED_VALUE"""),"Приладка в раб дни до 17:30 как обычно")</f>
        <v>Приладка в раб дни до 17:30 как обычно</v>
      </c>
      <c r="Q325" s="338" t="str">
        <f>IFERROR(__xludf.DUMMYFUNCTION("""COMPUTED_VALUE"""),"Сама заказываю ТК")</f>
        <v>Сама заказываю ТК</v>
      </c>
      <c r="R325" s="338"/>
      <c r="S325" s="338"/>
      <c r="T325" s="338"/>
      <c r="U325" s="338"/>
      <c r="V325" s="338"/>
      <c r="W325" s="338"/>
      <c r="X325" s="338"/>
      <c r="Y325" s="338"/>
      <c r="Z325" s="338"/>
    </row>
    <row r="326" ht="22.5" customHeight="1">
      <c r="A326" s="528" t="str">
        <f>IFERROR(__xludf.DUMMYFUNCTION("""COMPUTED_VALUE"""),"Калье")</f>
        <v>Калье</v>
      </c>
      <c r="B326" s="528"/>
      <c r="C326" s="528" t="str">
        <f>IFERROR(__xludf.DUMMYFUNCTION("""COMPUTED_VALUE"""),"Крем-флюид CURLY, 150 мл")</f>
        <v>Крем-флюид CURLY, 150 мл</v>
      </c>
      <c r="D326" s="528">
        <f>IFERROR(__xludf.DUMMYFUNCTION("""COMPUTED_VALUE"""),2578.0)</f>
        <v>2578</v>
      </c>
      <c r="E326" s="528" t="str">
        <f>IFERROR(__xludf.DUMMYFUNCTION("""COMPUTED_VALUE"""),"Татьяна Денисова")</f>
        <v>Татьяна Денисова</v>
      </c>
      <c r="F326" s="535" t="str">
        <f>IFERROR(__xludf.DUMMYFUNCTION("""COMPUTED_VALUE"""),"Повтор с изменениями")</f>
        <v>Повтор с изменениями</v>
      </c>
      <c r="G326" s="536" t="str">
        <f>IFERROR(__xludf.DUMMYFUNCTION("""COMPUTED_VALUE"""),"90*137")</f>
        <v>90*137</v>
      </c>
      <c r="H326" s="338" t="str">
        <f>IFERROR(__xludf.DUMMYFUNCTION("""COMPUTED_VALUE"""),"Флексопечать")</f>
        <v>Флексопечать</v>
      </c>
      <c r="I326" s="338" t="str">
        <f>IFERROR(__xludf.DUMMYFUNCTION("""COMPUTED_VALUE"""),"Bg-330")</f>
        <v>Bg-330</v>
      </c>
      <c r="J326" s="536">
        <f>IFERROR(__xludf.DUMMYFUNCTION("""COMPUTED_VALUE"""),30000.0)</f>
        <v>30000</v>
      </c>
      <c r="K326" s="537">
        <f>IFERROR(__xludf.DUMMYFUNCTION("""COMPUTED_VALUE"""),46164.0)</f>
        <v>46164</v>
      </c>
      <c r="L326" s="537"/>
      <c r="M326" s="338" t="str">
        <f>IFERROR(__xludf.DUMMYFUNCTION("""COMPUTED_VALUE"""),"Пленка метализированная акрил")</f>
        <v>Пленка метализированная акрил</v>
      </c>
      <c r="N326" s="338" t="str">
        <f>IFERROR(__xludf.DUMMYFUNCTION("""COMPUTED_VALUE"""),"Отгружен")</f>
        <v>Отгружен</v>
      </c>
      <c r="O326" s="537"/>
      <c r="P326" s="338" t="str">
        <f>IFERROR(__xludf.DUMMYFUNCTION("""COMPUTED_VALUE"""),"Приладка в раб дни до 17:30 как обычно")</f>
        <v>Приладка в раб дни до 17:30 как обычно</v>
      </c>
      <c r="Q326" s="338" t="str">
        <f>IFERROR(__xludf.DUMMYFUNCTION("""COMPUTED_VALUE"""),"Сама заказываю ТК")</f>
        <v>Сама заказываю ТК</v>
      </c>
      <c r="R326" s="338"/>
      <c r="S326" s="338"/>
      <c r="T326" s="338"/>
      <c r="U326" s="338"/>
      <c r="V326" s="338"/>
      <c r="W326" s="338"/>
      <c r="X326" s="338"/>
      <c r="Y326" s="338"/>
      <c r="Z326" s="338"/>
    </row>
    <row r="327" ht="22.5" customHeight="1">
      <c r="A327" s="528" t="str">
        <f>IFERROR(__xludf.DUMMYFUNCTION("""COMPUTED_VALUE"""),"ООО Меренга ")</f>
        <v>ООО Меренга </v>
      </c>
      <c r="B327" s="528"/>
      <c r="C327" s="528" t="str">
        <f>IFERROR(__xludf.DUMMYFUNCTION("""COMPUTED_VALUE"""),"Этикетка ""Пирожное Шу с вишней 160гр""")</f>
        <v>Этикетка "Пирожное Шу с вишней 160гр"</v>
      </c>
      <c r="D327" s="528">
        <f>IFERROR(__xludf.DUMMYFUNCTION("""COMPUTED_VALUE"""),2582.0)</f>
        <v>2582</v>
      </c>
      <c r="E327" s="528" t="str">
        <f>IFERROR(__xludf.DUMMYFUNCTION("""COMPUTED_VALUE"""),"Римма Лукина")</f>
        <v>Римма Лукина</v>
      </c>
      <c r="F327" s="535" t="str">
        <f>IFERROR(__xludf.DUMMYFUNCTION("""COMPUTED_VALUE"""),"Повтор")</f>
        <v>Повтор</v>
      </c>
      <c r="G327" s="536" t="str">
        <f>IFERROR(__xludf.DUMMYFUNCTION("""COMPUTED_VALUE"""),"50*180")</f>
        <v>50*180</v>
      </c>
      <c r="H327" s="338" t="str">
        <f>IFERROR(__xludf.DUMMYFUNCTION("""COMPUTED_VALUE"""),"Флексопечать")</f>
        <v>Флексопечать</v>
      </c>
      <c r="I327" s="338" t="str">
        <f>IFERROR(__xludf.DUMMYFUNCTION("""COMPUTED_VALUE"""),"Bg-330")</f>
        <v>Bg-330</v>
      </c>
      <c r="J327" s="536">
        <f>IFERROR(__xludf.DUMMYFUNCTION("""COMPUTED_VALUE"""),20000.0)</f>
        <v>20000</v>
      </c>
      <c r="K327" s="537">
        <f>IFERROR(__xludf.DUMMYFUNCTION("""COMPUTED_VALUE"""),46168.0)</f>
        <v>46168</v>
      </c>
      <c r="L327" s="537"/>
      <c r="M327" s="338" t="str">
        <f>IFERROR(__xludf.DUMMYFUNCTION("""COMPUTED_VALUE"""),"Бумага полуглянец акрил")</f>
        <v>Бумага полуглянец акрил</v>
      </c>
      <c r="N327" s="338" t="str">
        <f>IFERROR(__xludf.DUMMYFUNCTION("""COMPUTED_VALUE"""),"Отгружен")</f>
        <v>Отгружен</v>
      </c>
      <c r="O327" s="537"/>
      <c r="P327" s="338" t="str">
        <f>IFERROR(__xludf.DUMMYFUNCTION("""COMPUTED_VALUE"""),"обязательно маркировка  роликов и коробок и паспорт качества")</f>
        <v>обязательно маркировка  роликов и коробок и паспорт качества</v>
      </c>
      <c r="Q327" s="338"/>
      <c r="R327" s="338"/>
      <c r="S327" s="338"/>
      <c r="T327" s="338"/>
      <c r="U327" s="338"/>
      <c r="V327" s="338"/>
      <c r="W327" s="338"/>
      <c r="X327" s="338"/>
      <c r="Y327" s="338"/>
      <c r="Z327" s="338"/>
    </row>
    <row r="328" ht="22.5" customHeight="1">
      <c r="A328" s="528" t="str">
        <f>IFERROR(__xludf.DUMMYFUNCTION("""COMPUTED_VALUE"""),"Кетейтирнг Технолоджи")</f>
        <v>Кетейтирнг Технолоджи</v>
      </c>
      <c r="B328" s="528"/>
      <c r="C328" s="528" t="str">
        <f>IFERROR(__xludf.DUMMYFUNCTION("""COMPUTED_VALUE"""),"Гаспачо огуречный")</f>
        <v>Гаспачо огуречный</v>
      </c>
      <c r="D328" s="528">
        <f>IFERROR(__xludf.DUMMYFUNCTION("""COMPUTED_VALUE"""),2593.0)</f>
        <v>2593</v>
      </c>
      <c r="E328" s="528" t="str">
        <f>IFERROR(__xludf.DUMMYFUNCTION("""COMPUTED_VALUE"""),"Татьяна Денисова")</f>
        <v>Татьяна Денисова</v>
      </c>
      <c r="F328" s="535" t="str">
        <f>IFERROR(__xludf.DUMMYFUNCTION("""COMPUTED_VALUE"""),"Повтор с изменениями")</f>
        <v>Повтор с изменениями</v>
      </c>
      <c r="G328" s="536" t="str">
        <f>IFERROR(__xludf.DUMMYFUNCTION("""COMPUTED_VALUE"""),"д=90")</f>
        <v>д=90</v>
      </c>
      <c r="H328" s="338" t="str">
        <f>IFERROR(__xludf.DUMMYFUNCTION("""COMPUTED_VALUE"""),"Флексопечать")</f>
        <v>Флексопечать</v>
      </c>
      <c r="I328" s="338" t="str">
        <f>IFERROR(__xludf.DUMMYFUNCTION("""COMPUTED_VALUE"""),"Bg-330")</f>
        <v>Bg-330</v>
      </c>
      <c r="J328" s="536">
        <f>IFERROR(__xludf.DUMMYFUNCTION("""COMPUTED_VALUE"""),10000.0)</f>
        <v>10000</v>
      </c>
      <c r="K328" s="537">
        <f>IFERROR(__xludf.DUMMYFUNCTION("""COMPUTED_VALUE"""),46168.0)</f>
        <v>46168</v>
      </c>
      <c r="L328" s="537"/>
      <c r="M328" s="338" t="str">
        <f>IFERROR(__xludf.DUMMYFUNCTION("""COMPUTED_VALUE"""),"Термо Топ")</f>
        <v>Термо Топ</v>
      </c>
      <c r="N328" s="338" t="str">
        <f>IFERROR(__xludf.DUMMYFUNCTION("""COMPUTED_VALUE"""),"Отгружен")</f>
        <v>Отгружен</v>
      </c>
      <c r="O328" s="537"/>
      <c r="P328" s="338" t="str">
        <f>IFERROR(__xludf.DUMMYFUNCTION("""COMPUTED_VALUE"""),"Перепечатка с заменой материала")</f>
        <v>Перепечатка с заменой материала</v>
      </c>
      <c r="Q328" s="338" t="str">
        <f>IFERROR(__xludf.DUMMYFUNCTION("""COMPUTED_VALUE"""),"г. Москва, проезд Фрезер, дом 2, стр 13 (с 8 до 17 часов).
За 30 мин позвонить по тел. +79257247437 заказать пропуск на въезд на территорию.")</f>
        <v>г. Москва, проезд Фрезер, дом 2, стр 13 (с 8 до 17 часов).
За 30 мин позвонить по тел. +79257247437 заказать пропуск на въезд на территорию.</v>
      </c>
      <c r="R328" s="338"/>
      <c r="S328" s="338"/>
      <c r="T328" s="338"/>
      <c r="U328" s="338"/>
      <c r="V328" s="338"/>
      <c r="W328" s="338"/>
      <c r="X328" s="338"/>
      <c r="Y328" s="338"/>
      <c r="Z328" s="338"/>
    </row>
    <row r="329" ht="22.5" customHeight="1">
      <c r="A329" s="528" t="str">
        <f>IFERROR(__xludf.DUMMYFUNCTION("""COMPUTED_VALUE"""),"ООО ""МЯСОКОМБИНАТ ЭКО"" ( Бахрушино)")</f>
        <v>ООО "МЯСОКОМБИНАТ ЭКО" ( Бахрушино)</v>
      </c>
      <c r="B329" s="528"/>
      <c r="C329" s="528" t="str">
        <f>IFERROR(__xludf.DUMMYFUNCTION("""COMPUTED_VALUE"""),"Бахрушинъ Сардельки с говядиной мини")</f>
        <v>Бахрушинъ Сардельки с говядиной мини</v>
      </c>
      <c r="D329" s="528">
        <f>IFERROR(__xludf.DUMMYFUNCTION("""COMPUTED_VALUE"""),2253.0)</f>
        <v>2253</v>
      </c>
      <c r="E329" s="528" t="str">
        <f>IFERROR(__xludf.DUMMYFUNCTION("""COMPUTED_VALUE"""),"Баранов Александр")</f>
        <v>Баранов Александр</v>
      </c>
      <c r="F329" s="535" t="str">
        <f>IFERROR(__xludf.DUMMYFUNCTION("""COMPUTED_VALUE"""),"ТЕСТ")</f>
        <v>ТЕСТ</v>
      </c>
      <c r="G329" s="536" t="str">
        <f>IFERROR(__xludf.DUMMYFUNCTION("""COMPUTED_VALUE"""),"80*120")</f>
        <v>80*120</v>
      </c>
      <c r="H329" s="338" t="str">
        <f>IFERROR(__xludf.DUMMYFUNCTION("""COMPUTED_VALUE"""),"Флексопечать")</f>
        <v>Флексопечать</v>
      </c>
      <c r="I329" s="338" t="str">
        <f>IFERROR(__xludf.DUMMYFUNCTION("""COMPUTED_VALUE"""),"Wg-450")</f>
        <v>Wg-450</v>
      </c>
      <c r="J329" s="536">
        <f>IFERROR(__xludf.DUMMYFUNCTION("""COMPUTED_VALUE"""),2500.0)</f>
        <v>2500</v>
      </c>
      <c r="K329" s="537">
        <f>IFERROR(__xludf.DUMMYFUNCTION("""COMPUTED_VALUE"""),46181.0)</f>
        <v>46181</v>
      </c>
      <c r="L329" s="537" t="str">
        <f>IFERROR(__xludf.DUMMYFUNCTION("""COMPUTED_VALUE"""),"Отгружен")</f>
        <v>Отгружен</v>
      </c>
      <c r="M329" s="338" t="str">
        <f>IFERROR(__xludf.DUMMYFUNCTION("""COMPUTED_VALUE"""),"Пленка PP белая каучук")</f>
        <v>Пленка PP белая каучук</v>
      </c>
      <c r="N329" s="338" t="str">
        <f>IFERROR(__xludf.DUMMYFUNCTION("""COMPUTED_VALUE"""),"Отгружен")</f>
        <v>Отгружен</v>
      </c>
      <c r="O329" s="537"/>
      <c r="P329" s="338"/>
      <c r="Q329" s="338"/>
      <c r="R329" s="338"/>
      <c r="S329" s="338"/>
      <c r="T329" s="338"/>
      <c r="U329" s="338"/>
      <c r="V329" s="338"/>
      <c r="W329" s="338"/>
      <c r="X329" s="338"/>
      <c r="Y329" s="338"/>
      <c r="Z329" s="338"/>
    </row>
    <row r="330" ht="22.5" customHeight="1">
      <c r="A330" s="528" t="str">
        <f>IFERROR(__xludf.DUMMYFUNCTION("""COMPUTED_VALUE"""),"ООО Новапродукт АГ")</f>
        <v>ООО Новапродукт АГ</v>
      </c>
      <c r="B330" s="528"/>
      <c r="C330" s="528" t="str">
        <f>IFERROR(__xludf.DUMMYFUNCTION("""COMPUTED_VALUE"""),"Этикетка Новапродукт заменитель сахара Новасвит 1200 боковая (узбекский+казахский)")</f>
        <v>Этикетка Новапродукт заменитель сахара Новасвит 1200 боковая (узбекский+казахский)</v>
      </c>
      <c r="D330" s="528">
        <f>IFERROR(__xludf.DUMMYFUNCTION("""COMPUTED_VALUE"""),2619.0)</f>
        <v>2619</v>
      </c>
      <c r="E330" s="528" t="str">
        <f>IFERROR(__xludf.DUMMYFUNCTION("""COMPUTED_VALUE"""),"Шаповалова Юлия")</f>
        <v>Шаповалова Юлия</v>
      </c>
      <c r="F330" s="535" t="str">
        <f>IFERROR(__xludf.DUMMYFUNCTION("""COMPUTED_VALUE"""),"Новая")</f>
        <v>Новая</v>
      </c>
      <c r="G330" s="536" t="str">
        <f>IFERROR(__xludf.DUMMYFUNCTION("""COMPUTED_VALUE"""),"100.5*31.5")</f>
        <v>100.5*31.5</v>
      </c>
      <c r="H330" s="338" t="str">
        <f>IFERROR(__xludf.DUMMYFUNCTION("""COMPUTED_VALUE"""),"Флексопечать")</f>
        <v>Флексопечать</v>
      </c>
      <c r="I330" s="338" t="str">
        <f>IFERROR(__xludf.DUMMYFUNCTION("""COMPUTED_VALUE"""),"Bg-330")</f>
        <v>Bg-330</v>
      </c>
      <c r="J330" s="536" t="str">
        <f>IFERROR(__xludf.DUMMYFUNCTION("""COMPUTED_VALUE"""),"50 000")</f>
        <v>50 000</v>
      </c>
      <c r="K330" s="537">
        <f>IFERROR(__xludf.DUMMYFUNCTION("""COMPUTED_VALUE"""),46169.0)</f>
        <v>46169</v>
      </c>
      <c r="L330" s="537"/>
      <c r="M330" s="338" t="str">
        <f>IFERROR(__xludf.DUMMYFUNCTION("""COMPUTED_VALUE"""),"Бумага полуглянец акрил")</f>
        <v>Бумага полуглянец акрил</v>
      </c>
      <c r="N330" s="338" t="str">
        <f>IFERROR(__xludf.DUMMYFUNCTION("""COMPUTED_VALUE"""),"Отгружен")</f>
        <v>Отгружен</v>
      </c>
      <c r="O330" s="537"/>
      <c r="P330" s="338" t="str">
        <f>IFERROR(__xludf.DUMMYFUNCTION("""COMPUTED_VALUE"""),"паспорт качества")</f>
        <v>паспорт качества</v>
      </c>
      <c r="Q330" s="338"/>
      <c r="R330" s="338"/>
      <c r="S330" s="338"/>
      <c r="T330" s="338"/>
      <c r="U330" s="338"/>
      <c r="V330" s="338"/>
      <c r="W330" s="338"/>
      <c r="X330" s="338"/>
      <c r="Y330" s="338"/>
      <c r="Z330" s="338"/>
    </row>
    <row r="331" ht="22.5" customHeight="1">
      <c r="A331" s="528" t="str">
        <f>IFERROR(__xludf.DUMMYFUNCTION("""COMPUTED_VALUE"""),"ООО Фосфорель")</f>
        <v>ООО Фосфорель</v>
      </c>
      <c r="B331" s="528"/>
      <c r="C331" s="528" t="str">
        <f>IFERROR(__xludf.DUMMYFUNCTION("""COMPUTED_VALUE"""),"Этикетка «Белая рыба с грибами 150гр» Атлантика")</f>
        <v>Этикетка «Белая рыба с грибами 150гр» Атлантика</v>
      </c>
      <c r="D331" s="528">
        <f>IFERROR(__xludf.DUMMYFUNCTION("""COMPUTED_VALUE"""),2618.0)</f>
        <v>2618</v>
      </c>
      <c r="E331" s="528" t="str">
        <f>IFERROR(__xludf.DUMMYFUNCTION("""COMPUTED_VALUE"""),"Римма Лукина")</f>
        <v>Римма Лукина</v>
      </c>
      <c r="F331" s="535" t="str">
        <f>IFERROR(__xludf.DUMMYFUNCTION("""COMPUTED_VALUE"""),"Повтор")</f>
        <v>Повтор</v>
      </c>
      <c r="G331" s="536" t="str">
        <f>IFERROR(__xludf.DUMMYFUNCTION("""COMPUTED_VALUE"""),"38*236")</f>
        <v>38*236</v>
      </c>
      <c r="H331" s="338" t="str">
        <f>IFERROR(__xludf.DUMMYFUNCTION("""COMPUTED_VALUE"""),"Флексопечать")</f>
        <v>Флексопечать</v>
      </c>
      <c r="I331" s="338" t="str">
        <f>IFERROR(__xludf.DUMMYFUNCTION("""COMPUTED_VALUE"""),"Bg-330")</f>
        <v>Bg-330</v>
      </c>
      <c r="J331" s="536">
        <f>IFERROR(__xludf.DUMMYFUNCTION("""COMPUTED_VALUE"""),6000.0)</f>
        <v>6000</v>
      </c>
      <c r="K331" s="537">
        <f>IFERROR(__xludf.DUMMYFUNCTION("""COMPUTED_VALUE"""),46169.0)</f>
        <v>46169</v>
      </c>
      <c r="L331" s="537"/>
      <c r="M331" s="338" t="str">
        <f>IFERROR(__xludf.DUMMYFUNCTION("""COMPUTED_VALUE"""),"Пленка PP белая акрил")</f>
        <v>Пленка PP белая акрил</v>
      </c>
      <c r="N331" s="338" t="str">
        <f>IFERROR(__xludf.DUMMYFUNCTION("""COMPUTED_VALUE"""),"Отгружен")</f>
        <v>Отгружен</v>
      </c>
      <c r="O331" s="537"/>
      <c r="P331" s="338" t="str">
        <f>IFERROR(__xludf.DUMMYFUNCTION("""COMPUTED_VALUE"""),"паспорта качества и обязательная маркировка коробок")</f>
        <v>паспорта качества и обязательная маркировка коробок</v>
      </c>
      <c r="Q331" s="338" t="str">
        <f>IFERROR(__xludf.DUMMYFUNCTION("""COMPUTED_VALUE"""),"СДЭК")</f>
        <v>СДЭК</v>
      </c>
      <c r="R331" s="338"/>
      <c r="S331" s="338"/>
      <c r="T331" s="338"/>
      <c r="U331" s="338"/>
      <c r="V331" s="338"/>
      <c r="W331" s="338"/>
      <c r="X331" s="338"/>
      <c r="Y331" s="338"/>
      <c r="Z331" s="338"/>
    </row>
    <row r="332" ht="22.5" customHeight="1">
      <c r="A332" s="528" t="str">
        <f>IFERROR(__xludf.DUMMYFUNCTION("""COMPUTED_VALUE"""),"ООО""ФерЭльГам""")</f>
        <v>ООО"ФерЭльГам"</v>
      </c>
      <c r="B332" s="528"/>
      <c r="C332" s="528" t="str">
        <f>IFERROR(__xludf.DUMMYFUNCTION("""COMPUTED_VALUE"""),"470214 Капуста по-московски 500 г этик.")</f>
        <v>470214 Капуста по-московски 500 г этик.</v>
      </c>
      <c r="D332" s="528">
        <f>IFERROR(__xludf.DUMMYFUNCTION("""COMPUTED_VALUE"""),2652.0)</f>
        <v>2652</v>
      </c>
      <c r="E332" s="528" t="str">
        <f>IFERROR(__xludf.DUMMYFUNCTION("""COMPUTED_VALUE"""),"Баранов Александр")</f>
        <v>Баранов Александр</v>
      </c>
      <c r="F332" s="535" t="str">
        <f>IFERROR(__xludf.DUMMYFUNCTION("""COMPUTED_VALUE"""),"Повтор")</f>
        <v>Повтор</v>
      </c>
      <c r="G332" s="536" t="str">
        <f>IFERROR(__xludf.DUMMYFUNCTION("""COMPUTED_VALUE"""),"д110")</f>
        <v>д110</v>
      </c>
      <c r="H332" s="338" t="str">
        <f>IFERROR(__xludf.DUMMYFUNCTION("""COMPUTED_VALUE"""),"Флексопечать")</f>
        <v>Флексопечать</v>
      </c>
      <c r="I332" s="338" t="str">
        <f>IFERROR(__xludf.DUMMYFUNCTION("""COMPUTED_VALUE"""),"Wg-450")</f>
        <v>Wg-450</v>
      </c>
      <c r="J332" s="536">
        <f>IFERROR(__xludf.DUMMYFUNCTION("""COMPUTED_VALUE"""),10000.0)</f>
        <v>10000</v>
      </c>
      <c r="K332" s="537">
        <f>IFERROR(__xludf.DUMMYFUNCTION("""COMPUTED_VALUE"""),46168.0)</f>
        <v>46168</v>
      </c>
      <c r="L332" s="537"/>
      <c r="M332" s="338" t="str">
        <f>IFERROR(__xludf.DUMMYFUNCTION("""COMPUTED_VALUE"""),"Пленка PP белая каучук")</f>
        <v>Пленка PP белая каучук</v>
      </c>
      <c r="N332" s="338" t="str">
        <f>IFERROR(__xludf.DUMMYFUNCTION("""COMPUTED_VALUE"""),"Отгружен")</f>
        <v>Отгружен</v>
      </c>
      <c r="O332" s="537"/>
      <c r="P332" s="338"/>
      <c r="Q332" s="338"/>
      <c r="R332" s="338"/>
      <c r="S332" s="338"/>
      <c r="T332" s="338"/>
      <c r="U332" s="338"/>
      <c r="V332" s="338"/>
      <c r="W332" s="338"/>
      <c r="X332" s="338"/>
      <c r="Y332" s="338"/>
      <c r="Z332" s="338"/>
    </row>
    <row r="333" ht="22.5" customHeight="1">
      <c r="A333" s="528" t="str">
        <f>IFERROR(__xludf.DUMMYFUNCTION("""COMPUTED_VALUE"""),"ООО""ФерЭльГам""")</f>
        <v>ООО"ФерЭльГам"</v>
      </c>
      <c r="B333" s="528"/>
      <c r="C333" s="528" t="str">
        <f>IFERROR(__xludf.DUMMYFUNCTION("""COMPUTED_VALUE"""),"470549 Соус Сацебели 240 г этик.")</f>
        <v>470549 Соус Сацебели 240 г этик.</v>
      </c>
      <c r="D333" s="528">
        <f>IFERROR(__xludf.DUMMYFUNCTION("""COMPUTED_VALUE"""),2653.0)</f>
        <v>2653</v>
      </c>
      <c r="E333" s="528" t="str">
        <f>IFERROR(__xludf.DUMMYFUNCTION("""COMPUTED_VALUE"""),"Баранов Александр")</f>
        <v>Баранов Александр</v>
      </c>
      <c r="F333" s="535" t="str">
        <f>IFERROR(__xludf.DUMMYFUNCTION("""COMPUTED_VALUE"""),"Повтор")</f>
        <v>Повтор</v>
      </c>
      <c r="G333" s="536" t="str">
        <f>IFERROR(__xludf.DUMMYFUNCTION("""COMPUTED_VALUE"""),"60*160")</f>
        <v>60*160</v>
      </c>
      <c r="H333" s="338" t="str">
        <f>IFERROR(__xludf.DUMMYFUNCTION("""COMPUTED_VALUE"""),"Флексопечать")</f>
        <v>Флексопечать</v>
      </c>
      <c r="I333" s="338" t="str">
        <f>IFERROR(__xludf.DUMMYFUNCTION("""COMPUTED_VALUE"""),"Wg-450")</f>
        <v>Wg-450</v>
      </c>
      <c r="J333" s="536">
        <f>IFERROR(__xludf.DUMMYFUNCTION("""COMPUTED_VALUE"""),10000.0)</f>
        <v>10000</v>
      </c>
      <c r="K333" s="537">
        <f>IFERROR(__xludf.DUMMYFUNCTION("""COMPUTED_VALUE"""),46168.0)</f>
        <v>46168</v>
      </c>
      <c r="L333" s="537"/>
      <c r="M333" s="338" t="str">
        <f>IFERROR(__xludf.DUMMYFUNCTION("""COMPUTED_VALUE"""),"Пленка PP белая каучук")</f>
        <v>Пленка PP белая каучук</v>
      </c>
      <c r="N333" s="338" t="str">
        <f>IFERROR(__xludf.DUMMYFUNCTION("""COMPUTED_VALUE"""),"Отгружен")</f>
        <v>Отгружен</v>
      </c>
      <c r="O333" s="537"/>
      <c r="P333" s="338"/>
      <c r="Q333" s="338"/>
      <c r="R333" s="338"/>
      <c r="S333" s="338"/>
      <c r="T333" s="338"/>
      <c r="U333" s="338"/>
      <c r="V333" s="338"/>
      <c r="W333" s="338"/>
      <c r="X333" s="338"/>
      <c r="Y333" s="338"/>
      <c r="Z333" s="338"/>
    </row>
    <row r="334" ht="22.5" customHeight="1">
      <c r="A334" s="528" t="str">
        <f>IFERROR(__xludf.DUMMYFUNCTION("""COMPUTED_VALUE"""),"ООО""ФерЭльГам""")</f>
        <v>ООО"ФерЭльГам"</v>
      </c>
      <c r="B334" s="528"/>
      <c r="C334" s="528" t="str">
        <f>IFERROR(__xludf.DUMMYFUNCTION("""COMPUTED_VALUE"""),"470830 Хренодер Классический 220 г (Green vitamin) этик.")</f>
        <v>470830 Хренодер Классический 220 г (Green vitamin) этик.</v>
      </c>
      <c r="D334" s="528">
        <f>IFERROR(__xludf.DUMMYFUNCTION("""COMPUTED_VALUE"""),2654.0)</f>
        <v>2654</v>
      </c>
      <c r="E334" s="528" t="str">
        <f>IFERROR(__xludf.DUMMYFUNCTION("""COMPUTED_VALUE"""),"Баранов Александр")</f>
        <v>Баранов Александр</v>
      </c>
      <c r="F334" s="535" t="str">
        <f>IFERROR(__xludf.DUMMYFUNCTION("""COMPUTED_VALUE"""),"Повтор")</f>
        <v>Повтор</v>
      </c>
      <c r="G334" s="536" t="str">
        <f>IFERROR(__xludf.DUMMYFUNCTION("""COMPUTED_VALUE"""),"60*160")</f>
        <v>60*160</v>
      </c>
      <c r="H334" s="338" t="str">
        <f>IFERROR(__xludf.DUMMYFUNCTION("""COMPUTED_VALUE"""),"Флексопечать")</f>
        <v>Флексопечать</v>
      </c>
      <c r="I334" s="338" t="str">
        <f>IFERROR(__xludf.DUMMYFUNCTION("""COMPUTED_VALUE"""),"Wg-450")</f>
        <v>Wg-450</v>
      </c>
      <c r="J334" s="536">
        <f>IFERROR(__xludf.DUMMYFUNCTION("""COMPUTED_VALUE"""),30000.0)</f>
        <v>30000</v>
      </c>
      <c r="K334" s="537">
        <f>IFERROR(__xludf.DUMMYFUNCTION("""COMPUTED_VALUE"""),46169.0)</f>
        <v>46169</v>
      </c>
      <c r="L334" s="537"/>
      <c r="M334" s="338" t="str">
        <f>IFERROR(__xludf.DUMMYFUNCTION("""COMPUTED_VALUE"""),"Пленка PP белая каучук")</f>
        <v>Пленка PP белая каучук</v>
      </c>
      <c r="N334" s="338" t="str">
        <f>IFERROR(__xludf.DUMMYFUNCTION("""COMPUTED_VALUE"""),"Отгружен")</f>
        <v>Отгружен</v>
      </c>
      <c r="O334" s="537"/>
      <c r="P334" s="338"/>
      <c r="Q334" s="338"/>
      <c r="R334" s="338"/>
      <c r="S334" s="338"/>
      <c r="T334" s="338"/>
      <c r="U334" s="338"/>
      <c r="V334" s="338"/>
      <c r="W334" s="338"/>
      <c r="X334" s="338"/>
      <c r="Y334" s="338"/>
      <c r="Z334" s="338"/>
    </row>
    <row r="335" ht="22.5" customHeight="1">
      <c r="A335" s="528" t="str">
        <f>IFERROR(__xludf.DUMMYFUNCTION("""COMPUTED_VALUE"""),"ООО Новапродукт АГ")</f>
        <v>ООО Новапродукт АГ</v>
      </c>
      <c r="B335" s="528"/>
      <c r="C335" s="528" t="str">
        <f>IFERROR(__xludf.DUMMYFUNCTION("""COMPUTED_VALUE"""),"Этикетка Новапродукт заменитель сахара 1200 лицевая Ол'Лайт")</f>
        <v>Этикетка Новапродукт заменитель сахара 1200 лицевая Ол'Лайт</v>
      </c>
      <c r="D335" s="528">
        <f>IFERROR(__xludf.DUMMYFUNCTION("""COMPUTED_VALUE"""),2656.0)</f>
        <v>2656</v>
      </c>
      <c r="E335" s="528" t="str">
        <f>IFERROR(__xludf.DUMMYFUNCTION("""COMPUTED_VALUE"""),"Шаповалова Юлия")</f>
        <v>Шаповалова Юлия</v>
      </c>
      <c r="F335" s="535" t="str">
        <f>IFERROR(__xludf.DUMMYFUNCTION("""COMPUTED_VALUE"""),"Новая")</f>
        <v>Новая</v>
      </c>
      <c r="G335" s="536" t="str">
        <f>IFERROR(__xludf.DUMMYFUNCTION("""COMPUTED_VALUE"""),"100.5*31.5")</f>
        <v>100.5*31.5</v>
      </c>
      <c r="H335" s="338" t="str">
        <f>IFERROR(__xludf.DUMMYFUNCTION("""COMPUTED_VALUE"""),"Флексопечать")</f>
        <v>Флексопечать</v>
      </c>
      <c r="I335" s="338" t="str">
        <f>IFERROR(__xludf.DUMMYFUNCTION("""COMPUTED_VALUE"""),"Bg-330")</f>
        <v>Bg-330</v>
      </c>
      <c r="J335" s="536">
        <f>IFERROR(__xludf.DUMMYFUNCTION("""COMPUTED_VALUE"""),60000.0)</f>
        <v>60000</v>
      </c>
      <c r="K335" s="537">
        <f>IFERROR(__xludf.DUMMYFUNCTION("""COMPUTED_VALUE"""),46170.0)</f>
        <v>46170</v>
      </c>
      <c r="L335" s="537"/>
      <c r="M335" s="338" t="str">
        <f>IFERROR(__xludf.DUMMYFUNCTION("""COMPUTED_VALUE"""),"Бумага полуглянец акрил")</f>
        <v>Бумага полуглянец акрил</v>
      </c>
      <c r="N335" s="338" t="str">
        <f>IFERROR(__xludf.DUMMYFUNCTION("""COMPUTED_VALUE"""),"Отгружен")</f>
        <v>Отгружен</v>
      </c>
      <c r="O335" s="537"/>
      <c r="P335" s="338" t="str">
        <f>IFERROR(__xludf.DUMMYFUNCTION("""COMPUTED_VALUE"""),"паспорт качества+УПД")</f>
        <v>паспорт качества+УПД</v>
      </c>
      <c r="Q335" s="338"/>
      <c r="R335" s="338"/>
      <c r="S335" s="338"/>
      <c r="T335" s="338"/>
      <c r="U335" s="338"/>
      <c r="V335" s="338"/>
      <c r="W335" s="338"/>
      <c r="X335" s="338"/>
      <c r="Y335" s="338"/>
      <c r="Z335" s="338"/>
    </row>
    <row r="336" ht="22.5" customHeight="1">
      <c r="A336" s="528" t="str">
        <f>IFERROR(__xludf.DUMMYFUNCTION("""COMPUTED_VALUE"""),"ООО Новапродукт АГ")</f>
        <v>ООО Новапродукт АГ</v>
      </c>
      <c r="B336" s="528"/>
      <c r="C336" s="528" t="str">
        <f>IFERROR(__xludf.DUMMYFUNCTION("""COMPUTED_VALUE"""),"Этикетка Новапродукт заменитель сахара 1200 оборотная Ол'Лайт")</f>
        <v>Этикетка Новапродукт заменитель сахара 1200 оборотная Ол'Лайт</v>
      </c>
      <c r="D336" s="528">
        <f>IFERROR(__xludf.DUMMYFUNCTION("""COMPUTED_VALUE"""),2657.0)</f>
        <v>2657</v>
      </c>
      <c r="E336" s="528" t="str">
        <f>IFERROR(__xludf.DUMMYFUNCTION("""COMPUTED_VALUE"""),"Шаповалова Юлия")</f>
        <v>Шаповалова Юлия</v>
      </c>
      <c r="F336" s="535" t="str">
        <f>IFERROR(__xludf.DUMMYFUNCTION("""COMPUTED_VALUE"""),"Новая")</f>
        <v>Новая</v>
      </c>
      <c r="G336" s="536" t="str">
        <f>IFERROR(__xludf.DUMMYFUNCTION("""COMPUTED_VALUE"""),"100.5*31.5")</f>
        <v>100.5*31.5</v>
      </c>
      <c r="H336" s="338" t="str">
        <f>IFERROR(__xludf.DUMMYFUNCTION("""COMPUTED_VALUE"""),"Флексопечать")</f>
        <v>Флексопечать</v>
      </c>
      <c r="I336" s="338" t="str">
        <f>IFERROR(__xludf.DUMMYFUNCTION("""COMPUTED_VALUE"""),"Bg-330")</f>
        <v>Bg-330</v>
      </c>
      <c r="J336" s="536">
        <f>IFERROR(__xludf.DUMMYFUNCTION("""COMPUTED_VALUE"""),60000.0)</f>
        <v>60000</v>
      </c>
      <c r="K336" s="537">
        <f>IFERROR(__xludf.DUMMYFUNCTION("""COMPUTED_VALUE"""),46170.0)</f>
        <v>46170</v>
      </c>
      <c r="L336" s="537"/>
      <c r="M336" s="338" t="str">
        <f>IFERROR(__xludf.DUMMYFUNCTION("""COMPUTED_VALUE"""),"Бумага полуглянец акрил")</f>
        <v>Бумага полуглянец акрил</v>
      </c>
      <c r="N336" s="338" t="str">
        <f>IFERROR(__xludf.DUMMYFUNCTION("""COMPUTED_VALUE"""),"Отгружен")</f>
        <v>Отгружен</v>
      </c>
      <c r="O336" s="537"/>
      <c r="P336" s="338" t="str">
        <f>IFERROR(__xludf.DUMMYFUNCTION("""COMPUTED_VALUE"""),"паспорт качества+УПД")</f>
        <v>паспорт качества+УПД</v>
      </c>
      <c r="Q336" s="338"/>
      <c r="R336" s="338"/>
      <c r="S336" s="338"/>
      <c r="T336" s="338"/>
      <c r="U336" s="338"/>
      <c r="V336" s="338"/>
      <c r="W336" s="338"/>
      <c r="X336" s="338"/>
      <c r="Y336" s="338"/>
      <c r="Z336" s="338"/>
    </row>
    <row r="337" ht="22.5" customHeight="1">
      <c r="A337" s="528" t="str">
        <f>IFERROR(__xludf.DUMMYFUNCTION("""COMPUTED_VALUE"""),"ООО ТУАН")</f>
        <v>ООО ТУАН</v>
      </c>
      <c r="B337" s="528"/>
      <c r="C337" s="528" t="str">
        <f>IFERROR(__xludf.DUMMYFUNCTION("""COMPUTED_VALUE"""),"Этикетка Эфиопия Йяйе")</f>
        <v>Этикетка Эфиопия Йяйе</v>
      </c>
      <c r="D337" s="528">
        <f>IFERROR(__xludf.DUMMYFUNCTION("""COMPUTED_VALUE"""),2671.0)</f>
        <v>2671</v>
      </c>
      <c r="E337" s="528" t="str">
        <f>IFERROR(__xludf.DUMMYFUNCTION("""COMPUTED_VALUE"""),"Шаповалова Юлия")</f>
        <v>Шаповалова Юлия</v>
      </c>
      <c r="F337" s="535" t="str">
        <f>IFERROR(__xludf.DUMMYFUNCTION("""COMPUTED_VALUE"""),"Новая")</f>
        <v>Новая</v>
      </c>
      <c r="G337" s="536" t="str">
        <f>IFERROR(__xludf.DUMMYFUNCTION("""COMPUTED_VALUE"""),"45*110")</f>
        <v>45*110</v>
      </c>
      <c r="H337" s="338" t="str">
        <f>IFERROR(__xludf.DUMMYFUNCTION("""COMPUTED_VALUE"""),"Флексопечать")</f>
        <v>Флексопечать</v>
      </c>
      <c r="I337" s="338" t="str">
        <f>IFERROR(__xludf.DUMMYFUNCTION("""COMPUTED_VALUE"""),"Bg-330")</f>
        <v>Bg-330</v>
      </c>
      <c r="J337" s="536">
        <f>IFERROR(__xludf.DUMMYFUNCTION("""COMPUTED_VALUE"""),1000.0)</f>
        <v>1000</v>
      </c>
      <c r="K337" s="537">
        <f>IFERROR(__xludf.DUMMYFUNCTION("""COMPUTED_VALUE"""),46164.0)</f>
        <v>46164</v>
      </c>
      <c r="L337" s="537"/>
      <c r="M337" s="338" t="str">
        <f>IFERROR(__xludf.DUMMYFUNCTION("""COMPUTED_VALUE"""),"Пленка PP белая каучук")</f>
        <v>Пленка PP белая каучук</v>
      </c>
      <c r="N337" s="338" t="str">
        <f>IFERROR(__xludf.DUMMYFUNCTION("""COMPUTED_VALUE"""),"Отгружен")</f>
        <v>Отгружен</v>
      </c>
      <c r="O337" s="537"/>
      <c r="P337" s="338" t="str">
        <f>IFERROR(__xludf.DUMMYFUNCTION("""COMPUTED_VALUE"""),"Печать по образцу, привезут на этой неделе, ждем!!!! ПРИЛАДКА")</f>
        <v>Печать по образцу, привезут на этой неделе, ждем!!!! ПРИЛАДКА</v>
      </c>
      <c r="Q337" s="338" t="str">
        <f>IFERROR(__xludf.DUMMYFUNCTION("""COMPUTED_VALUE"""),"г. Москва, 63-й км. МКАД, р-н Строгино, ул. Маршала Прошлякова, д. 26, корп. 3, стр. 6. тел.+7(926) 554-87-33 Екатерина с 9.00 до 16.00")</f>
        <v>г. Москва, 63-й км. МКАД, р-н Строгино, ул. Маршала Прошлякова, д. 26, корп. 3, стр. 6. тел.+7(926) 554-87-33 Екатерина с 9.00 до 16.00</v>
      </c>
      <c r="R337" s="338"/>
      <c r="S337" s="338"/>
      <c r="T337" s="338"/>
      <c r="U337" s="338"/>
      <c r="V337" s="338"/>
      <c r="W337" s="338"/>
      <c r="X337" s="338"/>
      <c r="Y337" s="338"/>
      <c r="Z337" s="338"/>
    </row>
    <row r="338" ht="22.5" customHeight="1">
      <c r="A338" s="528" t="str">
        <f>IFERROR(__xludf.DUMMYFUNCTION("""COMPUTED_VALUE"""),"ООО Люкс ЛК")</f>
        <v>ООО Люкс ЛК</v>
      </c>
      <c r="B338" s="528"/>
      <c r="C338" s="528" t="str">
        <f>IFERROR(__xludf.DUMMYFUNCTION("""COMPUTED_VALUE"""),"стикеры")</f>
        <v>стикеры</v>
      </c>
      <c r="D338" s="528" t="str">
        <f>IFERROR(__xludf.DUMMYFUNCTION("""COMPUTED_VALUE"""),"2461-2465, 2540")</f>
        <v>2461-2465, 2540</v>
      </c>
      <c r="E338" s="528" t="str">
        <f>IFERROR(__xludf.DUMMYFUNCTION("""COMPUTED_VALUE"""),"Баранов Александр")</f>
        <v>Баранов Александр</v>
      </c>
      <c r="F338" s="535" t="str">
        <f>IFERROR(__xludf.DUMMYFUNCTION("""COMPUTED_VALUE"""),"Повтор")</f>
        <v>Повтор</v>
      </c>
      <c r="G338" s="536" t="str">
        <f>IFERROR(__xludf.DUMMYFUNCTION("""COMPUTED_VALUE"""),"50*40")</f>
        <v>50*40</v>
      </c>
      <c r="H338" s="338" t="str">
        <f>IFERROR(__xludf.DUMMYFUNCTION("""COMPUTED_VALUE"""),"Флексопечать")</f>
        <v>Флексопечать</v>
      </c>
      <c r="I338" s="338" t="str">
        <f>IFERROR(__xludf.DUMMYFUNCTION("""COMPUTED_VALUE"""),"G-160")</f>
        <v>G-160</v>
      </c>
      <c r="J338" s="536">
        <f>IFERROR(__xludf.DUMMYFUNCTION("""COMPUTED_VALUE"""),201000.0)</f>
        <v>201000</v>
      </c>
      <c r="K338" s="537">
        <f>IFERROR(__xludf.DUMMYFUNCTION("""COMPUTED_VALUE"""),46161.0)</f>
        <v>46161</v>
      </c>
      <c r="L338" s="537"/>
      <c r="M338" s="338" t="str">
        <f>IFERROR(__xludf.DUMMYFUNCTION("""COMPUTED_VALUE"""),"Бумага полуглянец акрил")</f>
        <v>Бумага полуглянец акрил</v>
      </c>
      <c r="N338" s="338" t="str">
        <f>IFERROR(__xludf.DUMMYFUNCTION("""COMPUTED_VALUE"""),"Отгружен")</f>
        <v>Отгружен</v>
      </c>
      <c r="O338" s="537"/>
      <c r="P338" s="338"/>
      <c r="Q338" s="338" t="str">
        <f>IFERROR(__xludf.DUMMYFUNCTION("""COMPUTED_VALUE""")," *")</f>
        <v> *</v>
      </c>
      <c r="R338" s="338"/>
      <c r="S338" s="338"/>
      <c r="T338" s="338"/>
      <c r="U338" s="338"/>
      <c r="V338" s="338"/>
      <c r="W338" s="338"/>
      <c r="X338" s="338"/>
      <c r="Y338" s="338"/>
      <c r="Z338" s="338"/>
    </row>
    <row r="339" ht="22.5" customHeight="1">
      <c r="A339" s="528" t="str">
        <f>IFERROR(__xludf.DUMMYFUNCTION("""COMPUTED_VALUE"""),"ООО ТУАН")</f>
        <v>ООО ТУАН</v>
      </c>
      <c r="B339" s="528"/>
      <c r="C339" s="528" t="str">
        <f>IFERROR(__xludf.DUMMYFUNCTION("""COMPUTED_VALUE"""),"Этикетка Боливия Ява")</f>
        <v>Этикетка Боливия Ява</v>
      </c>
      <c r="D339" s="528">
        <f>IFERROR(__xludf.DUMMYFUNCTION("""COMPUTED_VALUE"""),2672.0)</f>
        <v>2672</v>
      </c>
      <c r="E339" s="528" t="str">
        <f>IFERROR(__xludf.DUMMYFUNCTION("""COMPUTED_VALUE"""),"Шаповалова Юлия")</f>
        <v>Шаповалова Юлия</v>
      </c>
      <c r="F339" s="535" t="str">
        <f>IFERROR(__xludf.DUMMYFUNCTION("""COMPUTED_VALUE"""),"Новая")</f>
        <v>Новая</v>
      </c>
      <c r="G339" s="536" t="str">
        <f>IFERROR(__xludf.DUMMYFUNCTION("""COMPUTED_VALUE"""),"45*110")</f>
        <v>45*110</v>
      </c>
      <c r="H339" s="338" t="str">
        <f>IFERROR(__xludf.DUMMYFUNCTION("""COMPUTED_VALUE"""),"Флексопечать")</f>
        <v>Флексопечать</v>
      </c>
      <c r="I339" s="338" t="str">
        <f>IFERROR(__xludf.DUMMYFUNCTION("""COMPUTED_VALUE"""),"Bg-330")</f>
        <v>Bg-330</v>
      </c>
      <c r="J339" s="536">
        <f>IFERROR(__xludf.DUMMYFUNCTION("""COMPUTED_VALUE"""),1000.0)</f>
        <v>1000</v>
      </c>
      <c r="K339" s="537">
        <f>IFERROR(__xludf.DUMMYFUNCTION("""COMPUTED_VALUE"""),46169.0)</f>
        <v>46169</v>
      </c>
      <c r="L339" s="537"/>
      <c r="M339" s="338" t="str">
        <f>IFERROR(__xludf.DUMMYFUNCTION("""COMPUTED_VALUE"""),"Пленка PP белая каучук")</f>
        <v>Пленка PP белая каучук</v>
      </c>
      <c r="N339" s="338" t="str">
        <f>IFERROR(__xludf.DUMMYFUNCTION("""COMPUTED_VALUE"""),"Отгружен")</f>
        <v>Отгружен</v>
      </c>
      <c r="O339" s="537"/>
      <c r="P339" s="338" t="str">
        <f>IFERROR(__xludf.DUMMYFUNCTION("""COMPUTED_VALUE"""),"Печать по образцу, привезут на этой неделе, ждем!!!! ПРИЛАДКА")</f>
        <v>Печать по образцу, привезут на этой неделе, ждем!!!! ПРИЛАДКА</v>
      </c>
      <c r="Q339" s="338" t="str">
        <f>IFERROR(__xludf.DUMMYFUNCTION("""COMPUTED_VALUE"""),"г. Москва, 63-й км. МКАД, р-н Строгино, ул. Маршала Прошлякова, д. 26, корп. 3, стр. 6. тел.+7(926) 554-87-33 Екатерина с 9.00 до 16.00")</f>
        <v>г. Москва, 63-й км. МКАД, р-н Строгино, ул. Маршала Прошлякова, д. 26, корп. 3, стр. 6. тел.+7(926) 554-87-33 Екатерина с 9.00 до 16.00</v>
      </c>
      <c r="R339" s="338"/>
      <c r="S339" s="338"/>
      <c r="T339" s="338"/>
      <c r="U339" s="338"/>
      <c r="V339" s="338"/>
      <c r="W339" s="338"/>
      <c r="X339" s="338"/>
      <c r="Y339" s="338"/>
      <c r="Z339" s="338"/>
    </row>
    <row r="340" ht="22.5" customHeight="1">
      <c r="A340" s="528" t="str">
        <f>IFERROR(__xludf.DUMMYFUNCTION("""COMPUTED_VALUE"""),"ООО ТУАН")</f>
        <v>ООО ТУАН</v>
      </c>
      <c r="B340" s="528"/>
      <c r="C340" s="528" t="str">
        <f>IFERROR(__xludf.DUMMYFUNCTION("""COMPUTED_VALUE"""),"Этикетка Декаф Колумбия")</f>
        <v>Этикетка Декаф Колумбия</v>
      </c>
      <c r="D340" s="528">
        <f>IFERROR(__xludf.DUMMYFUNCTION("""COMPUTED_VALUE"""),2673.0)</f>
        <v>2673</v>
      </c>
      <c r="E340" s="528" t="str">
        <f>IFERROR(__xludf.DUMMYFUNCTION("""COMPUTED_VALUE"""),"Шаповалова Юлия")</f>
        <v>Шаповалова Юлия</v>
      </c>
      <c r="F340" s="535" t="str">
        <f>IFERROR(__xludf.DUMMYFUNCTION("""COMPUTED_VALUE"""),"Новая")</f>
        <v>Новая</v>
      </c>
      <c r="G340" s="536" t="str">
        <f>IFERROR(__xludf.DUMMYFUNCTION("""COMPUTED_VALUE"""),"45*110")</f>
        <v>45*110</v>
      </c>
      <c r="H340" s="338" t="str">
        <f>IFERROR(__xludf.DUMMYFUNCTION("""COMPUTED_VALUE"""),"Флексопечать")</f>
        <v>Флексопечать</v>
      </c>
      <c r="I340" s="338" t="str">
        <f>IFERROR(__xludf.DUMMYFUNCTION("""COMPUTED_VALUE"""),"Bg-330")</f>
        <v>Bg-330</v>
      </c>
      <c r="J340" s="536">
        <f>IFERROR(__xludf.DUMMYFUNCTION("""COMPUTED_VALUE"""),2000.0)</f>
        <v>2000</v>
      </c>
      <c r="K340" s="537">
        <f>IFERROR(__xludf.DUMMYFUNCTION("""COMPUTED_VALUE"""),46169.0)</f>
        <v>46169</v>
      </c>
      <c r="L340" s="537"/>
      <c r="M340" s="338" t="str">
        <f>IFERROR(__xludf.DUMMYFUNCTION("""COMPUTED_VALUE"""),"Пленка PP белая каучук")</f>
        <v>Пленка PP белая каучук</v>
      </c>
      <c r="N340" s="338" t="str">
        <f>IFERROR(__xludf.DUMMYFUNCTION("""COMPUTED_VALUE"""),"Отгружен")</f>
        <v>Отгружен</v>
      </c>
      <c r="O340" s="537"/>
      <c r="P340" s="338" t="str">
        <f>IFERROR(__xludf.DUMMYFUNCTION("""COMPUTED_VALUE"""),"Печать по образцу, привезут на этой неделе, ждем!!!! ПРИЛАДКА")</f>
        <v>Печать по образцу, привезут на этой неделе, ждем!!!! ПРИЛАДКА</v>
      </c>
      <c r="Q340" s="338" t="str">
        <f>IFERROR(__xludf.DUMMYFUNCTION("""COMPUTED_VALUE"""),"г. Москва, 63-й км. МКАД, р-н Строгино, ул. Маршала Прошлякова, д. 26, корп. 3, стр. 6. тел.+7(926) 554-87-33 Екатерина с 9.00 до 16.00")</f>
        <v>г. Москва, 63-й км. МКАД, р-н Строгино, ул. Маршала Прошлякова, д. 26, корп. 3, стр. 6. тел.+7(926) 554-87-33 Екатерина с 9.00 до 16.00</v>
      </c>
      <c r="R340" s="338"/>
      <c r="S340" s="338"/>
      <c r="T340" s="338"/>
      <c r="U340" s="338"/>
      <c r="V340" s="338"/>
      <c r="W340" s="338"/>
      <c r="X340" s="338"/>
      <c r="Y340" s="338"/>
      <c r="Z340" s="338"/>
    </row>
    <row r="341" ht="22.5" customHeight="1">
      <c r="A341" s="528" t="str">
        <f>IFERROR(__xludf.DUMMYFUNCTION("""COMPUTED_VALUE"""),"ООО Меренга ")</f>
        <v>ООО Меренга </v>
      </c>
      <c r="B341" s="528"/>
      <c r="C341" s="528" t="str">
        <f>IFERROR(__xludf.DUMMYFUNCTION("""COMPUTED_VALUE"""),"Этикетка «Эклер наполеон 3шт 165гр»")</f>
        <v>Этикетка «Эклер наполеон 3шт 165гр»</v>
      </c>
      <c r="D341" s="528">
        <f>IFERROR(__xludf.DUMMYFUNCTION("""COMPUTED_VALUE"""),2688.0)</f>
        <v>2688</v>
      </c>
      <c r="E341" s="528" t="str">
        <f>IFERROR(__xludf.DUMMYFUNCTION("""COMPUTED_VALUE"""),"Римма Лукина")</f>
        <v>Римма Лукина</v>
      </c>
      <c r="F341" s="535" t="str">
        <f>IFERROR(__xludf.DUMMYFUNCTION("""COMPUTED_VALUE"""),"Повтор")</f>
        <v>Повтор</v>
      </c>
      <c r="G341" s="536" t="str">
        <f>IFERROR(__xludf.DUMMYFUNCTION("""COMPUTED_VALUE"""),"70*165")</f>
        <v>70*165</v>
      </c>
      <c r="H341" s="338" t="str">
        <f>IFERROR(__xludf.DUMMYFUNCTION("""COMPUTED_VALUE"""),"Флексопечать")</f>
        <v>Флексопечать</v>
      </c>
      <c r="I341" s="338"/>
      <c r="J341" s="536">
        <f>IFERROR(__xludf.DUMMYFUNCTION("""COMPUTED_VALUE"""),10000.0)</f>
        <v>10000</v>
      </c>
      <c r="K341" s="537">
        <f>IFERROR(__xludf.DUMMYFUNCTION("""COMPUTED_VALUE"""),46171.0)</f>
        <v>46171</v>
      </c>
      <c r="L341" s="537"/>
      <c r="M341" s="338" t="str">
        <f>IFERROR(__xludf.DUMMYFUNCTION("""COMPUTED_VALUE"""),"Бумага полуглянец акрил")</f>
        <v>Бумага полуглянец акрил</v>
      </c>
      <c r="N341" s="338" t="str">
        <f>IFERROR(__xludf.DUMMYFUNCTION("""COMPUTED_VALUE"""),"Отгружен")</f>
        <v>Отгружен</v>
      </c>
      <c r="O341" s="537"/>
      <c r="P341" s="338" t="str">
        <f>IFERROR(__xludf.DUMMYFUNCTION("""COMPUTED_VALUE"""),"СРОЧНЫЙ заказ на завтра 30 мая, паспорта качества и маркировка роликов и групповой упаковки обязательно")</f>
        <v>СРОЧНЫЙ заказ на завтра 30 мая, паспорта качества и маркировка роликов и групповой упаковки обязательно</v>
      </c>
      <c r="Q341" s="338"/>
      <c r="R341" s="338"/>
      <c r="S341" s="338"/>
      <c r="T341" s="338"/>
      <c r="U341" s="338"/>
      <c r="V341" s="338"/>
      <c r="W341" s="338"/>
      <c r="X341" s="338"/>
      <c r="Y341" s="338"/>
      <c r="Z341" s="338"/>
    </row>
    <row r="342" ht="22.5" customHeight="1">
      <c r="A342" s="528" t="str">
        <f>IFERROR(__xludf.DUMMYFUNCTION("""COMPUTED_VALUE"""),"ООО""ФерЭльГам""")</f>
        <v>ООО"ФерЭльГам"</v>
      </c>
      <c r="B342" s="528"/>
      <c r="C342" s="528" t="str">
        <f>IFERROR(__xludf.DUMMYFUNCTION("""COMPUTED_VALUE"""),"470113 Имбирь маринованный 250 г этик.")</f>
        <v>470113 Имбирь маринованный 250 г этик.</v>
      </c>
      <c r="D342" s="528">
        <f>IFERROR(__xludf.DUMMYFUNCTION("""COMPUTED_VALUE"""),2655.0)</f>
        <v>2655</v>
      </c>
      <c r="E342" s="528" t="str">
        <f>IFERROR(__xludf.DUMMYFUNCTION("""COMPUTED_VALUE"""),"Баранов Александр")</f>
        <v>Баранов Александр</v>
      </c>
      <c r="F342" s="535" t="str">
        <f>IFERROR(__xludf.DUMMYFUNCTION("""COMPUTED_VALUE"""),"Повтор")</f>
        <v>Повтор</v>
      </c>
      <c r="G342" s="536" t="str">
        <f>IFERROR(__xludf.DUMMYFUNCTION("""COMPUTED_VALUE"""),"д75")</f>
        <v>д75</v>
      </c>
      <c r="H342" s="338" t="str">
        <f>IFERROR(__xludf.DUMMYFUNCTION("""COMPUTED_VALUE"""),"Флексопечать")</f>
        <v>Флексопечать</v>
      </c>
      <c r="I342" s="338" t="str">
        <f>IFERROR(__xludf.DUMMYFUNCTION("""COMPUTED_VALUE"""),"Bg-330")</f>
        <v>Bg-330</v>
      </c>
      <c r="J342" s="536">
        <f>IFERROR(__xludf.DUMMYFUNCTION("""COMPUTED_VALUE"""),20000.0)</f>
        <v>20000</v>
      </c>
      <c r="K342" s="537">
        <f>IFERROR(__xludf.DUMMYFUNCTION("""COMPUTED_VALUE"""),46168.0)</f>
        <v>46168</v>
      </c>
      <c r="L342" s="537"/>
      <c r="M342" s="338" t="str">
        <f>IFERROR(__xludf.DUMMYFUNCTION("""COMPUTED_VALUE"""),"Пленка PP белая каучук")</f>
        <v>Пленка PP белая каучук</v>
      </c>
      <c r="N342" s="338" t="str">
        <f>IFERROR(__xludf.DUMMYFUNCTION("""COMPUTED_VALUE"""),"Отгружен")</f>
        <v>Отгружен</v>
      </c>
      <c r="O342" s="537"/>
      <c r="P342" s="338"/>
      <c r="Q342" s="338"/>
      <c r="R342" s="338"/>
      <c r="S342" s="338"/>
      <c r="T342" s="338"/>
      <c r="U342" s="338"/>
      <c r="V342" s="338"/>
      <c r="W342" s="338"/>
      <c r="X342" s="338"/>
      <c r="Y342" s="338"/>
      <c r="Z342" s="338"/>
    </row>
    <row r="343" ht="22.5" customHeight="1">
      <c r="A343" s="528" t="str">
        <f>IFERROR(__xludf.DUMMYFUNCTION("""COMPUTED_VALUE"""),"РЗК Ресурс")</f>
        <v>РЗК Ресурс</v>
      </c>
      <c r="B343" s="528"/>
      <c r="C343" s="528" t="str">
        <f>IFERROR(__xludf.DUMMYFUNCTION("""COMPUTED_VALUE"""),"Этикетка термо топ")</f>
        <v>Этикетка термо топ</v>
      </c>
      <c r="D343" s="528">
        <f>IFERROR(__xludf.DUMMYFUNCTION("""COMPUTED_VALUE"""),2709.0)</f>
        <v>2709</v>
      </c>
      <c r="E343" s="528" t="str">
        <f>IFERROR(__xludf.DUMMYFUNCTION("""COMPUTED_VALUE"""),"Шаповалова Юлия")</f>
        <v>Шаповалова Юлия</v>
      </c>
      <c r="F343" s="535" t="str">
        <f>IFERROR(__xludf.DUMMYFUNCTION("""COMPUTED_VALUE"""),"ТЕСТ")</f>
        <v>ТЕСТ</v>
      </c>
      <c r="G343" s="536" t="str">
        <f>IFERROR(__xludf.DUMMYFUNCTION("""COMPUTED_VALUE"""),"70*140")</f>
        <v>70*140</v>
      </c>
      <c r="H343" s="338" t="str">
        <f>IFERROR(__xludf.DUMMYFUNCTION("""COMPUTED_VALUE"""),"Флексопечать")</f>
        <v>Флексопечать</v>
      </c>
      <c r="I343" s="338" t="str">
        <f>IFERROR(__xludf.DUMMYFUNCTION("""COMPUTED_VALUE"""),"Wg-450")</f>
        <v>Wg-450</v>
      </c>
      <c r="J343" s="536">
        <f>IFERROR(__xludf.DUMMYFUNCTION("""COMPUTED_VALUE"""),600.0)</f>
        <v>600</v>
      </c>
      <c r="K343" s="537">
        <f>IFERROR(__xludf.DUMMYFUNCTION("""COMPUTED_VALUE"""),46168.0)</f>
        <v>46168</v>
      </c>
      <c r="L343" s="537"/>
      <c r="M343" s="338" t="str">
        <f>IFERROR(__xludf.DUMMYFUNCTION("""COMPUTED_VALUE"""),"Термо Топ для глубокой заморозки")</f>
        <v>Термо Топ для глубокой заморозки</v>
      </c>
      <c r="N343" s="338" t="str">
        <f>IFERROR(__xludf.DUMMYFUNCTION("""COMPUTED_VALUE"""),"Отгружен")</f>
        <v>Отгружен</v>
      </c>
      <c r="O343" s="537"/>
      <c r="P343" s="338" t="str">
        <f>IFERROR(__xludf.DUMMYFUNCTION("""COMPUTED_VALUE"""),"паспорт качества, УПД 0")</f>
        <v>паспорт качества, УПД 0</v>
      </c>
      <c r="Q343" s="338" t="str">
        <f>IFERROR(__xludf.DUMMYFUNCTION("""COMPUTED_VALUE"""),"ООО «РЗК Ресурс» ОП Белокалитвинское, 347041, Ростовская область, р-н Белокалитвинский, г. Белая Калитва, ул. Л.Толстого, дом № 30, РЗК Ресурс. КПП614245002;  (по пятницам, субботам и воскресеньям склад не работает) Киселенко Ирина 7 (988) 560-48-06")</f>
        <v>ООО «РЗК Ресурс» ОП Белокалитвинское, 347041, Ростовская область, р-н Белокалитвинский, г. Белая Калитва, ул. Л.Толстого, дом № 30, РЗК Ресурс. КПП614245002;  (по пятницам, субботам и воскресеньям склад не работает) Киселенко Ирина 7 (988) 560-48-06</v>
      </c>
      <c r="R343" s="338"/>
      <c r="S343" s="338"/>
      <c r="T343" s="338"/>
      <c r="U343" s="338"/>
      <c r="V343" s="338"/>
      <c r="W343" s="338"/>
      <c r="X343" s="338"/>
      <c r="Y343" s="338"/>
      <c r="Z343" s="338"/>
    </row>
    <row r="344" ht="22.5" customHeight="1">
      <c r="A344" s="528" t="str">
        <f>IFERROR(__xludf.DUMMYFUNCTION("""COMPUTED_VALUE"""),"РЗК Ресурс")</f>
        <v>РЗК Ресурс</v>
      </c>
      <c r="B344" s="528"/>
      <c r="C344" s="528" t="str">
        <f>IFERROR(__xludf.DUMMYFUNCTION("""COMPUTED_VALUE"""),"Этикетка Ан-Нур Баранина")</f>
        <v>Этикетка Ан-Нур Баранина</v>
      </c>
      <c r="D344" s="528">
        <f>IFERROR(__xludf.DUMMYFUNCTION("""COMPUTED_VALUE"""),2710.0)</f>
        <v>2710</v>
      </c>
      <c r="E344" s="528" t="str">
        <f>IFERROR(__xludf.DUMMYFUNCTION("""COMPUTED_VALUE"""),"Шаповалова Юлия")</f>
        <v>Шаповалова Юлия</v>
      </c>
      <c r="F344" s="535" t="str">
        <f>IFERROR(__xludf.DUMMYFUNCTION("""COMPUTED_VALUE"""),"ТЕСТ")</f>
        <v>ТЕСТ</v>
      </c>
      <c r="G344" s="536" t="str">
        <f>IFERROR(__xludf.DUMMYFUNCTION("""COMPUTED_VALUE"""),"80*140")</f>
        <v>80*140</v>
      </c>
      <c r="H344" s="338" t="str">
        <f>IFERROR(__xludf.DUMMYFUNCTION("""COMPUTED_VALUE"""),"Флексопечать")</f>
        <v>Флексопечать</v>
      </c>
      <c r="I344" s="338" t="str">
        <f>IFERROR(__xludf.DUMMYFUNCTION("""COMPUTED_VALUE"""),"Wg-450")</f>
        <v>Wg-450</v>
      </c>
      <c r="J344" s="536">
        <f>IFERROR(__xludf.DUMMYFUNCTION("""COMPUTED_VALUE"""),450.0)</f>
        <v>450</v>
      </c>
      <c r="K344" s="537">
        <f>IFERROR(__xludf.DUMMYFUNCTION("""COMPUTED_VALUE"""),46168.0)</f>
        <v>46168</v>
      </c>
      <c r="L344" s="537"/>
      <c r="M344" s="338" t="str">
        <f>IFERROR(__xludf.DUMMYFUNCTION("""COMPUTED_VALUE"""),"Пленка PP белая каучук")</f>
        <v>Пленка PP белая каучук</v>
      </c>
      <c r="N344" s="338" t="str">
        <f>IFERROR(__xludf.DUMMYFUNCTION("""COMPUTED_VALUE"""),"Отгружен")</f>
        <v>Отгружен</v>
      </c>
      <c r="O344" s="537"/>
      <c r="P344" s="338" t="str">
        <f>IFERROR(__xludf.DUMMYFUNCTION("""COMPUTED_VALUE"""),"паспорт качества, УПД 0")</f>
        <v>паспорт качества, УПД 0</v>
      </c>
      <c r="Q344" s="338" t="str">
        <f>IFERROR(__xludf.DUMMYFUNCTION("""COMPUTED_VALUE"""),"ООО «РЗК Ресурс» ОП Белокалитвинское, 347041, Ростовская область, р-н Белокалитвинский, г. Белая Калитва, ул. Л.Толстого, дом № 30, РЗК Ресурс. КПП614245002;  (по пятницам, субботам и воскресеньям склад не работает) Киселенко Ирина 7 (988) 560-48-06")</f>
        <v>ООО «РЗК Ресурс» ОП Белокалитвинское, 347041, Ростовская область, р-н Белокалитвинский, г. Белая Калитва, ул. Л.Толстого, дом № 30, РЗК Ресурс. КПП614245002;  (по пятницам, субботам и воскресеньям склад не работает) Киселенко Ирина 7 (988) 560-48-06</v>
      </c>
      <c r="R344" s="338"/>
      <c r="S344" s="338"/>
      <c r="T344" s="338"/>
      <c r="U344" s="338"/>
      <c r="V344" s="338"/>
      <c r="W344" s="338"/>
      <c r="X344" s="338"/>
      <c r="Y344" s="338"/>
      <c r="Z344" s="338"/>
    </row>
    <row r="345" ht="22.5" customHeight="1">
      <c r="A345" s="528" t="str">
        <f>IFERROR(__xludf.DUMMYFUNCTION("""COMPUTED_VALUE"""),"ООО ОЗОН ВКУС")</f>
        <v>ООО ОЗОН ВКУС</v>
      </c>
      <c r="B345" s="528"/>
      <c r="C345" s="528" t="str">
        <f>IFERROR(__xludf.DUMMYFUNCTION("""COMPUTED_VALUE"""),"Этикетка ""ЯЛ Сэндвич Гриль -чиз болоньезе с песто """)</f>
        <v>Этикетка "ЯЛ Сэндвич Гриль -чиз болоньезе с песто "</v>
      </c>
      <c r="D345" s="528">
        <f>IFERROR(__xludf.DUMMYFUNCTION("""COMPUTED_VALUE"""),2711.0)</f>
        <v>2711</v>
      </c>
      <c r="E345" s="528" t="str">
        <f>IFERROR(__xludf.DUMMYFUNCTION("""COMPUTED_VALUE"""),"Римма Лукина")</f>
        <v>Римма Лукина</v>
      </c>
      <c r="F345" s="535" t="str">
        <f>IFERROR(__xludf.DUMMYFUNCTION("""COMPUTED_VALUE"""),"Новая")</f>
        <v>Новая</v>
      </c>
      <c r="G345" s="536" t="str">
        <f>IFERROR(__xludf.DUMMYFUNCTION("""COMPUTED_VALUE"""),"87*117")</f>
        <v>87*117</v>
      </c>
      <c r="H345" s="338" t="str">
        <f>IFERROR(__xludf.DUMMYFUNCTION("""COMPUTED_VALUE"""),"Флексопечать")</f>
        <v>Флексопечать</v>
      </c>
      <c r="I345" s="338" t="str">
        <f>IFERROR(__xludf.DUMMYFUNCTION("""COMPUTED_VALUE"""),"Bg-330")</f>
        <v>Bg-330</v>
      </c>
      <c r="J345" s="536">
        <f>IFERROR(__xludf.DUMMYFUNCTION("""COMPUTED_VALUE"""),10000.0)</f>
        <v>10000</v>
      </c>
      <c r="K345" s="537">
        <f>IFERROR(__xludf.DUMMYFUNCTION("""COMPUTED_VALUE"""),46171.0)</f>
        <v>46171</v>
      </c>
      <c r="L345" s="537"/>
      <c r="M345" s="338" t="str">
        <f>IFERROR(__xludf.DUMMYFUNCTION("""COMPUTED_VALUE"""),"Бумага полуглянец акрил")</f>
        <v>Бумага полуглянец акрил</v>
      </c>
      <c r="N345" s="338" t="str">
        <f>IFERROR(__xludf.DUMMYFUNCTION("""COMPUTED_VALUE"""),"Отгружен")</f>
        <v>Отгружен</v>
      </c>
      <c r="O345" s="537"/>
      <c r="P345" s="338" t="str">
        <f>IFERROR(__xludf.DUMMYFUNCTION("""COMPUTED_VALUE"""),"перед отгрузкой выложить УПД в ЭДО ,паспорта качества и маркировка роликов и групповой упаковки обязательно")</f>
        <v>перед отгрузкой выложить УПД в ЭДО ,паспорта качества и маркировка роликов и групповой упаковки обязательно</v>
      </c>
      <c r="Q345" s="338"/>
      <c r="R345" s="338"/>
      <c r="S345" s="338"/>
      <c r="T345" s="338"/>
      <c r="U345" s="338"/>
      <c r="V345" s="338"/>
      <c r="W345" s="338"/>
      <c r="X345" s="338"/>
      <c r="Y345" s="338"/>
      <c r="Z345" s="338"/>
    </row>
    <row r="346" ht="22.5" customHeight="1">
      <c r="A346" s="528" t="str">
        <f>IFERROR(__xludf.DUMMYFUNCTION("""COMPUTED_VALUE"""),"ООО ОЗОН ВКУС")</f>
        <v>ООО ОЗОН ВКУС</v>
      </c>
      <c r="B346" s="528"/>
      <c r="C346" s="528" t="str">
        <f>IFERROR(__xludf.DUMMYFUNCTION("""COMPUTED_VALUE"""),"Этикетка ""ЯЛ язык говяжий отварной""")</f>
        <v>Этикетка "ЯЛ язык говяжий отварной"</v>
      </c>
      <c r="D346" s="528">
        <f>IFERROR(__xludf.DUMMYFUNCTION("""COMPUTED_VALUE"""),2712.0)</f>
        <v>2712</v>
      </c>
      <c r="E346" s="528" t="str">
        <f>IFERROR(__xludf.DUMMYFUNCTION("""COMPUTED_VALUE"""),"Римма Лукина")</f>
        <v>Римма Лукина</v>
      </c>
      <c r="F346" s="535" t="str">
        <f>IFERROR(__xludf.DUMMYFUNCTION("""COMPUTED_VALUE"""),"Новая")</f>
        <v>Новая</v>
      </c>
      <c r="G346" s="536" t="str">
        <f>IFERROR(__xludf.DUMMYFUNCTION("""COMPUTED_VALUE"""),"76*118")</f>
        <v>76*118</v>
      </c>
      <c r="H346" s="338" t="str">
        <f>IFERROR(__xludf.DUMMYFUNCTION("""COMPUTED_VALUE"""),"Флексопечать")</f>
        <v>Флексопечать</v>
      </c>
      <c r="I346" s="338" t="str">
        <f>IFERROR(__xludf.DUMMYFUNCTION("""COMPUTED_VALUE"""),"Bg-330")</f>
        <v>Bg-330</v>
      </c>
      <c r="J346" s="536">
        <f>IFERROR(__xludf.DUMMYFUNCTION("""COMPUTED_VALUE"""),10000.0)</f>
        <v>10000</v>
      </c>
      <c r="K346" s="537">
        <f>IFERROR(__xludf.DUMMYFUNCTION("""COMPUTED_VALUE"""),46171.0)</f>
        <v>46171</v>
      </c>
      <c r="L346" s="537"/>
      <c r="M346" s="338" t="str">
        <f>IFERROR(__xludf.DUMMYFUNCTION("""COMPUTED_VALUE"""),"Бумага полуглянец акрил")</f>
        <v>Бумага полуглянец акрил</v>
      </c>
      <c r="N346" s="338" t="str">
        <f>IFERROR(__xludf.DUMMYFUNCTION("""COMPUTED_VALUE"""),"Отгружен")</f>
        <v>Отгружен</v>
      </c>
      <c r="O346" s="537"/>
      <c r="P346" s="338" t="str">
        <f>IFERROR(__xludf.DUMMYFUNCTION("""COMPUTED_VALUE"""),"перед отгрузкой выложить УПД в ЭДО ,паспорта качества и маркировка роликов и групповой упаковки обязательно")</f>
        <v>перед отгрузкой выложить УПД в ЭДО ,паспорта качества и маркировка роликов и групповой упаковки обязательно</v>
      </c>
      <c r="Q346" s="338"/>
      <c r="R346" s="338"/>
      <c r="S346" s="338"/>
      <c r="T346" s="338"/>
      <c r="U346" s="338"/>
      <c r="V346" s="338"/>
      <c r="W346" s="338"/>
      <c r="X346" s="338"/>
      <c r="Y346" s="338"/>
      <c r="Z346" s="338"/>
    </row>
    <row r="347" ht="22.5" customHeight="1">
      <c r="A347" s="528" t="str">
        <f>IFERROR(__xludf.DUMMYFUNCTION("""COMPUTED_VALUE"""),"ООО ПФ ""Павловская""")</f>
        <v>ООО ПФ "Павловская"</v>
      </c>
      <c r="B347" s="528"/>
      <c r="C347" s="528" t="str">
        <f>IFERROR(__xludf.DUMMYFUNCTION("""COMPUTED_VALUE"""),"Этикетка «Деликатесы из мяса»")</f>
        <v>Этикетка «Деликатесы из мяса»</v>
      </c>
      <c r="D347" s="528">
        <f>IFERROR(__xludf.DUMMYFUNCTION("""COMPUTED_VALUE"""),2697.0)</f>
        <v>2697</v>
      </c>
      <c r="E347" s="528" t="str">
        <f>IFERROR(__xludf.DUMMYFUNCTION("""COMPUTED_VALUE"""),"Римма Лукина")</f>
        <v>Римма Лукина</v>
      </c>
      <c r="F347" s="535" t="str">
        <f>IFERROR(__xludf.DUMMYFUNCTION("""COMPUTED_VALUE"""),"ТЕСТ")</f>
        <v>ТЕСТ</v>
      </c>
      <c r="G347" s="536" t="str">
        <f>IFERROR(__xludf.DUMMYFUNCTION("""COMPUTED_VALUE"""),"80*54")</f>
        <v>80*54</v>
      </c>
      <c r="H347" s="338" t="str">
        <f>IFERROR(__xludf.DUMMYFUNCTION("""COMPUTED_VALUE"""),"Флексопечать")</f>
        <v>Флексопечать</v>
      </c>
      <c r="I347" s="338"/>
      <c r="J347" s="536">
        <f>IFERROR(__xludf.DUMMYFUNCTION("""COMPUTED_VALUE"""),500.0)</f>
        <v>500</v>
      </c>
      <c r="K347" s="537">
        <f>IFERROR(__xludf.DUMMYFUNCTION("""COMPUTED_VALUE"""),46171.0)</f>
        <v>46171</v>
      </c>
      <c r="L347" s="537"/>
      <c r="M347" s="338" t="str">
        <f>IFERROR(__xludf.DUMMYFUNCTION("""COMPUTED_VALUE"""),"Пленка PP белая каучук")</f>
        <v>Пленка PP белая каучук</v>
      </c>
      <c r="N347" s="338" t="str">
        <f>IFERROR(__xludf.DUMMYFUNCTION("""COMPUTED_VALUE"""),"Отгружен")</f>
        <v>Отгружен</v>
      </c>
      <c r="O347" s="537"/>
      <c r="P347" s="338" t="str">
        <f>IFERROR(__xludf.DUMMYFUNCTION("""COMPUTED_VALUE"""),"обязательно паспорт качество и маркировка ролика ")</f>
        <v>обязательно паспорт качество и маркировка ролика </v>
      </c>
      <c r="Q347" s="338"/>
      <c r="R347" s="338"/>
      <c r="S347" s="338"/>
      <c r="T347" s="338"/>
      <c r="U347" s="338"/>
      <c r="V347" s="338"/>
      <c r="W347" s="338"/>
      <c r="X347" s="338"/>
      <c r="Y347" s="338"/>
      <c r="Z347" s="338"/>
    </row>
    <row r="348" ht="22.5" customHeight="1">
      <c r="A348" s="528" t="str">
        <f>IFERROR(__xludf.DUMMYFUNCTION("""COMPUTED_VALUE"""),"ООО""ФерЭльГам""")</f>
        <v>ООО"ФерЭльГам"</v>
      </c>
      <c r="B348" s="528"/>
      <c r="C348" s="528" t="str">
        <f>IFERROR(__xludf.DUMMYFUNCTION("""COMPUTED_VALUE"""),"470736 Чизолини Косичка сыр ассорти 40 г 20*20 этик.")</f>
        <v>470736 Чизолини Косичка сыр ассорти 40 г 20*20 этик.</v>
      </c>
      <c r="D348" s="528">
        <f>IFERROR(__xludf.DUMMYFUNCTION("""COMPUTED_VALUE"""),2746.0)</f>
        <v>2746</v>
      </c>
      <c r="E348" s="528" t="str">
        <f>IFERROR(__xludf.DUMMYFUNCTION("""COMPUTED_VALUE"""),"Баранов Александр")</f>
        <v>Баранов Александр</v>
      </c>
      <c r="F348" s="535" t="str">
        <f>IFERROR(__xludf.DUMMYFUNCTION("""COMPUTED_VALUE"""),"Повтор с изменениями")</f>
        <v>Повтор с изменениями</v>
      </c>
      <c r="G348" s="536" t="str">
        <f>IFERROR(__xludf.DUMMYFUNCTION("""COMPUTED_VALUE"""),"55*75")</f>
        <v>55*75</v>
      </c>
      <c r="H348" s="338" t="str">
        <f>IFERROR(__xludf.DUMMYFUNCTION("""COMPUTED_VALUE"""),"Флексопечать")</f>
        <v>Флексопечать</v>
      </c>
      <c r="I348" s="338" t="str">
        <f>IFERROR(__xludf.DUMMYFUNCTION("""COMPUTED_VALUE"""),"Bg-330")</f>
        <v>Bg-330</v>
      </c>
      <c r="J348" s="536">
        <f>IFERROR(__xludf.DUMMYFUNCTION("""COMPUTED_VALUE"""),20000.0)</f>
        <v>20000</v>
      </c>
      <c r="K348" s="537">
        <f>IFERROR(__xludf.DUMMYFUNCTION("""COMPUTED_VALUE"""),46108.0)</f>
        <v>46108</v>
      </c>
      <c r="L348" s="537"/>
      <c r="M348" s="338" t="str">
        <f>IFERROR(__xludf.DUMMYFUNCTION("""COMPUTED_VALUE"""),"Пленка PP белая каучук")</f>
        <v>Пленка PP белая каучук</v>
      </c>
      <c r="N348" s="338" t="str">
        <f>IFERROR(__xludf.DUMMYFUNCTION("""COMPUTED_VALUE"""),"Отгружен")</f>
        <v>Отгружен</v>
      </c>
      <c r="O348" s="537"/>
      <c r="P348" s="338" t="str">
        <f>IFERROR(__xludf.DUMMYFUNCTION("""COMPUTED_VALUE"""),"заказываем формы , грам. ошибки в форме")</f>
        <v>заказываем формы , грам. ошибки в форме</v>
      </c>
      <c r="Q348" s="338"/>
      <c r="R348" s="338"/>
      <c r="S348" s="338"/>
      <c r="T348" s="338"/>
      <c r="U348" s="338"/>
      <c r="V348" s="338"/>
      <c r="W348" s="338"/>
      <c r="X348" s="338"/>
      <c r="Y348" s="338"/>
      <c r="Z348" s="338"/>
    </row>
    <row r="349" ht="22.5" customHeight="1">
      <c r="A349" s="528" t="str">
        <f>IFERROR(__xludf.DUMMYFUNCTION("""COMPUTED_VALUE"""),"ИП Шайхутдинов")</f>
        <v>ИП Шайхутдинов</v>
      </c>
      <c r="B349" s="528"/>
      <c r="C349" s="528" t="str">
        <f>IFERROR(__xludf.DUMMYFUNCTION("""COMPUTED_VALUE"""),"Этикетка Сахарная пудра 1000г")</f>
        <v>Этикетка Сахарная пудра 1000г</v>
      </c>
      <c r="D349" s="528">
        <f>IFERROR(__xludf.DUMMYFUNCTION("""COMPUTED_VALUE"""),2751.0)</f>
        <v>2751</v>
      </c>
      <c r="E349" s="528" t="str">
        <f>IFERROR(__xludf.DUMMYFUNCTION("""COMPUTED_VALUE"""),"Шаповалов Дмитрий")</f>
        <v>Шаповалов Дмитрий</v>
      </c>
      <c r="F349" s="535" t="str">
        <f>IFERROR(__xludf.DUMMYFUNCTION("""COMPUTED_VALUE"""),"Новая")</f>
        <v>Новая</v>
      </c>
      <c r="G349" s="536" t="str">
        <f>IFERROR(__xludf.DUMMYFUNCTION("""COMPUTED_VALUE"""),"100*270")</f>
        <v>100*270</v>
      </c>
      <c r="H349" s="338" t="str">
        <f>IFERROR(__xludf.DUMMYFUNCTION("""COMPUTED_VALUE"""),"Флексопечать")</f>
        <v>Флексопечать</v>
      </c>
      <c r="I349" s="338" t="str">
        <f>IFERROR(__xludf.DUMMYFUNCTION("""COMPUTED_VALUE"""),"Bg-330")</f>
        <v>Bg-330</v>
      </c>
      <c r="J349" s="536">
        <f>IFERROR(__xludf.DUMMYFUNCTION("""COMPUTED_VALUE"""),10000.0)</f>
        <v>10000</v>
      </c>
      <c r="K349" s="537">
        <f>IFERROR(__xludf.DUMMYFUNCTION("""COMPUTED_VALUE"""),46170.0)</f>
        <v>46170</v>
      </c>
      <c r="L349" s="537"/>
      <c r="M349" s="338" t="str">
        <f>IFERROR(__xludf.DUMMYFUNCTION("""COMPUTED_VALUE"""),"Пленка PP белая каучук")</f>
        <v>Пленка PP белая каучук</v>
      </c>
      <c r="N349" s="338" t="str">
        <f>IFERROR(__xludf.DUMMYFUNCTION("""COMPUTED_VALUE"""),"Отгружен")</f>
        <v>Отгружен</v>
      </c>
      <c r="O349" s="537"/>
      <c r="P349" s="338"/>
      <c r="Q349" s="338" t="str">
        <f>IFERROR(__xludf.DUMMYFUNCTION("""COMPUTED_VALUE"""),"МО. г Королев мкр Болшево ул Советская 73 стр 1 , +79265538995")</f>
        <v>МО. г Королев мкр Болшево ул Советская 73 стр 1 , +79265538995</v>
      </c>
      <c r="R349" s="338"/>
      <c r="S349" s="338"/>
      <c r="T349" s="338"/>
      <c r="U349" s="338"/>
      <c r="V349" s="338"/>
      <c r="W349" s="338"/>
      <c r="X349" s="338"/>
      <c r="Y349" s="338"/>
      <c r="Z349" s="338"/>
    </row>
    <row r="350" ht="22.5" customHeight="1">
      <c r="A350" s="528" t="str">
        <f>IFERROR(__xludf.DUMMYFUNCTION("""COMPUTED_VALUE"""),"ИП Шайхутдинов")</f>
        <v>ИП Шайхутдинов</v>
      </c>
      <c r="B350" s="528"/>
      <c r="C350" s="528" t="str">
        <f>IFERROR(__xludf.DUMMYFUNCTION("""COMPUTED_VALUE"""),"Этикетка Альбумин 250мг 100х270")</f>
        <v>Этикетка Альбумин 250мг 100х270</v>
      </c>
      <c r="D350" s="528">
        <f>IFERROR(__xludf.DUMMYFUNCTION("""COMPUTED_VALUE"""),2752.0)</f>
        <v>2752</v>
      </c>
      <c r="E350" s="528" t="str">
        <f>IFERROR(__xludf.DUMMYFUNCTION("""COMPUTED_VALUE"""),"Шаповалов Дмитрий")</f>
        <v>Шаповалов Дмитрий</v>
      </c>
      <c r="F350" s="535" t="str">
        <f>IFERROR(__xludf.DUMMYFUNCTION("""COMPUTED_VALUE"""),"Новая")</f>
        <v>Новая</v>
      </c>
      <c r="G350" s="536" t="str">
        <f>IFERROR(__xludf.DUMMYFUNCTION("""COMPUTED_VALUE"""),"100*270")</f>
        <v>100*270</v>
      </c>
      <c r="H350" s="338" t="str">
        <f>IFERROR(__xludf.DUMMYFUNCTION("""COMPUTED_VALUE"""),"Флексопечать")</f>
        <v>Флексопечать</v>
      </c>
      <c r="I350" s="338" t="str">
        <f>IFERROR(__xludf.DUMMYFUNCTION("""COMPUTED_VALUE"""),"Bg-330")</f>
        <v>Bg-330</v>
      </c>
      <c r="J350" s="536">
        <f>IFERROR(__xludf.DUMMYFUNCTION("""COMPUTED_VALUE"""),10000.0)</f>
        <v>10000</v>
      </c>
      <c r="K350" s="537">
        <f>IFERROR(__xludf.DUMMYFUNCTION("""COMPUTED_VALUE"""),46170.0)</f>
        <v>46170</v>
      </c>
      <c r="L350" s="537"/>
      <c r="M350" s="338" t="str">
        <f>IFERROR(__xludf.DUMMYFUNCTION("""COMPUTED_VALUE"""),"Пленка PP белая каучук")</f>
        <v>Пленка PP белая каучук</v>
      </c>
      <c r="N350" s="338" t="str">
        <f>IFERROR(__xludf.DUMMYFUNCTION("""COMPUTED_VALUE"""),"Отгружен")</f>
        <v>Отгружен</v>
      </c>
      <c r="O350" s="537"/>
      <c r="P350" s="338"/>
      <c r="Q350" s="338" t="str">
        <f>IFERROR(__xludf.DUMMYFUNCTION("""COMPUTED_VALUE"""),"МО. г Королев мкр Болшево ул Советская 73 стр 1, +79265538995")</f>
        <v>МО. г Королев мкр Болшево ул Советская 73 стр 1, +79265538995</v>
      </c>
      <c r="R350" s="338"/>
      <c r="S350" s="338"/>
      <c r="T350" s="338"/>
      <c r="U350" s="338"/>
      <c r="V350" s="338"/>
      <c r="W350" s="338"/>
      <c r="X350" s="338"/>
      <c r="Y350" s="338"/>
      <c r="Z350" s="338"/>
    </row>
    <row r="351" ht="22.5" customHeight="1">
      <c r="A351" s="528" t="str">
        <f>IFERROR(__xludf.DUMMYFUNCTION("""COMPUTED_VALUE"""),"ЯПД")</f>
        <v>ЯПД</v>
      </c>
      <c r="B351" s="528"/>
      <c r="C351" s="528" t="str">
        <f>IFERROR(__xludf.DUMMYFUNCTION("""COMPUTED_VALUE"""),"Стикеры Сбер 44*74")</f>
        <v>Стикеры Сбер 44*74</v>
      </c>
      <c r="D351" s="528">
        <f>IFERROR(__xludf.DUMMYFUNCTION("""COMPUTED_VALUE"""),2754.0)</f>
        <v>2754</v>
      </c>
      <c r="E351" s="528" t="str">
        <f>IFERROR(__xludf.DUMMYFUNCTION("""COMPUTED_VALUE"""),"Татьяна Денисова")</f>
        <v>Татьяна Денисова</v>
      </c>
      <c r="F351" s="535" t="str">
        <f>IFERROR(__xludf.DUMMYFUNCTION("""COMPUTED_VALUE"""),"Новая")</f>
        <v>Новая</v>
      </c>
      <c r="G351" s="536" t="str">
        <f>IFERROR(__xludf.DUMMYFUNCTION("""COMPUTED_VALUE"""),"44*74")</f>
        <v>44*74</v>
      </c>
      <c r="H351" s="338" t="str">
        <f>IFERROR(__xludf.DUMMYFUNCTION("""COMPUTED_VALUE"""),"Цифра+Полуротация")</f>
        <v>Цифра+Полуротация</v>
      </c>
      <c r="I351" s="338" t="str">
        <f>IFERROR(__xludf.DUMMYFUNCTION("""COMPUTED_VALUE"""),"LS(ЦПМ)")</f>
        <v>LS(ЦПМ)</v>
      </c>
      <c r="J351" s="536" t="str">
        <f>IFERROR(__xludf.DUMMYFUNCTION("""COMPUTED_VALUE"""),"3*15000")</f>
        <v>3*15000</v>
      </c>
      <c r="K351" s="537">
        <f>IFERROR(__xludf.DUMMYFUNCTION("""COMPUTED_VALUE"""),46175.0)</f>
        <v>46175</v>
      </c>
      <c r="L351" s="537"/>
      <c r="M351" s="338" t="str">
        <f>IFERROR(__xludf.DUMMYFUNCTION("""COMPUTED_VALUE"""),"Бумага полуглянец акрил")</f>
        <v>Бумага полуглянец акрил</v>
      </c>
      <c r="N351" s="338" t="str">
        <f>IFERROR(__xludf.DUMMYFUNCTION("""COMPUTED_VALUE"""),"Отгружен")</f>
        <v>Отгружен</v>
      </c>
      <c r="O351" s="537"/>
      <c r="P351" s="338" t="str">
        <f>IFERROR(__xludf.DUMMYFUNCTION("""COMPUTED_VALUE"""),"Намотка по 75 шт, готовность на утро 3 числа ")</f>
        <v>Намотка по 75 шт, готовность на утро 3 числа </v>
      </c>
      <c r="Q351" s="338" t="str">
        <f>IFERROR(__xludf.DUMMYFUNCTION("""COMPUTED_VALUE"""),"Самовывоз")</f>
        <v>Самовывоз</v>
      </c>
      <c r="R351" s="338"/>
      <c r="S351" s="338"/>
      <c r="T351" s="338"/>
      <c r="U351" s="338"/>
      <c r="V351" s="338"/>
      <c r="W351" s="338"/>
      <c r="X351" s="338"/>
      <c r="Y351" s="338"/>
      <c r="Z351" s="338"/>
    </row>
    <row r="352" ht="22.5" customHeight="1">
      <c r="A352" s="528" t="str">
        <f>IFERROR(__xludf.DUMMYFUNCTION("""COMPUTED_VALUE"""),"Калье")</f>
        <v>Калье</v>
      </c>
      <c r="B352" s="528"/>
      <c r="C352" s="528" t="str">
        <f>IFERROR(__xludf.DUMMYFUNCTION("""COMPUTED_VALUE"""),"Expert Edition 400 мл")</f>
        <v>Expert Edition 400 мл</v>
      </c>
      <c r="D352" s="528" t="str">
        <f>IFERROR(__xludf.DUMMYFUNCTION("""COMPUTED_VALUE"""),"2326/2327")</f>
        <v>2326/2327</v>
      </c>
      <c r="E352" s="528" t="str">
        <f>IFERROR(__xludf.DUMMYFUNCTION("""COMPUTED_VALUE"""),"Татьяна Денисова")</f>
        <v>Татьяна Денисова</v>
      </c>
      <c r="F352" s="535" t="str">
        <f>IFERROR(__xludf.DUMMYFUNCTION("""COMPUTED_VALUE"""),"Новая")</f>
        <v>Новая</v>
      </c>
      <c r="G352" s="536" t="str">
        <f>IFERROR(__xludf.DUMMYFUNCTION("""COMPUTED_VALUE"""),"130*170")</f>
        <v>130*170</v>
      </c>
      <c r="H352" s="338" t="str">
        <f>IFERROR(__xludf.DUMMYFUNCTION("""COMPUTED_VALUE"""),"Флексопечать")</f>
        <v>Флексопечать</v>
      </c>
      <c r="I352" s="338" t="str">
        <f>IFERROR(__xludf.DUMMYFUNCTION("""COMPUTED_VALUE"""),"Bg-330")</f>
        <v>Bg-330</v>
      </c>
      <c r="J352" s="536" t="str">
        <f>IFERROR(__xludf.DUMMYFUNCTION("""COMPUTED_VALUE"""),"2*10000")</f>
        <v>2*10000</v>
      </c>
      <c r="K352" s="537">
        <f>IFERROR(__xludf.DUMMYFUNCTION("""COMPUTED_VALUE"""),46155.0)</f>
        <v>46155</v>
      </c>
      <c r="L352" s="537"/>
      <c r="M352" s="338" t="str">
        <f>IFERROR(__xludf.DUMMYFUNCTION("""COMPUTED_VALUE"""),"Пленка PP белая акрил")</f>
        <v>Пленка PP белая акрил</v>
      </c>
      <c r="N352" s="338" t="str">
        <f>IFERROR(__xludf.DUMMYFUNCTION("""COMPUTED_VALUE"""),"Отгружен")</f>
        <v>Отгружен</v>
      </c>
      <c r="O352" s="537"/>
      <c r="P352" s="338" t="str">
        <f>IFERROR(__xludf.DUMMYFUNCTION("""COMPUTED_VALUE"""),"Приладка в раб дни до 17:30 как обычно")</f>
        <v>Приладка в раб дни до 17:30 как обычно</v>
      </c>
      <c r="Q352" s="338" t="str">
        <f>IFERROR(__xludf.DUMMYFUNCTION("""COMPUTED_VALUE"""),"Сама заказываю ТК")</f>
        <v>Сама заказываю ТК</v>
      </c>
      <c r="R352" s="338"/>
      <c r="S352" s="338"/>
      <c r="T352" s="338"/>
      <c r="U352" s="338"/>
      <c r="V352" s="338"/>
      <c r="W352" s="338"/>
      <c r="X352" s="338"/>
      <c r="Y352" s="338"/>
      <c r="Z352" s="338"/>
    </row>
    <row r="353" ht="22.5" customHeight="1">
      <c r="A353" s="528" t="str">
        <f>IFERROR(__xludf.DUMMYFUNCTION("""COMPUTED_VALUE"""),"Калье")</f>
        <v>Калье</v>
      </c>
      <c r="B353" s="528"/>
      <c r="C353" s="528" t="str">
        <f>IFERROR(__xludf.DUMMYFUNCTION("""COMPUTED_VALUE"""),"Липидная маска Adricoco 500 мл ")</f>
        <v>Липидная маска Adricoco 500 мл </v>
      </c>
      <c r="D353" s="528" t="str">
        <f>IFERROR(__xludf.DUMMYFUNCTION("""COMPUTED_VALUE"""),"2493/2494")</f>
        <v>2493/2494</v>
      </c>
      <c r="E353" s="528" t="str">
        <f>IFERROR(__xludf.DUMMYFUNCTION("""COMPUTED_VALUE"""),"Татьяна Денисова")</f>
        <v>Татьяна Денисова</v>
      </c>
      <c r="F353" s="535" t="str">
        <f>IFERROR(__xludf.DUMMYFUNCTION("""COMPUTED_VALUE"""),"Повтор")</f>
        <v>Повтор</v>
      </c>
      <c r="G353" s="536" t="str">
        <f>IFERROR(__xludf.DUMMYFUNCTION("""COMPUTED_VALUE"""),"д=83/65*280")</f>
        <v>д=83/65*280</v>
      </c>
      <c r="H353" s="338" t="str">
        <f>IFERROR(__xludf.DUMMYFUNCTION("""COMPUTED_VALUE"""),"Флексопечать")</f>
        <v>Флексопечать</v>
      </c>
      <c r="I353" s="338" t="str">
        <f>IFERROR(__xludf.DUMMYFUNCTION("""COMPUTED_VALUE"""),"Bg-330")</f>
        <v>Bg-330</v>
      </c>
      <c r="J353" s="536" t="str">
        <f>IFERROR(__xludf.DUMMYFUNCTION("""COMPUTED_VALUE"""),"30 000 комплектов")</f>
        <v>30 000 комплектов</v>
      </c>
      <c r="K353" s="537">
        <f>IFERROR(__xludf.DUMMYFUNCTION("""COMPUTED_VALUE"""),46164.0)</f>
        <v>46164</v>
      </c>
      <c r="L353" s="537"/>
      <c r="M353" s="338" t="str">
        <f>IFERROR(__xludf.DUMMYFUNCTION("""COMPUTED_VALUE"""),"Пленка PP белая акрил")</f>
        <v>Пленка PP белая акрил</v>
      </c>
      <c r="N353" s="338" t="str">
        <f>IFERROR(__xludf.DUMMYFUNCTION("""COMPUTED_VALUE"""),"Отгружен")</f>
        <v>Отгружен</v>
      </c>
      <c r="O353" s="537"/>
      <c r="P353" s="338" t="str">
        <f>IFERROR(__xludf.DUMMYFUNCTION("""COMPUTED_VALUE"""),"Приладка в раб дни до 17:30 как обычно")</f>
        <v>Приладка в раб дни до 17:30 как обычно</v>
      </c>
      <c r="Q353" s="338" t="str">
        <f>IFERROR(__xludf.DUMMYFUNCTION("""COMPUTED_VALUE"""),"Сама заказываю ТК")</f>
        <v>Сама заказываю ТК</v>
      </c>
      <c r="R353" s="338"/>
      <c r="S353" s="338"/>
      <c r="T353" s="338"/>
      <c r="U353" s="338"/>
      <c r="V353" s="338"/>
      <c r="W353" s="338"/>
      <c r="X353" s="338"/>
      <c r="Y353" s="338"/>
      <c r="Z353" s="338"/>
    </row>
    <row r="354" ht="22.5" customHeight="1">
      <c r="A354" s="528" t="str">
        <f>IFERROR(__xludf.DUMMYFUNCTION("""COMPUTED_VALUE"""),"ООО Аралия")</f>
        <v>ООО Аралия</v>
      </c>
      <c r="B354" s="528"/>
      <c r="C354" s="528" t="str">
        <f>IFERROR(__xludf.DUMMYFUNCTION("""COMPUTED_VALUE"""),"Этикетка Bez Tarelok")</f>
        <v>Этикетка Bez Tarelok</v>
      </c>
      <c r="D354" s="528">
        <f>IFERROR(__xludf.DUMMYFUNCTION("""COMPUTED_VALUE"""),2774.0)</f>
        <v>2774</v>
      </c>
      <c r="E354" s="528" t="str">
        <f>IFERROR(__xludf.DUMMYFUNCTION("""COMPUTED_VALUE"""),"Шаповалова Юлия")</f>
        <v>Шаповалова Юлия</v>
      </c>
      <c r="F354" s="535" t="str">
        <f>IFERROR(__xludf.DUMMYFUNCTION("""COMPUTED_VALUE"""),"Новая")</f>
        <v>Новая</v>
      </c>
      <c r="G354" s="536" t="str">
        <f>IFERROR(__xludf.DUMMYFUNCTION("""COMPUTED_VALUE"""),"20*250")</f>
        <v>20*250</v>
      </c>
      <c r="H354" s="338" t="str">
        <f>IFERROR(__xludf.DUMMYFUNCTION("""COMPUTED_VALUE"""),"Флексопечать")</f>
        <v>Флексопечать</v>
      </c>
      <c r="I354" s="338" t="str">
        <f>IFERROR(__xludf.DUMMYFUNCTION("""COMPUTED_VALUE"""),"G-200")</f>
        <v>G-200</v>
      </c>
      <c r="J354" s="536">
        <f>IFERROR(__xludf.DUMMYFUNCTION("""COMPUTED_VALUE"""),5000.0)</f>
        <v>5000</v>
      </c>
      <c r="K354" s="537">
        <f>IFERROR(__xludf.DUMMYFUNCTION("""COMPUTED_VALUE"""),46174.0)</f>
        <v>46174</v>
      </c>
      <c r="L354" s="537"/>
      <c r="M354" s="338" t="str">
        <f>IFERROR(__xludf.DUMMYFUNCTION("""COMPUTED_VALUE"""),"Пленка PP прозрачная")</f>
        <v>Пленка PP прозрачная</v>
      </c>
      <c r="N354" s="338" t="str">
        <f>IFERROR(__xludf.DUMMYFUNCTION("""COMPUTED_VALUE"""),"Отгружен")</f>
        <v>Отгружен</v>
      </c>
      <c r="O354" s="537"/>
      <c r="P354" s="338" t="str">
        <f>IFERROR(__xludf.DUMMYFUNCTION("""COMPUTED_VALUE"""),"заказ срочный отгрузка 05.06.26. с ТУАН")</f>
        <v>заказ срочный отгрузка 05.06.26. с ТУАН</v>
      </c>
      <c r="Q354" s="338" t="str">
        <f>IFERROR(__xludf.DUMMYFUNCTION("""COMPUTED_VALUE"""),"г. Москва, 63-й км. МКАД, р-н Строгино, ул. Маршала Прошлякова, д. 26, корп. 3, стр. 6. тел.+7(926) 554-87-33 Екатерина с 9.00 до 16.00")</f>
        <v>г. Москва, 63-й км. МКАД, р-н Строгино, ул. Маршала Прошлякова, д. 26, корп. 3, стр. 6. тел.+7(926) 554-87-33 Екатерина с 9.00 до 16.00</v>
      </c>
      <c r="R354" s="338"/>
      <c r="S354" s="338"/>
      <c r="T354" s="338"/>
      <c r="U354" s="338"/>
      <c r="V354" s="338"/>
      <c r="W354" s="338"/>
      <c r="X354" s="338"/>
      <c r="Y354" s="338"/>
      <c r="Z354" s="338"/>
    </row>
    <row r="355" ht="22.5" customHeight="1">
      <c r="A355" s="528" t="str">
        <f>IFERROR(__xludf.DUMMYFUNCTION("""COMPUTED_VALUE"""),"Калье")</f>
        <v>Калье</v>
      </c>
      <c r="B355" s="528"/>
      <c r="C355" s="528" t="str">
        <f>IFERROR(__xludf.DUMMYFUNCTION("""COMPUTED_VALUE"""),"Шампунь + Бальзам CURLY, 400 мл")</f>
        <v>Шампунь + Бальзам CURLY, 400 мл</v>
      </c>
      <c r="D355" s="528" t="str">
        <f>IFERROR(__xludf.DUMMYFUNCTION("""COMPUTED_VALUE"""),"2579/2580")</f>
        <v>2579/2580</v>
      </c>
      <c r="E355" s="528" t="str">
        <f>IFERROR(__xludf.DUMMYFUNCTION("""COMPUTED_VALUE"""),"Татьяна Денисова")</f>
        <v>Татьяна Денисова</v>
      </c>
      <c r="F355" s="535" t="str">
        <f>IFERROR(__xludf.DUMMYFUNCTION("""COMPUTED_VALUE"""),"Новая")</f>
        <v>Новая</v>
      </c>
      <c r="G355" s="536" t="str">
        <f>IFERROR(__xludf.DUMMYFUNCTION("""COMPUTED_VALUE"""),"100*204")</f>
        <v>100*204</v>
      </c>
      <c r="H355" s="338" t="str">
        <f>IFERROR(__xludf.DUMMYFUNCTION("""COMPUTED_VALUE"""),"Флексопечать")</f>
        <v>Флексопечать</v>
      </c>
      <c r="I355" s="338" t="str">
        <f>IFERROR(__xludf.DUMMYFUNCTION("""COMPUTED_VALUE"""),"Bg-330")</f>
        <v>Bg-330</v>
      </c>
      <c r="J355" s="536" t="str">
        <f>IFERROR(__xludf.DUMMYFUNCTION("""COMPUTED_VALUE"""),"Бальзам 15000 шт, шампунь 20000 шт")</f>
        <v>Бальзам 15000 шт, шампунь 20000 шт</v>
      </c>
      <c r="K355" s="537">
        <f>IFERROR(__xludf.DUMMYFUNCTION("""COMPUTED_VALUE"""),46164.0)</f>
        <v>46164</v>
      </c>
      <c r="L355" s="537"/>
      <c r="M355" s="338" t="str">
        <f>IFERROR(__xludf.DUMMYFUNCTION("""COMPUTED_VALUE"""),"Пленка метализированная акрил")</f>
        <v>Пленка метализированная акрил</v>
      </c>
      <c r="N355" s="338" t="str">
        <f>IFERROR(__xludf.DUMMYFUNCTION("""COMPUTED_VALUE"""),"Отгружен")</f>
        <v>Отгружен</v>
      </c>
      <c r="O355" s="537"/>
      <c r="P355" s="338" t="str">
        <f>IFERROR(__xludf.DUMMYFUNCTION("""COMPUTED_VALUE"""),"Приладка в раб дни до 17:30 как обычно")</f>
        <v>Приладка в раб дни до 17:30 как обычно</v>
      </c>
      <c r="Q355" s="338" t="str">
        <f>IFERROR(__xludf.DUMMYFUNCTION("""COMPUTED_VALUE"""),"Сама заказываю ТК")</f>
        <v>Сама заказываю ТК</v>
      </c>
      <c r="R355" s="338"/>
      <c r="S355" s="338"/>
      <c r="T355" s="338"/>
      <c r="U355" s="338"/>
      <c r="V355" s="338"/>
      <c r="W355" s="338"/>
      <c r="X355" s="338"/>
      <c r="Y355" s="338"/>
      <c r="Z355" s="338"/>
    </row>
    <row r="356" ht="22.5" customHeight="1">
      <c r="A356" s="528" t="str">
        <f>IFERROR(__xludf.DUMMYFUNCTION("""COMPUTED_VALUE"""),"ООО Кристель")</f>
        <v>ООО Кристель</v>
      </c>
      <c r="B356" s="528"/>
      <c r="C356" s="528" t="str">
        <f>IFERROR(__xludf.DUMMYFUNCTION("""COMPUTED_VALUE"""),"Этикетка Bez Tarelok")</f>
        <v>Этикетка Bez Tarelok</v>
      </c>
      <c r="D356" s="528">
        <f>IFERROR(__xludf.DUMMYFUNCTION("""COMPUTED_VALUE"""),2775.0)</f>
        <v>2775</v>
      </c>
      <c r="E356" s="528" t="str">
        <f>IFERROR(__xludf.DUMMYFUNCTION("""COMPUTED_VALUE"""),"Шаповалова Юлия")</f>
        <v>Шаповалова Юлия</v>
      </c>
      <c r="F356" s="535" t="str">
        <f>IFERROR(__xludf.DUMMYFUNCTION("""COMPUTED_VALUE"""),"Новая")</f>
        <v>Новая</v>
      </c>
      <c r="G356" s="536" t="str">
        <f>IFERROR(__xludf.DUMMYFUNCTION("""COMPUTED_VALUE"""),"20*250")</f>
        <v>20*250</v>
      </c>
      <c r="H356" s="338" t="str">
        <f>IFERROR(__xludf.DUMMYFUNCTION("""COMPUTED_VALUE"""),"Флексопечать")</f>
        <v>Флексопечать</v>
      </c>
      <c r="I356" s="338" t="str">
        <f>IFERROR(__xludf.DUMMYFUNCTION("""COMPUTED_VALUE"""),"G-200")</f>
        <v>G-200</v>
      </c>
      <c r="J356" s="536">
        <f>IFERROR(__xludf.DUMMYFUNCTION("""COMPUTED_VALUE"""),5000.0)</f>
        <v>5000</v>
      </c>
      <c r="K356" s="537">
        <f>IFERROR(__xludf.DUMMYFUNCTION("""COMPUTED_VALUE"""),46174.0)</f>
        <v>46174</v>
      </c>
      <c r="L356" s="537"/>
      <c r="M356" s="338" t="str">
        <f>IFERROR(__xludf.DUMMYFUNCTION("""COMPUTED_VALUE"""),"Пленка PP прозрачная")</f>
        <v>Пленка PP прозрачная</v>
      </c>
      <c r="N356" s="338" t="str">
        <f>IFERROR(__xludf.DUMMYFUNCTION("""COMPUTED_VALUE"""),"Отгружен")</f>
        <v>Отгружен</v>
      </c>
      <c r="O356" s="537"/>
      <c r="P356" s="338"/>
      <c r="Q356" s="338" t="str">
        <f>IFERROR(__xludf.DUMMYFUNCTION("""COMPUTED_VALUE"""),"г. Москва, 63-й км. МКАД, р-н Строгино, ул. Маршала Прошлякова, д. 26, корп. 3, стр. 6. тел.+7(926) 554-87-33 Екатерина с 9.00 до 16.00")</f>
        <v>г. Москва, 63-й км. МКАД, р-н Строгино, ул. Маршала Прошлякова, д. 26, корп. 3, стр. 6. тел.+7(926) 554-87-33 Екатерина с 9.00 до 16.00</v>
      </c>
      <c r="R356" s="338"/>
      <c r="S356" s="338"/>
      <c r="T356" s="338"/>
      <c r="U356" s="338"/>
      <c r="V356" s="338"/>
      <c r="W356" s="338"/>
      <c r="X356" s="338"/>
      <c r="Y356" s="338"/>
      <c r="Z356" s="338"/>
    </row>
    <row r="357" ht="22.5" customHeight="1">
      <c r="A357" s="528" t="str">
        <f>IFERROR(__xludf.DUMMYFUNCTION("""COMPUTED_VALUE"""),"ИП Шайхутдинов")</f>
        <v>ИП Шайхутдинов</v>
      </c>
      <c r="B357" s="528"/>
      <c r="C357" s="528" t="str">
        <f>IFERROR(__xludf.DUMMYFUNCTION("""COMPUTED_VALUE"""),"Этикетка альбумин 100мг 52х270 мм")</f>
        <v>Этикетка альбумин 100мг 52х270 мм</v>
      </c>
      <c r="D357" s="528">
        <f>IFERROR(__xludf.DUMMYFUNCTION("""COMPUTED_VALUE"""),2753.0)</f>
        <v>2753</v>
      </c>
      <c r="E357" s="528" t="str">
        <f>IFERROR(__xludf.DUMMYFUNCTION("""COMPUTED_VALUE"""),"Шаповалов Дмитрий")</f>
        <v>Шаповалов Дмитрий</v>
      </c>
      <c r="F357" s="535" t="str">
        <f>IFERROR(__xludf.DUMMYFUNCTION("""COMPUTED_VALUE"""),"Новая")</f>
        <v>Новая</v>
      </c>
      <c r="G357" s="536" t="str">
        <f>IFERROR(__xludf.DUMMYFUNCTION("""COMPUTED_VALUE"""),"52*270")</f>
        <v>52*270</v>
      </c>
      <c r="H357" s="338" t="str">
        <f>IFERROR(__xludf.DUMMYFUNCTION("""COMPUTED_VALUE"""),"Флексопечать")</f>
        <v>Флексопечать</v>
      </c>
      <c r="I357" s="338" t="str">
        <f>IFERROR(__xludf.DUMMYFUNCTION("""COMPUTED_VALUE"""),"Bg-330")</f>
        <v>Bg-330</v>
      </c>
      <c r="J357" s="536">
        <f>IFERROR(__xludf.DUMMYFUNCTION("""COMPUTED_VALUE"""),10000.0)</f>
        <v>10000</v>
      </c>
      <c r="K357" s="537">
        <f>IFERROR(__xludf.DUMMYFUNCTION("""COMPUTED_VALUE"""),46170.0)</f>
        <v>46170</v>
      </c>
      <c r="L357" s="537"/>
      <c r="M357" s="338" t="str">
        <f>IFERROR(__xludf.DUMMYFUNCTION("""COMPUTED_VALUE"""),"Пленка PP белая каучук")</f>
        <v>Пленка PP белая каучук</v>
      </c>
      <c r="N357" s="338" t="str">
        <f>IFERROR(__xludf.DUMMYFUNCTION("""COMPUTED_VALUE"""),"Отгружен")</f>
        <v>Отгружен</v>
      </c>
      <c r="O357" s="537"/>
      <c r="P357" s="338"/>
      <c r="Q357" s="338" t="str">
        <f>IFERROR(__xludf.DUMMYFUNCTION("""COMPUTED_VALUE"""),"МО. г Королев мкр Болшево ул Советская 73 стр 1, +79265538995")</f>
        <v>МО. г Королев мкр Болшево ул Советская 73 стр 1, +79265538995</v>
      </c>
      <c r="R357" s="338"/>
      <c r="S357" s="338"/>
      <c r="T357" s="338"/>
      <c r="U357" s="338"/>
      <c r="V357" s="338"/>
      <c r="W357" s="338"/>
      <c r="X357" s="338"/>
      <c r="Y357" s="338"/>
      <c r="Z357" s="338"/>
    </row>
    <row r="358" ht="22.5" customHeight="1">
      <c r="A358" s="528" t="str">
        <f>IFERROR(__xludf.DUMMYFUNCTION("""COMPUTED_VALUE"""),"ООО""ФерЭльГам""")</f>
        <v>ООО"ФерЭльГам"</v>
      </c>
      <c r="B358" s="528"/>
      <c r="C358" s="528" t="str">
        <f>IFERROR(__xludf.DUMMYFUNCTION("""COMPUTED_VALUE"""),"470788 Капуста квашеная Кимчи по-корейски 400 г 110х110 этик.")</f>
        <v>470788 Капуста квашеная Кимчи по-корейски 400 г 110х110 этик.</v>
      </c>
      <c r="D358" s="528">
        <f>IFERROR(__xludf.DUMMYFUNCTION("""COMPUTED_VALUE"""),2780.0)</f>
        <v>2780</v>
      </c>
      <c r="E358" s="528" t="str">
        <f>IFERROR(__xludf.DUMMYFUNCTION("""COMPUTED_VALUE"""),"Баранов Александр")</f>
        <v>Баранов Александр</v>
      </c>
      <c r="F358" s="535" t="str">
        <f>IFERROR(__xludf.DUMMYFUNCTION("""COMPUTED_VALUE"""),"Новая")</f>
        <v>Новая</v>
      </c>
      <c r="G358" s="536" t="str">
        <f>IFERROR(__xludf.DUMMYFUNCTION("""COMPUTED_VALUE"""),"д110")</f>
        <v>д110</v>
      </c>
      <c r="H358" s="338" t="str">
        <f>IFERROR(__xludf.DUMMYFUNCTION("""COMPUTED_VALUE"""),"Флексопечать")</f>
        <v>Флексопечать</v>
      </c>
      <c r="I358" s="338" t="str">
        <f>IFERROR(__xludf.DUMMYFUNCTION("""COMPUTED_VALUE"""),"Wg-450")</f>
        <v>Wg-450</v>
      </c>
      <c r="J358" s="536">
        <f>IFERROR(__xludf.DUMMYFUNCTION("""COMPUTED_VALUE"""),10000.0)</f>
        <v>10000</v>
      </c>
      <c r="K358" s="537">
        <f>IFERROR(__xludf.DUMMYFUNCTION("""COMPUTED_VALUE"""),46168.0)</f>
        <v>46168</v>
      </c>
      <c r="L358" s="537"/>
      <c r="M358" s="338" t="str">
        <f>IFERROR(__xludf.DUMMYFUNCTION("""COMPUTED_VALUE"""),"Пленка PP белая каучук")</f>
        <v>Пленка PP белая каучук</v>
      </c>
      <c r="N358" s="338" t="str">
        <f>IFERROR(__xludf.DUMMYFUNCTION("""COMPUTED_VALUE"""),"Отгружен")</f>
        <v>Отгружен</v>
      </c>
      <c r="O358" s="537"/>
      <c r="P358" s="338"/>
      <c r="Q358" s="338"/>
      <c r="R358" s="338"/>
      <c r="S358" s="338"/>
      <c r="T358" s="338"/>
      <c r="U358" s="338"/>
      <c r="V358" s="338"/>
      <c r="W358" s="338"/>
      <c r="X358" s="338"/>
      <c r="Y358" s="338"/>
      <c r="Z358" s="338"/>
    </row>
    <row r="359" ht="22.5" customHeight="1">
      <c r="A359" s="528" t="str">
        <f>IFERROR(__xludf.DUMMYFUNCTION("""COMPUTED_VALUE"""),"ИП Андерсон")</f>
        <v>ИП Андерсон</v>
      </c>
      <c r="B359" s="528"/>
      <c r="C359" s="528" t="str">
        <f>IFERROR(__xludf.DUMMYFUNCTION("""COMPUTED_VALUE"""),"Этикетка Дымная мина красная 2с")</f>
        <v>Этикетка Дымная мина красная 2с</v>
      </c>
      <c r="D359" s="528">
        <f>IFERROR(__xludf.DUMMYFUNCTION("""COMPUTED_VALUE"""),2781.0)</f>
        <v>2781</v>
      </c>
      <c r="E359" s="528" t="str">
        <f>IFERROR(__xludf.DUMMYFUNCTION("""COMPUTED_VALUE"""),"Шаповалова Юлия")</f>
        <v>Шаповалова Юлия</v>
      </c>
      <c r="F359" s="535" t="str">
        <f>IFERROR(__xludf.DUMMYFUNCTION("""COMPUTED_VALUE"""),"Новая")</f>
        <v>Новая</v>
      </c>
      <c r="G359" s="536" t="str">
        <f>IFERROR(__xludf.DUMMYFUNCTION("""COMPUTED_VALUE"""),"80*118")</f>
        <v>80*118</v>
      </c>
      <c r="H359" s="338" t="str">
        <f>IFERROR(__xludf.DUMMYFUNCTION("""COMPUTED_VALUE"""),"Флексопечать")</f>
        <v>Флексопечать</v>
      </c>
      <c r="I359" s="338" t="str">
        <f>IFERROR(__xludf.DUMMYFUNCTION("""COMPUTED_VALUE"""),"Bg-330")</f>
        <v>Bg-330</v>
      </c>
      <c r="J359" s="536">
        <f>IFERROR(__xludf.DUMMYFUNCTION("""COMPUTED_VALUE"""),10000.0)</f>
        <v>10000</v>
      </c>
      <c r="K359" s="537">
        <f>IFERROR(__xludf.DUMMYFUNCTION("""COMPUTED_VALUE"""),46175.0)</f>
        <v>46175</v>
      </c>
      <c r="L359" s="537"/>
      <c r="M359" s="338" t="str">
        <f>IFERROR(__xludf.DUMMYFUNCTION("""COMPUTED_VALUE"""),"Бумага полуглянец акрил")</f>
        <v>Бумага полуглянец акрил</v>
      </c>
      <c r="N359" s="338" t="str">
        <f>IFERROR(__xludf.DUMMYFUNCTION("""COMPUTED_VALUE"""),"Отгружен")</f>
        <v>Отгружен</v>
      </c>
      <c r="O359" s="537"/>
      <c r="P359" s="338" t="str">
        <f>IFERROR(__xludf.DUMMYFUNCTION("""COMPUTED_VALUE"""),"УПД")</f>
        <v>УПД</v>
      </c>
      <c r="Q359" s="338" t="str">
        <f>IFERROR(__xludf.DUMMYFUNCTION("""COMPUTED_VALUE"""),"ПЭК Ярославль, Базовая улица, 2, Получатель 
тел 79201422826")</f>
        <v>ПЭК Ярославль, Базовая улица, 2, Получатель 
тел 79201422826</v>
      </c>
      <c r="R359" s="338"/>
      <c r="S359" s="338"/>
      <c r="T359" s="338"/>
      <c r="U359" s="338"/>
      <c r="V359" s="338"/>
      <c r="W359" s="338"/>
      <c r="X359" s="338"/>
      <c r="Y359" s="338"/>
      <c r="Z359" s="338"/>
    </row>
    <row r="360" ht="22.5" customHeight="1">
      <c r="A360" s="528" t="str">
        <f>IFERROR(__xludf.DUMMYFUNCTION("""COMPUTED_VALUE"""),"ИП Андерсон")</f>
        <v>ИП Андерсон</v>
      </c>
      <c r="B360" s="528"/>
      <c r="C360" s="528" t="str">
        <f>IFERROR(__xludf.DUMMYFUNCTION("""COMPUTED_VALUE"""),"Этикетка Дымная мина белая 2с")</f>
        <v>Этикетка Дымная мина белая 2с</v>
      </c>
      <c r="D360" s="528">
        <f>IFERROR(__xludf.DUMMYFUNCTION("""COMPUTED_VALUE"""),2782.0)</f>
        <v>2782</v>
      </c>
      <c r="E360" s="528" t="str">
        <f>IFERROR(__xludf.DUMMYFUNCTION("""COMPUTED_VALUE"""),"Шаповалова Юлия")</f>
        <v>Шаповалова Юлия</v>
      </c>
      <c r="F360" s="535" t="str">
        <f>IFERROR(__xludf.DUMMYFUNCTION("""COMPUTED_VALUE"""),"Новая")</f>
        <v>Новая</v>
      </c>
      <c r="G360" s="536" t="str">
        <f>IFERROR(__xludf.DUMMYFUNCTION("""COMPUTED_VALUE"""),"80*118")</f>
        <v>80*118</v>
      </c>
      <c r="H360" s="338" t="str">
        <f>IFERROR(__xludf.DUMMYFUNCTION("""COMPUTED_VALUE"""),"Флексопечать")</f>
        <v>Флексопечать</v>
      </c>
      <c r="I360" s="338" t="str">
        <f>IFERROR(__xludf.DUMMYFUNCTION("""COMPUTED_VALUE"""),"Bg-330")</f>
        <v>Bg-330</v>
      </c>
      <c r="J360" s="536">
        <f>IFERROR(__xludf.DUMMYFUNCTION("""COMPUTED_VALUE"""),10000.0)</f>
        <v>10000</v>
      </c>
      <c r="K360" s="537">
        <f>IFERROR(__xludf.DUMMYFUNCTION("""COMPUTED_VALUE"""),46175.0)</f>
        <v>46175</v>
      </c>
      <c r="L360" s="537"/>
      <c r="M360" s="338" t="str">
        <f>IFERROR(__xludf.DUMMYFUNCTION("""COMPUTED_VALUE"""),"Бумага полуглянец акрил")</f>
        <v>Бумага полуглянец акрил</v>
      </c>
      <c r="N360" s="338" t="str">
        <f>IFERROR(__xludf.DUMMYFUNCTION("""COMPUTED_VALUE"""),"Отгружен")</f>
        <v>Отгружен</v>
      </c>
      <c r="O360" s="537"/>
      <c r="P360" s="338" t="str">
        <f>IFERROR(__xludf.DUMMYFUNCTION("""COMPUTED_VALUE"""),"УПД")</f>
        <v>УПД</v>
      </c>
      <c r="Q360" s="338" t="str">
        <f>IFERROR(__xludf.DUMMYFUNCTION("""COMPUTED_VALUE"""),"ПЭК Ярославль, Базовая улица, 2, Получатель 
тел 79201422826")</f>
        <v>ПЭК Ярославль, Базовая улица, 2, Получатель 
тел 79201422826</v>
      </c>
      <c r="R360" s="338"/>
      <c r="S360" s="338"/>
      <c r="T360" s="338"/>
      <c r="U360" s="338"/>
      <c r="V360" s="338"/>
      <c r="W360" s="338"/>
      <c r="X360" s="338"/>
      <c r="Y360" s="338"/>
      <c r="Z360" s="338"/>
    </row>
    <row r="361" ht="22.5" customHeight="1">
      <c r="A361" s="528" t="str">
        <f>IFERROR(__xludf.DUMMYFUNCTION("""COMPUTED_VALUE"""),"ИП Андерсон")</f>
        <v>ИП Андерсон</v>
      </c>
      <c r="B361" s="528"/>
      <c r="C361" s="528" t="str">
        <f>IFERROR(__xludf.DUMMYFUNCTION("""COMPUTED_VALUE"""),"Этикетка Дымная мина синяя 2с")</f>
        <v>Этикетка Дымная мина синяя 2с</v>
      </c>
      <c r="D361" s="528">
        <f>IFERROR(__xludf.DUMMYFUNCTION("""COMPUTED_VALUE"""),2783.0)</f>
        <v>2783</v>
      </c>
      <c r="E361" s="528" t="str">
        <f>IFERROR(__xludf.DUMMYFUNCTION("""COMPUTED_VALUE"""),"Шаповалова Юлия")</f>
        <v>Шаповалова Юлия</v>
      </c>
      <c r="F361" s="535" t="str">
        <f>IFERROR(__xludf.DUMMYFUNCTION("""COMPUTED_VALUE"""),"Новая")</f>
        <v>Новая</v>
      </c>
      <c r="G361" s="536" t="str">
        <f>IFERROR(__xludf.DUMMYFUNCTION("""COMPUTED_VALUE"""),"80*118")</f>
        <v>80*118</v>
      </c>
      <c r="H361" s="338" t="str">
        <f>IFERROR(__xludf.DUMMYFUNCTION("""COMPUTED_VALUE"""),"Флексопечать")</f>
        <v>Флексопечать</v>
      </c>
      <c r="I361" s="338" t="str">
        <f>IFERROR(__xludf.DUMMYFUNCTION("""COMPUTED_VALUE"""),"Bg-330")</f>
        <v>Bg-330</v>
      </c>
      <c r="J361" s="536">
        <f>IFERROR(__xludf.DUMMYFUNCTION("""COMPUTED_VALUE"""),10000.0)</f>
        <v>10000</v>
      </c>
      <c r="K361" s="537">
        <f>IFERROR(__xludf.DUMMYFUNCTION("""COMPUTED_VALUE"""),46175.0)</f>
        <v>46175</v>
      </c>
      <c r="L361" s="537"/>
      <c r="M361" s="338" t="str">
        <f>IFERROR(__xludf.DUMMYFUNCTION("""COMPUTED_VALUE"""),"Бумага полуглянец акрил")</f>
        <v>Бумага полуглянец акрил</v>
      </c>
      <c r="N361" s="338" t="str">
        <f>IFERROR(__xludf.DUMMYFUNCTION("""COMPUTED_VALUE"""),"Отгружен")</f>
        <v>Отгружен</v>
      </c>
      <c r="O361" s="537"/>
      <c r="P361" s="338" t="str">
        <f>IFERROR(__xludf.DUMMYFUNCTION("""COMPUTED_VALUE"""),"УПД")</f>
        <v>УПД</v>
      </c>
      <c r="Q361" s="338" t="str">
        <f>IFERROR(__xludf.DUMMYFUNCTION("""COMPUTED_VALUE"""),"ПЭК Ярославль, Базовая улица, 2, Получатель 
тел 79201422826")</f>
        <v>ПЭК Ярославль, Базовая улица, 2, Получатель 
тел 79201422826</v>
      </c>
      <c r="R361" s="338"/>
      <c r="S361" s="338"/>
      <c r="T361" s="338"/>
      <c r="U361" s="338"/>
      <c r="V361" s="338"/>
      <c r="W361" s="338"/>
      <c r="X361" s="338"/>
      <c r="Y361" s="338"/>
      <c r="Z361" s="338"/>
    </row>
    <row r="362" ht="22.5" customHeight="1">
      <c r="A362" s="528" t="str">
        <f>IFERROR(__xludf.DUMMYFUNCTION("""COMPUTED_VALUE"""),"ООО""ФерЭльГам""")</f>
        <v>ООО"ФерЭльГам"</v>
      </c>
      <c r="B362" s="528"/>
      <c r="C362" s="528" t="str">
        <f>IFERROR(__xludf.DUMMYFUNCTION("""COMPUTED_VALUE"""),"470436 Огурцы соленые острые 500 г этик.")</f>
        <v>470436 Огурцы соленые острые 500 г этик.</v>
      </c>
      <c r="D362" s="528">
        <f>IFERROR(__xludf.DUMMYFUNCTION("""COMPUTED_VALUE"""),2788.0)</f>
        <v>2788</v>
      </c>
      <c r="E362" s="528" t="str">
        <f>IFERROR(__xludf.DUMMYFUNCTION("""COMPUTED_VALUE"""),"Баранов Александр")</f>
        <v>Баранов Александр</v>
      </c>
      <c r="F362" s="535" t="str">
        <f>IFERROR(__xludf.DUMMYFUNCTION("""COMPUTED_VALUE"""),"Новая")</f>
        <v>Новая</v>
      </c>
      <c r="G362" s="536" t="str">
        <f>IFERROR(__xludf.DUMMYFUNCTION("""COMPUTED_VALUE"""),"д110")</f>
        <v>д110</v>
      </c>
      <c r="H362" s="338" t="str">
        <f>IFERROR(__xludf.DUMMYFUNCTION("""COMPUTED_VALUE"""),"Флексопечать")</f>
        <v>Флексопечать</v>
      </c>
      <c r="I362" s="338" t="str">
        <f>IFERROR(__xludf.DUMMYFUNCTION("""COMPUTED_VALUE"""),"Wg-450")</f>
        <v>Wg-450</v>
      </c>
      <c r="J362" s="536">
        <f>IFERROR(__xludf.DUMMYFUNCTION("""COMPUTED_VALUE"""),10000.0)</f>
        <v>10000</v>
      </c>
      <c r="K362" s="537">
        <f>IFERROR(__xludf.DUMMYFUNCTION("""COMPUTED_VALUE"""),46168.0)</f>
        <v>46168</v>
      </c>
      <c r="L362" s="537"/>
      <c r="M362" s="338" t="str">
        <f>IFERROR(__xludf.DUMMYFUNCTION("""COMPUTED_VALUE"""),"Пленка PP белая каучук")</f>
        <v>Пленка PP белая каучук</v>
      </c>
      <c r="N362" s="338" t="str">
        <f>IFERROR(__xludf.DUMMYFUNCTION("""COMPUTED_VALUE"""),"Отгружен")</f>
        <v>Отгружен</v>
      </c>
      <c r="O362" s="537"/>
      <c r="P362" s="338"/>
      <c r="Q362" s="338">
        <f>IFERROR(__xludf.DUMMYFUNCTION("""COMPUTED_VALUE"""),10000.0)</f>
        <v>10000</v>
      </c>
      <c r="R362" s="338"/>
      <c r="S362" s="338"/>
      <c r="T362" s="338"/>
      <c r="U362" s="338"/>
      <c r="V362" s="338"/>
      <c r="W362" s="338"/>
      <c r="X362" s="338"/>
      <c r="Y362" s="338"/>
      <c r="Z362" s="338"/>
    </row>
    <row r="363" ht="22.5" customHeight="1">
      <c r="A363" s="528" t="str">
        <f>IFERROR(__xludf.DUMMYFUNCTION("""COMPUTED_VALUE"""),"ООО""ФерЭльГам""")</f>
        <v>ООО"ФерЭльГам"</v>
      </c>
      <c r="B363" s="528"/>
      <c r="C363" s="528" t="str">
        <f>IFERROR(__xludf.DUMMYFUNCTION("""COMPUTED_VALUE"""),"470238 Капуста квашеная с морковью 300 г этик.")</f>
        <v>470238 Капуста квашеная с морковью 300 г этик.</v>
      </c>
      <c r="D363" s="528">
        <f>IFERROR(__xludf.DUMMYFUNCTION("""COMPUTED_VALUE"""),2789.0)</f>
        <v>2789</v>
      </c>
      <c r="E363" s="528" t="str">
        <f>IFERROR(__xludf.DUMMYFUNCTION("""COMPUTED_VALUE"""),"Баранов Александр")</f>
        <v>Баранов Александр</v>
      </c>
      <c r="F363" s="535" t="str">
        <f>IFERROR(__xludf.DUMMYFUNCTION("""COMPUTED_VALUE"""),"Новая")</f>
        <v>Новая</v>
      </c>
      <c r="G363" s="536" t="str">
        <f>IFERROR(__xludf.DUMMYFUNCTION("""COMPUTED_VALUE"""),"д110")</f>
        <v>д110</v>
      </c>
      <c r="H363" s="338" t="str">
        <f>IFERROR(__xludf.DUMMYFUNCTION("""COMPUTED_VALUE"""),"Флексопечать")</f>
        <v>Флексопечать</v>
      </c>
      <c r="I363" s="338" t="str">
        <f>IFERROR(__xludf.DUMMYFUNCTION("""COMPUTED_VALUE"""),"Wg-450")</f>
        <v>Wg-450</v>
      </c>
      <c r="J363" s="536">
        <f>IFERROR(__xludf.DUMMYFUNCTION("""COMPUTED_VALUE"""),20000.0)</f>
        <v>20000</v>
      </c>
      <c r="K363" s="537">
        <f>IFERROR(__xludf.DUMMYFUNCTION("""COMPUTED_VALUE"""),46168.0)</f>
        <v>46168</v>
      </c>
      <c r="L363" s="537"/>
      <c r="M363" s="338" t="str">
        <f>IFERROR(__xludf.DUMMYFUNCTION("""COMPUTED_VALUE"""),"Пленка PP белая каучук")</f>
        <v>Пленка PP белая каучук</v>
      </c>
      <c r="N363" s="338" t="str">
        <f>IFERROR(__xludf.DUMMYFUNCTION("""COMPUTED_VALUE"""),"Отгружен")</f>
        <v>Отгружен</v>
      </c>
      <c r="O363" s="537"/>
      <c r="P363" s="338"/>
      <c r="Q363" s="338">
        <f>IFERROR(__xludf.DUMMYFUNCTION("""COMPUTED_VALUE"""),20000.0)</f>
        <v>20000</v>
      </c>
      <c r="R363" s="338"/>
      <c r="S363" s="338"/>
      <c r="T363" s="338"/>
      <c r="U363" s="338"/>
      <c r="V363" s="338"/>
      <c r="W363" s="338"/>
      <c r="X363" s="338"/>
      <c r="Y363" s="338"/>
      <c r="Z363" s="338"/>
    </row>
    <row r="364" ht="22.5" customHeight="1">
      <c r="A364" s="528" t="str">
        <f>IFERROR(__xludf.DUMMYFUNCTION("""COMPUTED_VALUE"""),"ОЗОН ВКУС")</f>
        <v>ОЗОН ВКУС</v>
      </c>
      <c r="B364" s="528"/>
      <c r="C364" s="528" t="str">
        <f>IFERROR(__xludf.DUMMYFUNCTION("""COMPUTED_VALUE"""),"Сэндвич с курицей, печеным перцем, кремчизом, шпинатом и медом с чесноком")</f>
        <v>Сэндвич с курицей, печеным перцем, кремчизом, шпинатом и медом с чесноком</v>
      </c>
      <c r="D364" s="528">
        <f>IFERROR(__xludf.DUMMYFUNCTION("""COMPUTED_VALUE"""),2791.0)</f>
        <v>2791</v>
      </c>
      <c r="E364" s="528" t="str">
        <f>IFERROR(__xludf.DUMMYFUNCTION("""COMPUTED_VALUE"""),"Римма Лукина")</f>
        <v>Римма Лукина</v>
      </c>
      <c r="F364" s="535" t="str">
        <f>IFERROR(__xludf.DUMMYFUNCTION("""COMPUTED_VALUE"""),"Повтор с изменениями")</f>
        <v>Повтор с изменениями</v>
      </c>
      <c r="G364" s="536" t="str">
        <f>IFERROR(__xludf.DUMMYFUNCTION("""COMPUTED_VALUE"""),"87*117")</f>
        <v>87*117</v>
      </c>
      <c r="H364" s="338" t="str">
        <f>IFERROR(__xludf.DUMMYFUNCTION("""COMPUTED_VALUE"""),"Флексопечать")</f>
        <v>Флексопечать</v>
      </c>
      <c r="I364" s="338"/>
      <c r="J364" s="536">
        <f>IFERROR(__xludf.DUMMYFUNCTION("""COMPUTED_VALUE"""),10000.0)</f>
        <v>10000</v>
      </c>
      <c r="K364" s="537">
        <f>IFERROR(__xludf.DUMMYFUNCTION("""COMPUTED_VALUE"""),46176.0)</f>
        <v>46176</v>
      </c>
      <c r="L364" s="537"/>
      <c r="M364" s="338" t="str">
        <f>IFERROR(__xludf.DUMMYFUNCTION("""COMPUTED_VALUE"""),"Термоэко")</f>
        <v>Термоэко</v>
      </c>
      <c r="N364" s="338" t="str">
        <f>IFERROR(__xludf.DUMMYFUNCTION("""COMPUTED_VALUE"""),"Отгружен")</f>
        <v>Отгружен</v>
      </c>
      <c r="O364" s="537"/>
      <c r="P364" s="338" t="str">
        <f>IFERROR(__xludf.DUMMYFUNCTION("""COMPUTED_VALUE"""),"УПД не выписываем это замена ( перепечатка)")</f>
        <v>УПД не выписываем это замена ( перепечатка)</v>
      </c>
      <c r="Q364" s="338"/>
      <c r="R364" s="338"/>
      <c r="S364" s="338"/>
      <c r="T364" s="338"/>
      <c r="U364" s="338"/>
      <c r="V364" s="338"/>
      <c r="W364" s="338"/>
      <c r="X364" s="338"/>
      <c r="Y364" s="338"/>
      <c r="Z364" s="338"/>
    </row>
    <row r="365" ht="22.5" customHeight="1">
      <c r="A365" s="528" t="str">
        <f>IFERROR(__xludf.DUMMYFUNCTION("""COMPUTED_VALUE"""),"ОЗОН ВКУС")</f>
        <v>ОЗОН ВКУС</v>
      </c>
      <c r="B365" s="528"/>
      <c r="C365" s="528" t="str">
        <f>IFERROR(__xludf.DUMMYFUNCTION("""COMPUTED_VALUE"""),"Этикетка «ЯЛ Сэндвич гриль -чиз болоньезе с песто»")</f>
        <v>Этикетка «ЯЛ Сэндвич гриль -чиз болоньезе с песто»</v>
      </c>
      <c r="D365" s="528">
        <f>IFERROR(__xludf.DUMMYFUNCTION("""COMPUTED_VALUE"""),2792.0)</f>
        <v>2792</v>
      </c>
      <c r="E365" s="528" t="str">
        <f>IFERROR(__xludf.DUMMYFUNCTION("""COMPUTED_VALUE"""),"Римма Лукина")</f>
        <v>Римма Лукина</v>
      </c>
      <c r="F365" s="535" t="str">
        <f>IFERROR(__xludf.DUMMYFUNCTION("""COMPUTED_VALUE"""),"Повтор с изменениями")</f>
        <v>Повтор с изменениями</v>
      </c>
      <c r="G365" s="536" t="str">
        <f>IFERROR(__xludf.DUMMYFUNCTION("""COMPUTED_VALUE"""),"87*117")</f>
        <v>87*117</v>
      </c>
      <c r="H365" s="338" t="str">
        <f>IFERROR(__xludf.DUMMYFUNCTION("""COMPUTED_VALUE"""),"Флексопечать")</f>
        <v>Флексопечать</v>
      </c>
      <c r="I365" s="338"/>
      <c r="J365" s="536">
        <f>IFERROR(__xludf.DUMMYFUNCTION("""COMPUTED_VALUE"""),10000.0)</f>
        <v>10000</v>
      </c>
      <c r="K365" s="537">
        <f>IFERROR(__xludf.DUMMYFUNCTION("""COMPUTED_VALUE"""),46176.0)</f>
        <v>46176</v>
      </c>
      <c r="L365" s="537"/>
      <c r="M365" s="338" t="str">
        <f>IFERROR(__xludf.DUMMYFUNCTION("""COMPUTED_VALUE"""),"Термоэко")</f>
        <v>Термоэко</v>
      </c>
      <c r="N365" s="338" t="str">
        <f>IFERROR(__xludf.DUMMYFUNCTION("""COMPUTED_VALUE"""),"Отгружен")</f>
        <v>Отгружен</v>
      </c>
      <c r="O365" s="537"/>
      <c r="P365" s="338" t="str">
        <f>IFERROR(__xludf.DUMMYFUNCTION("""COMPUTED_VALUE"""),"УПД не выписываем это замена ( перепечатка)")</f>
        <v>УПД не выписываем это замена ( перепечатка)</v>
      </c>
      <c r="Q365" s="338"/>
      <c r="R365" s="338"/>
      <c r="S365" s="338"/>
      <c r="T365" s="338"/>
      <c r="U365" s="338"/>
      <c r="V365" s="338"/>
      <c r="W365" s="338"/>
      <c r="X365" s="338"/>
      <c r="Y365" s="338"/>
      <c r="Z365" s="338"/>
    </row>
    <row r="366" ht="22.5" customHeight="1">
      <c r="A366" s="528" t="str">
        <f>IFERROR(__xludf.DUMMYFUNCTION("""COMPUTED_VALUE"""),"ООО Меренга ")</f>
        <v>ООО Меренга </v>
      </c>
      <c r="B366" s="528"/>
      <c r="C366" s="528" t="str">
        <f>IFERROR(__xludf.DUMMYFUNCTION("""COMPUTED_VALUE"""),"Этикетка Бенто торт арахисовый ""из лавки""")</f>
        <v>Этикетка Бенто торт арахисовый "из лавки"</v>
      </c>
      <c r="D366" s="528">
        <f>IFERROR(__xludf.DUMMYFUNCTION("""COMPUTED_VALUE"""),2798.0)</f>
        <v>2798</v>
      </c>
      <c r="E366" s="528" t="str">
        <f>IFERROR(__xludf.DUMMYFUNCTION("""COMPUTED_VALUE"""),"Римма Лукина")</f>
        <v>Римма Лукина</v>
      </c>
      <c r="F366" s="535" t="str">
        <f>IFERROR(__xludf.DUMMYFUNCTION("""COMPUTED_VALUE"""),"Повтор")</f>
        <v>Повтор</v>
      </c>
      <c r="G366" s="536" t="str">
        <f>IFERROR(__xludf.DUMMYFUNCTION("""COMPUTED_VALUE"""),"70*185")</f>
        <v>70*185</v>
      </c>
      <c r="H366" s="338" t="str">
        <f>IFERROR(__xludf.DUMMYFUNCTION("""COMPUTED_VALUE"""),"Флексопечать")</f>
        <v>Флексопечать</v>
      </c>
      <c r="I366" s="338" t="str">
        <f>IFERROR(__xludf.DUMMYFUNCTION("""COMPUTED_VALUE"""),"Bg-330")</f>
        <v>Bg-330</v>
      </c>
      <c r="J366" s="536">
        <f>IFERROR(__xludf.DUMMYFUNCTION("""COMPUTED_VALUE"""),10000.0)</f>
        <v>10000</v>
      </c>
      <c r="K366" s="537">
        <f>IFERROR(__xludf.DUMMYFUNCTION("""COMPUTED_VALUE"""),46176.0)</f>
        <v>46176</v>
      </c>
      <c r="L366" s="537"/>
      <c r="M366" s="338" t="str">
        <f>IFERROR(__xludf.DUMMYFUNCTION("""COMPUTED_VALUE"""),"Бумага полуглянец акрил")</f>
        <v>Бумага полуглянец акрил</v>
      </c>
      <c r="N366" s="338" t="str">
        <f>IFERROR(__xludf.DUMMYFUNCTION("""COMPUTED_VALUE"""),"Отгружен")</f>
        <v>Отгружен</v>
      </c>
      <c r="O366" s="537"/>
      <c r="P366" s="338" t="str">
        <f>IFERROR(__xludf.DUMMYFUNCTION("""COMPUTED_VALUE"""),"печатаем без лака, отправить важно 04.06.26 и выложить в эдо ")</f>
        <v>печатаем без лака, отправить важно 04.06.26 и выложить в эдо </v>
      </c>
      <c r="Q366" s="338"/>
      <c r="R366" s="338"/>
      <c r="S366" s="338"/>
      <c r="T366" s="338"/>
      <c r="U366" s="338"/>
      <c r="V366" s="338"/>
      <c r="W366" s="338"/>
      <c r="X366" s="338"/>
      <c r="Y366" s="338"/>
      <c r="Z366" s="338"/>
    </row>
    <row r="367" ht="22.5" customHeight="1">
      <c r="A367" s="528" t="str">
        <f>IFERROR(__xludf.DUMMYFUNCTION("""COMPUTED_VALUE"""),"ООО «Ставропольский бройлер»")</f>
        <v>ООО «Ставропольский бройлер»</v>
      </c>
      <c r="B367" s="528"/>
      <c r="C367" s="528" t="str">
        <f>IFERROR(__xludf.DUMMYFUNCTION("""COMPUTED_VALUE"""),"58*75 Ресурс (охлажденка)")</f>
        <v>58*75 Ресурс (охлажденка)</v>
      </c>
      <c r="D367" s="528" t="str">
        <f>IFERROR(__xludf.DUMMYFUNCTION("""COMPUTED_VALUE"""),"2713/2716")</f>
        <v>2713/2716</v>
      </c>
      <c r="E367" s="528" t="str">
        <f>IFERROR(__xludf.DUMMYFUNCTION("""COMPUTED_VALUE"""),"Шаповалова Юлия")</f>
        <v>Шаповалова Юлия</v>
      </c>
      <c r="F367" s="535" t="str">
        <f>IFERROR(__xludf.DUMMYFUNCTION("""COMPUTED_VALUE"""),"ТЕСТ")</f>
        <v>ТЕСТ</v>
      </c>
      <c r="G367" s="536" t="str">
        <f>IFERROR(__xludf.DUMMYFUNCTION("""COMPUTED_VALUE"""),"58*75")</f>
        <v>58*75</v>
      </c>
      <c r="H367" s="338" t="str">
        <f>IFERROR(__xludf.DUMMYFUNCTION("""COMPUTED_VALUE"""),"Флексопечать")</f>
        <v>Флексопечать</v>
      </c>
      <c r="I367" s="338" t="str">
        <f>IFERROR(__xludf.DUMMYFUNCTION("""COMPUTED_VALUE"""),"Wg-450")</f>
        <v>Wg-450</v>
      </c>
      <c r="J367" s="536" t="str">
        <f>IFERROR(__xludf.DUMMYFUNCTION("""COMPUTED_VALUE"""),"100-200")</f>
        <v>100-200</v>
      </c>
      <c r="K367" s="537">
        <f>IFERROR(__xludf.DUMMYFUNCTION("""COMPUTED_VALUE"""),46160.0)</f>
        <v>46160</v>
      </c>
      <c r="L367" s="537"/>
      <c r="M367" s="338" t="str">
        <f>IFERROR(__xludf.DUMMYFUNCTION("""COMPUTED_VALUE"""),"Термо Топ")</f>
        <v>Термо Топ</v>
      </c>
      <c r="N367" s="338" t="str">
        <f>IFERROR(__xludf.DUMMYFUNCTION("""COMPUTED_VALUE"""),"Отгружен")</f>
        <v>Отгружен</v>
      </c>
      <c r="O367" s="537"/>
      <c r="P367" s="338" t="str">
        <f>IFERROR(__xludf.DUMMYFUNCTION("""COMPUTED_VALUE"""),"паспорт качества, УПД пустая")</f>
        <v>паспорт качества, УПД пустая</v>
      </c>
      <c r="Q367" s="338" t="str">
        <f>IFERROR(__xludf.DUMMYFUNCTION("""COMPUTED_VALUE"""),"ООО «Ставропольский бройлер» филиал «Мясоптицекомбинат «Невинномысский», расположенный по адресу: 357111, Ставропольский край, г. Невинномысск, ул. Матросова 10, КПП 264843001; Евглевская Елена 8-928-374-68-62")</f>
        <v>ООО «Ставропольский бройлер» филиал «Мясоптицекомбинат «Невинномысский», расположенный по адресу: 357111, Ставропольский край, г. Невинномысск, ул. Матросова 10, КПП 264843001; Евглевская Елена 8-928-374-68-62</v>
      </c>
      <c r="R367" s="338"/>
      <c r="S367" s="338"/>
      <c r="T367" s="338"/>
      <c r="U367" s="338"/>
      <c r="V367" s="338"/>
      <c r="W367" s="338"/>
      <c r="X367" s="338"/>
      <c r="Y367" s="338"/>
      <c r="Z367" s="338"/>
    </row>
    <row r="368" ht="22.5" customHeight="1">
      <c r="A368" s="528" t="str">
        <f>IFERROR(__xludf.DUMMYFUNCTION("""COMPUTED_VALUE"""),"ООО «Ставропольский бройлер»")</f>
        <v>ООО «Ставропольский бройлер»</v>
      </c>
      <c r="B368" s="528"/>
      <c r="C368" s="528" t="str">
        <f>IFERROR(__xludf.DUMMYFUNCTION("""COMPUTED_VALUE"""),"56*75 Ресурс мультияз. (заморозка)")</f>
        <v>56*75 Ресурс мультияз. (заморозка)</v>
      </c>
      <c r="D368" s="528" t="str">
        <f>IFERROR(__xludf.DUMMYFUNCTION("""COMPUTED_VALUE"""),"2714/2717")</f>
        <v>2714/2717</v>
      </c>
      <c r="E368" s="528" t="str">
        <f>IFERROR(__xludf.DUMMYFUNCTION("""COMPUTED_VALUE"""),"Шаповалова Юлия")</f>
        <v>Шаповалова Юлия</v>
      </c>
      <c r="F368" s="535" t="str">
        <f>IFERROR(__xludf.DUMMYFUNCTION("""COMPUTED_VALUE"""),"ТЕСТ")</f>
        <v>ТЕСТ</v>
      </c>
      <c r="G368" s="536" t="str">
        <f>IFERROR(__xludf.DUMMYFUNCTION("""COMPUTED_VALUE"""),"56*75")</f>
        <v>56*75</v>
      </c>
      <c r="H368" s="338" t="str">
        <f>IFERROR(__xludf.DUMMYFUNCTION("""COMPUTED_VALUE"""),"Флексопечать")</f>
        <v>Флексопечать</v>
      </c>
      <c r="I368" s="338" t="str">
        <f>IFERROR(__xludf.DUMMYFUNCTION("""COMPUTED_VALUE"""),"Wg-450")</f>
        <v>Wg-450</v>
      </c>
      <c r="J368" s="536" t="str">
        <f>IFERROR(__xludf.DUMMYFUNCTION("""COMPUTED_VALUE"""),"100-200")</f>
        <v>100-200</v>
      </c>
      <c r="K368" s="537">
        <f>IFERROR(__xludf.DUMMYFUNCTION("""COMPUTED_VALUE"""),46160.0)</f>
        <v>46160</v>
      </c>
      <c r="L368" s="537"/>
      <c r="M368" s="338" t="str">
        <f>IFERROR(__xludf.DUMMYFUNCTION("""COMPUTED_VALUE"""),"Термо Топ для глубокой заморозки")</f>
        <v>Термо Топ для глубокой заморозки</v>
      </c>
      <c r="N368" s="338" t="str">
        <f>IFERROR(__xludf.DUMMYFUNCTION("""COMPUTED_VALUE"""),"Отгружен")</f>
        <v>Отгружен</v>
      </c>
      <c r="O368" s="537"/>
      <c r="P368" s="338" t="str">
        <f>IFERROR(__xludf.DUMMYFUNCTION("""COMPUTED_VALUE"""),"паспорт качества, УПД пустая")</f>
        <v>паспорт качества, УПД пустая</v>
      </c>
      <c r="Q368" s="338" t="str">
        <f>IFERROR(__xludf.DUMMYFUNCTION("""COMPUTED_VALUE"""),"ООО «Ставропольский бройлер» филиал «Мясоптицекомбинат «Невинномысский», расположенный по адресу: 357111, Ставропольский край, г. Невинномысск, ул. Матросова 10, КПП 264843001; Евглевская Елена 8-928-374-68-62")</f>
        <v>ООО «Ставропольский бройлер» филиал «Мясоптицекомбинат «Невинномысский», расположенный по адресу: 357111, Ставропольский край, г. Невинномысск, ул. Матросова 10, КПП 264843001; Евглевская Елена 8-928-374-68-62</v>
      </c>
      <c r="R368" s="338"/>
      <c r="S368" s="338"/>
      <c r="T368" s="338"/>
      <c r="U368" s="338"/>
      <c r="V368" s="338"/>
      <c r="W368" s="338"/>
      <c r="X368" s="338"/>
      <c r="Y368" s="338"/>
      <c r="Z368" s="338"/>
    </row>
    <row r="369" ht="22.5" customHeight="1">
      <c r="A369" s="528" t="str">
        <f>IFERROR(__xludf.DUMMYFUNCTION("""COMPUTED_VALUE"""),"ООО «Ставропольский бройлер»")</f>
        <v>ООО «Ставропольский бройлер»</v>
      </c>
      <c r="B369" s="528"/>
      <c r="C369" s="528" t="str">
        <f>IFERROR(__xludf.DUMMYFUNCTION("""COMPUTED_VALUE"""),"60*140 Термотоп пустышка (заморозка)")</f>
        <v>60*140 Термотоп пустышка (заморозка)</v>
      </c>
      <c r="D369" s="528" t="str">
        <f>IFERROR(__xludf.DUMMYFUNCTION("""COMPUTED_VALUE"""),"2715/2718")</f>
        <v>2715/2718</v>
      </c>
      <c r="E369" s="528" t="str">
        <f>IFERROR(__xludf.DUMMYFUNCTION("""COMPUTED_VALUE"""),"Шаповалова Юлия")</f>
        <v>Шаповалова Юлия</v>
      </c>
      <c r="F369" s="535" t="str">
        <f>IFERROR(__xludf.DUMMYFUNCTION("""COMPUTED_VALUE"""),"ТЕСТ")</f>
        <v>ТЕСТ</v>
      </c>
      <c r="G369" s="536" t="str">
        <f>IFERROR(__xludf.DUMMYFUNCTION("""COMPUTED_VALUE"""),"60*140")</f>
        <v>60*140</v>
      </c>
      <c r="H369" s="338" t="str">
        <f>IFERROR(__xludf.DUMMYFUNCTION("""COMPUTED_VALUE"""),"Флексопечать")</f>
        <v>Флексопечать</v>
      </c>
      <c r="I369" s="338" t="str">
        <f>IFERROR(__xludf.DUMMYFUNCTION("""COMPUTED_VALUE"""),"Wg-450")</f>
        <v>Wg-450</v>
      </c>
      <c r="J369" s="536" t="str">
        <f>IFERROR(__xludf.DUMMYFUNCTION("""COMPUTED_VALUE"""),"100-200")</f>
        <v>100-200</v>
      </c>
      <c r="K369" s="537">
        <f>IFERROR(__xludf.DUMMYFUNCTION("""COMPUTED_VALUE"""),46160.0)</f>
        <v>46160</v>
      </c>
      <c r="L369" s="537"/>
      <c r="M369" s="338" t="str">
        <f>IFERROR(__xludf.DUMMYFUNCTION("""COMPUTED_VALUE"""),"Термо Топ для глубокой заморозки")</f>
        <v>Термо Топ для глубокой заморозки</v>
      </c>
      <c r="N369" s="338" t="str">
        <f>IFERROR(__xludf.DUMMYFUNCTION("""COMPUTED_VALUE"""),"Отгружен")</f>
        <v>Отгружен</v>
      </c>
      <c r="O369" s="537"/>
      <c r="P369" s="338" t="str">
        <f>IFERROR(__xludf.DUMMYFUNCTION("""COMPUTED_VALUE"""),"паспорт качества, УПД пустая")</f>
        <v>паспорт качества, УПД пустая</v>
      </c>
      <c r="Q369" s="338" t="str">
        <f>IFERROR(__xludf.DUMMYFUNCTION("""COMPUTED_VALUE"""),"ООО «Ставропольский бройлер» филиал «Мясоптицекомбинат «Невинномысский», расположенный по адресу: 357111, Ставропольский край, г. Невинномысск, ул. Матросова 10, КПП 264843001; Евглевская Елена 8-928-374-68-62")</f>
        <v>ООО «Ставропольский бройлер» филиал «Мясоптицекомбинат «Невинномысский», расположенный по адресу: 357111, Ставропольский край, г. Невинномысск, ул. Матросова 10, КПП 264843001; Евглевская Елена 8-928-374-68-62</v>
      </c>
      <c r="R369" s="338"/>
      <c r="S369" s="338"/>
      <c r="T369" s="338"/>
      <c r="U369" s="338"/>
      <c r="V369" s="338"/>
      <c r="W369" s="338"/>
      <c r="X369" s="338"/>
      <c r="Y369" s="338"/>
      <c r="Z369" s="338"/>
    </row>
    <row r="370" ht="22.5" customHeight="1">
      <c r="A370" s="528" t="str">
        <f>IFERROR(__xludf.DUMMYFUNCTION("""COMPUTED_VALUE"""),"ООО Меренга ")</f>
        <v>ООО Меренга </v>
      </c>
      <c r="B370" s="528"/>
      <c r="C370" s="528" t="str">
        <f>IFERROR(__xludf.DUMMYFUNCTION("""COMPUTED_VALUE"""),"Этикетка Бенто торт арахисовый ""из лавки""")</f>
        <v>Этикетка Бенто торт арахисовый "из лавки"</v>
      </c>
      <c r="D370" s="528">
        <f>IFERROR(__xludf.DUMMYFUNCTION("""COMPUTED_VALUE"""),2798.0)</f>
        <v>2798</v>
      </c>
      <c r="E370" s="528" t="str">
        <f>IFERROR(__xludf.DUMMYFUNCTION("""COMPUTED_VALUE"""),"Римма Лукина")</f>
        <v>Римма Лукина</v>
      </c>
      <c r="F370" s="535" t="str">
        <f>IFERROR(__xludf.DUMMYFUNCTION("""COMPUTED_VALUE"""),"Повтор, ТЕСТ")</f>
        <v>Повтор, ТЕСТ</v>
      </c>
      <c r="G370" s="536" t="str">
        <f>IFERROR(__xludf.DUMMYFUNCTION("""COMPUTED_VALUE"""),"70*158")</f>
        <v>70*158</v>
      </c>
      <c r="H370" s="338" t="str">
        <f>IFERROR(__xludf.DUMMYFUNCTION("""COMPUTED_VALUE"""),"Флексопечать")</f>
        <v>Флексопечать</v>
      </c>
      <c r="I370" s="338" t="str">
        <f>IFERROR(__xludf.DUMMYFUNCTION("""COMPUTED_VALUE"""),"Bg-330")</f>
        <v>Bg-330</v>
      </c>
      <c r="J370" s="536" t="str">
        <f>IFERROR(__xludf.DUMMYFUNCTION("""COMPUTED_VALUE"""),"10-20")</f>
        <v>10-20</v>
      </c>
      <c r="K370" s="537">
        <f>IFERROR(__xludf.DUMMYFUNCTION("""COMPUTED_VALUE"""),46176.0)</f>
        <v>46176</v>
      </c>
      <c r="L370" s="537"/>
      <c r="M370" s="338" t="str">
        <f>IFERROR(__xludf.DUMMYFUNCTION("""COMPUTED_VALUE"""),"Термоэко")</f>
        <v>Термоэко</v>
      </c>
      <c r="N370" s="338" t="str">
        <f>IFERROR(__xludf.DUMMYFUNCTION("""COMPUTED_VALUE"""),"Отгружен")</f>
        <v>Отгружен</v>
      </c>
      <c r="O370" s="537"/>
      <c r="P370" s="338" t="str">
        <f>IFERROR(__xludf.DUMMYFUNCTION("""COMPUTED_VALUE"""),"это с темиже формами только на термо эко. Им нужно тестировать матерал на принтере")</f>
        <v>это с темиже формами только на термо эко. Им нужно тестировать матерал на принтере</v>
      </c>
      <c r="Q370" s="338"/>
      <c r="R370" s="338"/>
      <c r="S370" s="338"/>
      <c r="T370" s="338"/>
      <c r="U370" s="338"/>
      <c r="V370" s="338"/>
      <c r="W370" s="338"/>
      <c r="X370" s="338"/>
      <c r="Y370" s="338"/>
      <c r="Z370" s="338"/>
    </row>
    <row r="371" ht="22.5" customHeight="1">
      <c r="A371" s="528" t="str">
        <f>IFERROR(__xludf.DUMMYFUNCTION("""COMPUTED_VALUE"""),"ООО""ФерЭльГам""")</f>
        <v>ООО"ФерЭльГам"</v>
      </c>
      <c r="B371" s="528"/>
      <c r="C371" s="528" t="str">
        <f>IFERROR(__xludf.DUMMYFUNCTION("""COMPUTED_VALUE"""),"470552 Соус Сацебели острый 240 г этик. ")</f>
        <v>470552 Соус Сацебели острый 240 г этик. </v>
      </c>
      <c r="D371" s="528">
        <f>IFERROR(__xludf.DUMMYFUNCTION("""COMPUTED_VALUE"""),2790.0)</f>
        <v>2790</v>
      </c>
      <c r="E371" s="528" t="str">
        <f>IFERROR(__xludf.DUMMYFUNCTION("""COMPUTED_VALUE"""),"Баранов Александр")</f>
        <v>Баранов Александр</v>
      </c>
      <c r="F371" s="535" t="str">
        <f>IFERROR(__xludf.DUMMYFUNCTION("""COMPUTED_VALUE"""),"Новая")</f>
        <v>Новая</v>
      </c>
      <c r="G371" s="536" t="str">
        <f>IFERROR(__xludf.DUMMYFUNCTION("""COMPUTED_VALUE"""),"60*160")</f>
        <v>60*160</v>
      </c>
      <c r="H371" s="338" t="str">
        <f>IFERROR(__xludf.DUMMYFUNCTION("""COMPUTED_VALUE"""),"Флексопечать")</f>
        <v>Флексопечать</v>
      </c>
      <c r="I371" s="338" t="str">
        <f>IFERROR(__xludf.DUMMYFUNCTION("""COMPUTED_VALUE"""),"Wg-450")</f>
        <v>Wg-450</v>
      </c>
      <c r="J371" s="536">
        <f>IFERROR(__xludf.DUMMYFUNCTION("""COMPUTED_VALUE"""),10000.0)</f>
        <v>10000</v>
      </c>
      <c r="K371" s="537">
        <f>IFERROR(__xludf.DUMMYFUNCTION("""COMPUTED_VALUE"""),46168.0)</f>
        <v>46168</v>
      </c>
      <c r="L371" s="537"/>
      <c r="M371" s="338" t="str">
        <f>IFERROR(__xludf.DUMMYFUNCTION("""COMPUTED_VALUE"""),"Пленка PP белая каучук")</f>
        <v>Пленка PP белая каучук</v>
      </c>
      <c r="N371" s="338" t="str">
        <f>IFERROR(__xludf.DUMMYFUNCTION("""COMPUTED_VALUE"""),"Отгружен")</f>
        <v>Отгружен</v>
      </c>
      <c r="O371" s="537"/>
      <c r="P371" s="338"/>
      <c r="Q371" s="338">
        <f>IFERROR(__xludf.DUMMYFUNCTION("""COMPUTED_VALUE"""),10000.0)</f>
        <v>10000</v>
      </c>
      <c r="R371" s="338"/>
      <c r="S371" s="338"/>
      <c r="T371" s="338"/>
      <c r="U371" s="338"/>
      <c r="V371" s="338"/>
      <c r="W371" s="338"/>
      <c r="X371" s="338"/>
      <c r="Y371" s="338"/>
      <c r="Z371" s="338"/>
    </row>
    <row r="372" ht="22.5" customHeight="1">
      <c r="A372" s="528" t="str">
        <f>IFERROR(__xludf.DUMMYFUNCTION("""COMPUTED_VALUE"""),"ООО""ФерЭльГам""")</f>
        <v>ООО"ФерЭльГам"</v>
      </c>
      <c r="B372" s="528"/>
      <c r="C372" s="528" t="str">
        <f>IFERROR(__xludf.DUMMYFUNCTION("""COMPUTED_VALUE"""),"450842 Капуста квашеная с морковью 450 Вкуслинка 105х105 этик.")</f>
        <v>450842 Капуста квашеная с морковью 450 Вкуслинка 105х105 этик.</v>
      </c>
      <c r="D372" s="528">
        <f>IFERROR(__xludf.DUMMYFUNCTION("""COMPUTED_VALUE"""),2803.0)</f>
        <v>2803</v>
      </c>
      <c r="E372" s="528" t="str">
        <f>IFERROR(__xludf.DUMMYFUNCTION("""COMPUTED_VALUE"""),"Баранов Александр")</f>
        <v>Баранов Александр</v>
      </c>
      <c r="F372" s="535" t="str">
        <f>IFERROR(__xludf.DUMMYFUNCTION("""COMPUTED_VALUE"""),"Новая")</f>
        <v>Новая</v>
      </c>
      <c r="G372" s="536" t="str">
        <f>IFERROR(__xludf.DUMMYFUNCTION("""COMPUTED_VALUE"""),"д105")</f>
        <v>д105</v>
      </c>
      <c r="H372" s="338" t="str">
        <f>IFERROR(__xludf.DUMMYFUNCTION("""COMPUTED_VALUE"""),"Флексопечать")</f>
        <v>Флексопечать</v>
      </c>
      <c r="I372" s="338" t="str">
        <f>IFERROR(__xludf.DUMMYFUNCTION("""COMPUTED_VALUE"""),"Wg-450")</f>
        <v>Wg-450</v>
      </c>
      <c r="J372" s="536">
        <f>IFERROR(__xludf.DUMMYFUNCTION("""COMPUTED_VALUE"""),10000.0)</f>
        <v>10000</v>
      </c>
      <c r="K372" s="537">
        <f>IFERROR(__xludf.DUMMYFUNCTION("""COMPUTED_VALUE"""),46168.0)</f>
        <v>46168</v>
      </c>
      <c r="L372" s="537"/>
      <c r="M372" s="338" t="str">
        <f>IFERROR(__xludf.DUMMYFUNCTION("""COMPUTED_VALUE"""),"Пленка PP белая каучук")</f>
        <v>Пленка PP белая каучук</v>
      </c>
      <c r="N372" s="338" t="str">
        <f>IFERROR(__xludf.DUMMYFUNCTION("""COMPUTED_VALUE"""),"Отгружен")</f>
        <v>Отгружен</v>
      </c>
      <c r="O372" s="537"/>
      <c r="P372" s="338"/>
      <c r="Q372" s="338">
        <f>IFERROR(__xludf.DUMMYFUNCTION("""COMPUTED_VALUE"""),10000.0)</f>
        <v>10000</v>
      </c>
      <c r="R372" s="338"/>
      <c r="S372" s="338"/>
      <c r="T372" s="338"/>
      <c r="U372" s="338"/>
      <c r="V372" s="338"/>
      <c r="W372" s="338"/>
      <c r="X372" s="338"/>
      <c r="Y372" s="338"/>
      <c r="Z372" s="338"/>
    </row>
    <row r="373" ht="22.5" customHeight="1">
      <c r="A373" s="528" t="str">
        <f>IFERROR(__xludf.DUMMYFUNCTION("""COMPUTED_VALUE"""),"Кейтеринг Технолоджи")</f>
        <v>Кейтеринг Технолоджи</v>
      </c>
      <c r="B373" s="528"/>
      <c r="C373" s="528" t="str">
        <f>IFERROR(__xludf.DUMMYFUNCTION("""COMPUTED_VALUE"""),"Лобио по-картлийски")</f>
        <v>Лобио по-картлийски</v>
      </c>
      <c r="D373" s="528"/>
      <c r="E373" s="528" t="str">
        <f>IFERROR(__xludf.DUMMYFUNCTION("""COMPUTED_VALUE"""),"Татьяна Денисова")</f>
        <v>Татьяна Денисова</v>
      </c>
      <c r="F373" s="535" t="str">
        <f>IFERROR(__xludf.DUMMYFUNCTION("""COMPUTED_VALUE"""),"Новая")</f>
        <v>Новая</v>
      </c>
      <c r="G373" s="536" t="str">
        <f>IFERROR(__xludf.DUMMYFUNCTION("""COMPUTED_VALUE"""),"50*250")</f>
        <v>50*250</v>
      </c>
      <c r="H373" s="338" t="str">
        <f>IFERROR(__xludf.DUMMYFUNCTION("""COMPUTED_VALUE"""),"Цифра+Полуротация")</f>
        <v>Цифра+Полуротация</v>
      </c>
      <c r="I373" s="338" t="str">
        <f>IFERROR(__xludf.DUMMYFUNCTION("""COMPUTED_VALUE"""),"LS(ЦПМ)")</f>
        <v>LS(ЦПМ)</v>
      </c>
      <c r="J373" s="536">
        <f>IFERROR(__xludf.DUMMYFUNCTION("""COMPUTED_VALUE"""),1000.0)</f>
        <v>1000</v>
      </c>
      <c r="K373" s="537">
        <f>IFERROR(__xludf.DUMMYFUNCTION("""COMPUTED_VALUE"""),46171.0)</f>
        <v>46171</v>
      </c>
      <c r="L373" s="537"/>
      <c r="M373" s="338" t="str">
        <f>IFERROR(__xludf.DUMMYFUNCTION("""COMPUTED_VALUE"""),"Термо Топ")</f>
        <v>Термо Топ</v>
      </c>
      <c r="N373" s="338" t="str">
        <f>IFERROR(__xludf.DUMMYFUNCTION("""COMPUTED_VALUE"""),"Отгружен")</f>
        <v>Отгружен</v>
      </c>
      <c r="O373" s="537"/>
      <c r="P373" s="338"/>
      <c r="Q373" s="338" t="str">
        <f>IFERROR(__xludf.DUMMYFUNCTION("""COMPUTED_VALUE"""),"г. Москва, проезд Фрезер, дом 2, стр 13 (с 8 до 17 часов).
За 30 мин позвонить по тел. +79257247437 заказать пропуск на въезд на территорию.")</f>
        <v>г. Москва, проезд Фрезер, дом 2, стр 13 (с 8 до 17 часов).
За 30 мин позвонить по тел. +79257247437 заказать пропуск на въезд на территорию.</v>
      </c>
      <c r="R373" s="338"/>
      <c r="S373" s="338"/>
      <c r="T373" s="338"/>
      <c r="U373" s="338"/>
      <c r="V373" s="338"/>
      <c r="W373" s="338"/>
      <c r="X373" s="338"/>
      <c r="Y373" s="338"/>
      <c r="Z373" s="338"/>
    </row>
    <row r="374" ht="22.5" customHeight="1">
      <c r="A374" s="528" t="str">
        <f>IFERROR(__xludf.DUMMYFUNCTION("""COMPUTED_VALUE"""),"ООО""ФерЭльГам""")</f>
        <v>ООО"ФерЭльГам"</v>
      </c>
      <c r="B374" s="528"/>
      <c r="C374" s="528" t="str">
        <f>IFERROR(__xludf.DUMMYFUNCTION("""COMPUTED_VALUE"""),"470195 Капуста квашеная по-деревенски 500 г (Глобус) этик.")</f>
        <v>470195 Капуста квашеная по-деревенски 500 г (Глобус) этик.</v>
      </c>
      <c r="D374" s="528">
        <f>IFERROR(__xludf.DUMMYFUNCTION("""COMPUTED_VALUE"""),2804.0)</f>
        <v>2804</v>
      </c>
      <c r="E374" s="528" t="str">
        <f>IFERROR(__xludf.DUMMYFUNCTION("""COMPUTED_VALUE"""),"Баранов Александр")</f>
        <v>Баранов Александр</v>
      </c>
      <c r="F374" s="535" t="str">
        <f>IFERROR(__xludf.DUMMYFUNCTION("""COMPUTED_VALUE"""),"Новая")</f>
        <v>Новая</v>
      </c>
      <c r="G374" s="536" t="str">
        <f>IFERROR(__xludf.DUMMYFUNCTION("""COMPUTED_VALUE"""),"д108")</f>
        <v>д108</v>
      </c>
      <c r="H374" s="338" t="str">
        <f>IFERROR(__xludf.DUMMYFUNCTION("""COMPUTED_VALUE"""),"Флексопечать")</f>
        <v>Флексопечать</v>
      </c>
      <c r="I374" s="338" t="str">
        <f>IFERROR(__xludf.DUMMYFUNCTION("""COMPUTED_VALUE"""),"Bg-330")</f>
        <v>Bg-330</v>
      </c>
      <c r="J374" s="536">
        <f>IFERROR(__xludf.DUMMYFUNCTION("""COMPUTED_VALUE"""),20000.0)</f>
        <v>20000</v>
      </c>
      <c r="K374" s="537">
        <f>IFERROR(__xludf.DUMMYFUNCTION("""COMPUTED_VALUE"""),46169.0)</f>
        <v>46169</v>
      </c>
      <c r="L374" s="537"/>
      <c r="M374" s="338" t="str">
        <f>IFERROR(__xludf.DUMMYFUNCTION("""COMPUTED_VALUE"""),"Пленка PP белая каучук")</f>
        <v>Пленка PP белая каучук</v>
      </c>
      <c r="N374" s="338" t="str">
        <f>IFERROR(__xludf.DUMMYFUNCTION("""COMPUTED_VALUE"""),"Отгружен")</f>
        <v>Отгружен</v>
      </c>
      <c r="O374" s="537"/>
      <c r="P374" s="338"/>
      <c r="Q374" s="338">
        <f>IFERROR(__xludf.DUMMYFUNCTION("""COMPUTED_VALUE"""),20000.0)</f>
        <v>20000</v>
      </c>
      <c r="R374" s="338"/>
      <c r="S374" s="338"/>
      <c r="T374" s="338"/>
      <c r="U374" s="338"/>
      <c r="V374" s="338"/>
      <c r="W374" s="338"/>
      <c r="X374" s="338"/>
      <c r="Y374" s="338"/>
      <c r="Z374" s="338"/>
    </row>
    <row r="375" ht="22.5" customHeight="1">
      <c r="A375" s="528" t="str">
        <f>IFERROR(__xludf.DUMMYFUNCTION("""COMPUTED_VALUE"""),"ООО ""ФЭСТ""")</f>
        <v>ООО "ФЭСТ"</v>
      </c>
      <c r="B375" s="528"/>
      <c r="C375" s="528" t="str">
        <f>IFERROR(__xludf.DUMMYFUNCTION("""COMPUTED_VALUE"""),"Этикетка Зеленый Крест размер 82*108 мм")</f>
        <v>Этикетка Зеленый Крест размер 82*108 мм</v>
      </c>
      <c r="D375" s="528">
        <f>IFERROR(__xludf.DUMMYFUNCTION("""COMPUTED_VALUE"""),2815.0)</f>
        <v>2815</v>
      </c>
      <c r="E375" s="528" t="str">
        <f>IFERROR(__xludf.DUMMYFUNCTION("""COMPUTED_VALUE"""),"Баранов Александр")</f>
        <v>Баранов Александр</v>
      </c>
      <c r="F375" s="535" t="str">
        <f>IFERROR(__xludf.DUMMYFUNCTION("""COMPUTED_VALUE"""),"Повтор")</f>
        <v>Повтор</v>
      </c>
      <c r="G375" s="536" t="str">
        <f>IFERROR(__xludf.DUMMYFUNCTION("""COMPUTED_VALUE"""),"82*108")</f>
        <v>82*108</v>
      </c>
      <c r="H375" s="338" t="str">
        <f>IFERROR(__xludf.DUMMYFUNCTION("""COMPUTED_VALUE"""),"Флексопечать")</f>
        <v>Флексопечать</v>
      </c>
      <c r="I375" s="338" t="str">
        <f>IFERROR(__xludf.DUMMYFUNCTION("""COMPUTED_VALUE"""),"Bg-330")</f>
        <v>Bg-330</v>
      </c>
      <c r="J375" s="536">
        <f>IFERROR(__xludf.DUMMYFUNCTION("""COMPUTED_VALUE"""),40000.0)</f>
        <v>40000</v>
      </c>
      <c r="K375" s="537">
        <f>IFERROR(__xludf.DUMMYFUNCTION("""COMPUTED_VALUE"""),46177.0)</f>
        <v>46177</v>
      </c>
      <c r="L375" s="537" t="str">
        <f>IFERROR(__xludf.DUMMYFUNCTION("""COMPUTED_VALUE"""),"Отгружен")</f>
        <v>Отгружен</v>
      </c>
      <c r="M375" s="338" t="str">
        <f>IFERROR(__xludf.DUMMYFUNCTION("""COMPUTED_VALUE"""),"Бумага полуглянец каучук")</f>
        <v>Бумага полуглянец каучук</v>
      </c>
      <c r="N375" s="338" t="str">
        <f>IFERROR(__xludf.DUMMYFUNCTION("""COMPUTED_VALUE"""),"Отгружен")</f>
        <v>Отгружен</v>
      </c>
      <c r="O375" s="537"/>
      <c r="P375" s="338"/>
      <c r="Q375" s="338"/>
      <c r="R375" s="338"/>
      <c r="S375" s="338"/>
      <c r="T375" s="338"/>
      <c r="U375" s="338"/>
      <c r="V375" s="338"/>
      <c r="W375" s="338"/>
      <c r="X375" s="338"/>
      <c r="Y375" s="338"/>
      <c r="Z375" s="338"/>
    </row>
    <row r="376" ht="22.5" customHeight="1">
      <c r="A376" s="528" t="str">
        <f>IFERROR(__xludf.DUMMYFUNCTION("""COMPUTED_VALUE"""),"ОЗОН ВКУС")</f>
        <v>ОЗОН ВКУС</v>
      </c>
      <c r="B376" s="528"/>
      <c r="C376" s="528" t="str">
        <f>IFERROR(__xludf.DUMMYFUNCTION("""COMPUTED_VALUE"""),"Этикетка Сендвич с тунцом и маринованным луком")</f>
        <v>Этикетка Сендвич с тунцом и маринованным луком</v>
      </c>
      <c r="D376" s="528">
        <f>IFERROR(__xludf.DUMMYFUNCTION("""COMPUTED_VALUE"""),2823.0)</f>
        <v>2823</v>
      </c>
      <c r="E376" s="528" t="str">
        <f>IFERROR(__xludf.DUMMYFUNCTION("""COMPUTED_VALUE"""),"Римма Лукина")</f>
        <v>Римма Лукина</v>
      </c>
      <c r="F376" s="535" t="str">
        <f>IFERROR(__xludf.DUMMYFUNCTION("""COMPUTED_VALUE"""),"Повтор с изменениями")</f>
        <v>Повтор с изменениями</v>
      </c>
      <c r="G376" s="536" t="str">
        <f>IFERROR(__xludf.DUMMYFUNCTION("""COMPUTED_VALUE"""),"76*118")</f>
        <v>76*118</v>
      </c>
      <c r="H376" s="338" t="str">
        <f>IFERROR(__xludf.DUMMYFUNCTION("""COMPUTED_VALUE"""),"Флексопечать")</f>
        <v>Флексопечать</v>
      </c>
      <c r="I376" s="338" t="str">
        <f>IFERROR(__xludf.DUMMYFUNCTION("""COMPUTED_VALUE"""),"Bg-330")</f>
        <v>Bg-330</v>
      </c>
      <c r="J376" s="536">
        <f>IFERROR(__xludf.DUMMYFUNCTION("""COMPUTED_VALUE"""),10000.0)</f>
        <v>10000</v>
      </c>
      <c r="K376" s="537">
        <f>IFERROR(__xludf.DUMMYFUNCTION("""COMPUTED_VALUE"""),46177.0)</f>
        <v>46177</v>
      </c>
      <c r="L376" s="537"/>
      <c r="M376" s="338" t="str">
        <f>IFERROR(__xludf.DUMMYFUNCTION("""COMPUTED_VALUE"""),"Термоэко")</f>
        <v>Термоэко</v>
      </c>
      <c r="N376" s="338" t="str">
        <f>IFERROR(__xludf.DUMMYFUNCTION("""COMPUTED_VALUE"""),"Отгружен")</f>
        <v>Отгружен</v>
      </c>
      <c r="O376" s="537"/>
      <c r="P376" s="338" t="str">
        <f>IFERROR(__xludf.DUMMYFUNCTION("""COMPUTED_VALUE"""),"УПД не выписываем это замена ( перепечатка)")</f>
        <v>УПД не выписываем это замена ( перепечатка)</v>
      </c>
      <c r="Q376" s="338"/>
      <c r="R376" s="338"/>
      <c r="S376" s="338"/>
      <c r="T376" s="338"/>
      <c r="U376" s="338"/>
      <c r="V376" s="338"/>
      <c r="W376" s="338"/>
      <c r="X376" s="338"/>
      <c r="Y376" s="338"/>
      <c r="Z376" s="338"/>
    </row>
    <row r="377" ht="22.5" customHeight="1">
      <c r="A377" s="528" t="str">
        <f>IFERROR(__xludf.DUMMYFUNCTION("""COMPUTED_VALUE"""),"Калье")</f>
        <v>Калье</v>
      </c>
      <c r="B377" s="528"/>
      <c r="C377" s="528" t="str">
        <f>IFERROR(__xludf.DUMMYFUNCTION("""COMPUTED_VALUE"""),"Липидный шампунь/Кондиционер стабилизатор Expert Line, 1000 мл")</f>
        <v>Липидный шампунь/Кондиционер стабилизатор Expert Line, 1000 мл</v>
      </c>
      <c r="D377" s="528" t="str">
        <f>IFERROR(__xludf.DUMMYFUNCTION("""COMPUTED_VALUE"""),"2573/2574")</f>
        <v>2573/2574</v>
      </c>
      <c r="E377" s="528" t="str">
        <f>IFERROR(__xludf.DUMMYFUNCTION("""COMPUTED_VALUE"""),"Татьяна Денисова")</f>
        <v>Татьяна Денисова</v>
      </c>
      <c r="F377" s="535" t="str">
        <f>IFERROR(__xludf.DUMMYFUNCTION("""COMPUTED_VALUE"""),"Новая")</f>
        <v>Новая</v>
      </c>
      <c r="G377" s="536" t="str">
        <f>IFERROR(__xludf.DUMMYFUNCTION("""COMPUTED_VALUE"""),"175*260")</f>
        <v>175*260</v>
      </c>
      <c r="H377" s="338" t="str">
        <f>IFERROR(__xludf.DUMMYFUNCTION("""COMPUTED_VALUE"""),"Флексопечать")</f>
        <v>Флексопечать</v>
      </c>
      <c r="I377" s="338" t="str">
        <f>IFERROR(__xludf.DUMMYFUNCTION("""COMPUTED_VALUE"""),"Bg-330")</f>
        <v>Bg-330</v>
      </c>
      <c r="J377" s="536" t="str">
        <f>IFERROR(__xludf.DUMMYFUNCTION("""COMPUTED_VALUE"""),"2*3000")</f>
        <v>2*3000</v>
      </c>
      <c r="K377" s="537">
        <f>IFERROR(__xludf.DUMMYFUNCTION("""COMPUTED_VALUE"""),46167.0)</f>
        <v>46167</v>
      </c>
      <c r="L377" s="537"/>
      <c r="M377" s="338" t="str">
        <f>IFERROR(__xludf.DUMMYFUNCTION("""COMPUTED_VALUE"""),"Пленка PP белая акрил")</f>
        <v>Пленка PP белая акрил</v>
      </c>
      <c r="N377" s="338" t="str">
        <f>IFERROR(__xludf.DUMMYFUNCTION("""COMPUTED_VALUE"""),"Отгружен")</f>
        <v>Отгружен</v>
      </c>
      <c r="O377" s="537"/>
      <c r="P377" s="338" t="str">
        <f>IFERROR(__xludf.DUMMYFUNCTION("""COMPUTED_VALUE"""),"Для кондиционера: мы ранее печатали заказ такой с фиолетовым цветом, только на шампунь, возможно форму фиолетовую из старого заказа можно использовать. Приладка в раб дни до 17:30 как обычно")</f>
        <v>Для кондиционера: мы ранее печатали заказ такой с фиолетовым цветом, только на шампунь, возможно форму фиолетовую из старого заказа можно использовать. Приладка в раб дни до 17:30 как обычно</v>
      </c>
      <c r="Q377" s="338" t="str">
        <f>IFERROR(__xludf.DUMMYFUNCTION("""COMPUTED_VALUE"""),"Сама заказываю ТК")</f>
        <v>Сама заказываю ТК</v>
      </c>
      <c r="R377" s="338"/>
      <c r="S377" s="338"/>
      <c r="T377" s="338"/>
      <c r="U377" s="338"/>
      <c r="V377" s="338"/>
      <c r="W377" s="338"/>
      <c r="X377" s="338"/>
      <c r="Y377" s="338"/>
      <c r="Z377" s="338"/>
    </row>
    <row r="378" ht="22.5" customHeight="1">
      <c r="A378" s="528" t="str">
        <f>IFERROR(__xludf.DUMMYFUNCTION("""COMPUTED_VALUE"""),"ОЗОН ВКУС")</f>
        <v>ОЗОН ВКУС</v>
      </c>
      <c r="B378" s="528"/>
      <c r="C378" s="528" t="str">
        <f>IFERROR(__xludf.DUMMYFUNCTION("""COMPUTED_VALUE"""),"Этикетка ЯЛ язык говяжий отварной ")</f>
        <v>Этикетка ЯЛ язык говяжий отварной </v>
      </c>
      <c r="D378" s="528">
        <f>IFERROR(__xludf.DUMMYFUNCTION("""COMPUTED_VALUE"""),2824.0)</f>
        <v>2824</v>
      </c>
      <c r="E378" s="528" t="str">
        <f>IFERROR(__xludf.DUMMYFUNCTION("""COMPUTED_VALUE"""),"Римма Лукина")</f>
        <v>Римма Лукина</v>
      </c>
      <c r="F378" s="535" t="str">
        <f>IFERROR(__xludf.DUMMYFUNCTION("""COMPUTED_VALUE"""),"Повтор с изменениями")</f>
        <v>Повтор с изменениями</v>
      </c>
      <c r="G378" s="536" t="str">
        <f>IFERROR(__xludf.DUMMYFUNCTION("""COMPUTED_VALUE"""),"76*118")</f>
        <v>76*118</v>
      </c>
      <c r="H378" s="338" t="str">
        <f>IFERROR(__xludf.DUMMYFUNCTION("""COMPUTED_VALUE"""),"Флексопечать")</f>
        <v>Флексопечать</v>
      </c>
      <c r="I378" s="338" t="str">
        <f>IFERROR(__xludf.DUMMYFUNCTION("""COMPUTED_VALUE"""),"Bg-330")</f>
        <v>Bg-330</v>
      </c>
      <c r="J378" s="536">
        <f>IFERROR(__xludf.DUMMYFUNCTION("""COMPUTED_VALUE"""),10000.0)</f>
        <v>10000</v>
      </c>
      <c r="K378" s="537">
        <f>IFERROR(__xludf.DUMMYFUNCTION("""COMPUTED_VALUE"""),46177.0)</f>
        <v>46177</v>
      </c>
      <c r="L378" s="537"/>
      <c r="M378" s="338" t="str">
        <f>IFERROR(__xludf.DUMMYFUNCTION("""COMPUTED_VALUE"""),"Термоэко")</f>
        <v>Термоэко</v>
      </c>
      <c r="N378" s="338" t="str">
        <f>IFERROR(__xludf.DUMMYFUNCTION("""COMPUTED_VALUE"""),"Отгружен")</f>
        <v>Отгружен</v>
      </c>
      <c r="O378" s="537"/>
      <c r="P378" s="338" t="str">
        <f>IFERROR(__xludf.DUMMYFUNCTION("""COMPUTED_VALUE"""),"УПД не выписываем это замена ( перепечатка)")</f>
        <v>УПД не выписываем это замена ( перепечатка)</v>
      </c>
      <c r="Q378" s="338"/>
      <c r="R378" s="338"/>
      <c r="S378" s="338"/>
      <c r="T378" s="338"/>
      <c r="U378" s="338"/>
      <c r="V378" s="338"/>
      <c r="W378" s="338"/>
      <c r="X378" s="338"/>
      <c r="Y378" s="338"/>
      <c r="Z378" s="338"/>
    </row>
    <row r="379" ht="22.5" customHeight="1">
      <c r="A379" s="528" t="str">
        <f>IFERROR(__xludf.DUMMYFUNCTION("""COMPUTED_VALUE"""),"ОЗОН ВКУС")</f>
        <v>ОЗОН ВКУС</v>
      </c>
      <c r="B379" s="528"/>
      <c r="C379" s="528" t="str">
        <f>IFERROR(__xludf.DUMMYFUNCTION("""COMPUTED_VALUE"""),"Стикер ""Важно, что ешь"" D 70мм")</f>
        <v>Стикер "Важно, что ешь" D 70мм</v>
      </c>
      <c r="D379" s="528">
        <f>IFERROR(__xludf.DUMMYFUNCTION("""COMPUTED_VALUE"""),2875.0)</f>
        <v>2875</v>
      </c>
      <c r="E379" s="528" t="str">
        <f>IFERROR(__xludf.DUMMYFUNCTION("""COMPUTED_VALUE"""),"Римма Лукина")</f>
        <v>Римма Лукина</v>
      </c>
      <c r="F379" s="535" t="str">
        <f>IFERROR(__xludf.DUMMYFUNCTION("""COMPUTED_VALUE"""),"Повтор")</f>
        <v>Повтор</v>
      </c>
      <c r="G379" s="536" t="str">
        <f>IFERROR(__xludf.DUMMYFUNCTION("""COMPUTED_VALUE"""),"D 70")</f>
        <v>D 70</v>
      </c>
      <c r="H379" s="338" t="str">
        <f>IFERROR(__xludf.DUMMYFUNCTION("""COMPUTED_VALUE"""),"Флексопечать")</f>
        <v>Флексопечать</v>
      </c>
      <c r="I379" s="338" t="str">
        <f>IFERROR(__xludf.DUMMYFUNCTION("""COMPUTED_VALUE"""),"Bg-330")</f>
        <v>Bg-330</v>
      </c>
      <c r="J379" s="536">
        <f>IFERROR(__xludf.DUMMYFUNCTION("""COMPUTED_VALUE"""),100000.0)</f>
        <v>100000</v>
      </c>
      <c r="K379" s="537">
        <f>IFERROR(__xludf.DUMMYFUNCTION("""COMPUTED_VALUE"""),46176.0)</f>
        <v>46176</v>
      </c>
      <c r="L379" s="537"/>
      <c r="M379" s="338" t="str">
        <f>IFERROR(__xludf.DUMMYFUNCTION("""COMPUTED_VALUE"""),"Бумага полуглянец акрил")</f>
        <v>Бумага полуглянец акрил</v>
      </c>
      <c r="N379" s="338" t="str">
        <f>IFERROR(__xludf.DUMMYFUNCTION("""COMPUTED_VALUE"""),"Отгружен")</f>
        <v>Отгружен</v>
      </c>
      <c r="O379" s="537"/>
      <c r="P379" s="338" t="str">
        <f>IFERROR(__xludf.DUMMYFUNCTION("""COMPUTED_VALUE"""),"паспорта качества и логистические стикеры на ролик и групповую упаковку. В ЭДО до отправки выложить документы")</f>
        <v>паспорта качества и логистические стикеры на ролик и групповую упаковку. В ЭДО до отправки выложить документы</v>
      </c>
      <c r="Q379" s="338"/>
      <c r="R379" s="338"/>
      <c r="S379" s="338"/>
      <c r="T379" s="338"/>
      <c r="U379" s="338"/>
      <c r="V379" s="338"/>
      <c r="W379" s="338"/>
      <c r="X379" s="338"/>
      <c r="Y379" s="338"/>
      <c r="Z379" s="338"/>
    </row>
    <row r="380" ht="22.5" customHeight="1">
      <c r="A380" s="528" t="str">
        <f>IFERROR(__xludf.DUMMYFUNCTION("""COMPUTED_VALUE"""),"ООО Новапродукт АГ")</f>
        <v>ООО Новапродукт АГ</v>
      </c>
      <c r="B380" s="528"/>
      <c r="C380" s="528" t="str">
        <f>IFERROR(__xludf.DUMMYFUNCTION("""COMPUTED_VALUE"""),"Этикетка Новапродукт заменитель сахара 1200 лицевая Новасвит ")</f>
        <v>Этикетка Новапродукт заменитель сахара 1200 лицевая Новасвит </v>
      </c>
      <c r="D380" s="528">
        <f>IFERROR(__xludf.DUMMYFUNCTION("""COMPUTED_VALUE"""),2876.0)</f>
        <v>2876</v>
      </c>
      <c r="E380" s="528" t="str">
        <f>IFERROR(__xludf.DUMMYFUNCTION("""COMPUTED_VALUE"""),"Шаповалова Юлия")</f>
        <v>Шаповалова Юлия</v>
      </c>
      <c r="F380" s="535" t="str">
        <f>IFERROR(__xludf.DUMMYFUNCTION("""COMPUTED_VALUE"""),"Повтор")</f>
        <v>Повтор</v>
      </c>
      <c r="G380" s="536" t="str">
        <f>IFERROR(__xludf.DUMMYFUNCTION("""COMPUTED_VALUE"""),"100.5*31.5")</f>
        <v>100.5*31.5</v>
      </c>
      <c r="H380" s="338" t="str">
        <f>IFERROR(__xludf.DUMMYFUNCTION("""COMPUTED_VALUE"""),"Флексопечать")</f>
        <v>Флексопечать</v>
      </c>
      <c r="I380" s="338" t="str">
        <f>IFERROR(__xludf.DUMMYFUNCTION("""COMPUTED_VALUE"""),"Bg-330")</f>
        <v>Bg-330</v>
      </c>
      <c r="J380" s="536">
        <f>IFERROR(__xludf.DUMMYFUNCTION("""COMPUTED_VALUE"""),150000.0)</f>
        <v>150000</v>
      </c>
      <c r="K380" s="537">
        <f>IFERROR(__xludf.DUMMYFUNCTION("""COMPUTED_VALUE"""),46181.0)</f>
        <v>46181</v>
      </c>
      <c r="L380" s="537"/>
      <c r="M380" s="338" t="str">
        <f>IFERROR(__xludf.DUMMYFUNCTION("""COMPUTED_VALUE"""),"Бумага полуглянец акрил")</f>
        <v>Бумага полуглянец акрил</v>
      </c>
      <c r="N380" s="338" t="str">
        <f>IFERROR(__xludf.DUMMYFUNCTION("""COMPUTED_VALUE"""),"Отгружен")</f>
        <v>Отгружен</v>
      </c>
      <c r="O380" s="537"/>
      <c r="P380" s="338" t="str">
        <f>IFERROR(__xludf.DUMMYFUNCTION("""COMPUTED_VALUE"""),"паспорт качества09.06.2026")</f>
        <v>паспорт качества09.06.2026</v>
      </c>
      <c r="Q380" s="338"/>
      <c r="R380" s="338"/>
      <c r="S380" s="338"/>
      <c r="T380" s="338"/>
      <c r="U380" s="338"/>
      <c r="V380" s="338"/>
      <c r="W380" s="338"/>
      <c r="X380" s="338"/>
      <c r="Y380" s="338"/>
      <c r="Z380" s="338"/>
    </row>
    <row r="381" ht="22.5" customHeight="1">
      <c r="A381" s="528" t="str">
        <f>IFERROR(__xludf.DUMMYFUNCTION("""COMPUTED_VALUE"""),"ООО Новапродукт АГ")</f>
        <v>ООО Новапродукт АГ</v>
      </c>
      <c r="B381" s="528"/>
      <c r="C381" s="528" t="str">
        <f>IFERROR(__xludf.DUMMYFUNCTION("""COMPUTED_VALUE"""),"Этикетка Новапродукт заменитель сахара 1200 оборотная Новасвит")</f>
        <v>Этикетка Новапродукт заменитель сахара 1200 оборотная Новасвит</v>
      </c>
      <c r="D381" s="528">
        <f>IFERROR(__xludf.DUMMYFUNCTION("""COMPUTED_VALUE"""),2877.0)</f>
        <v>2877</v>
      </c>
      <c r="E381" s="528" t="str">
        <f>IFERROR(__xludf.DUMMYFUNCTION("""COMPUTED_VALUE"""),"Шаповалова Юлия")</f>
        <v>Шаповалова Юлия</v>
      </c>
      <c r="F381" s="535" t="str">
        <f>IFERROR(__xludf.DUMMYFUNCTION("""COMPUTED_VALUE"""),"Повтор")</f>
        <v>Повтор</v>
      </c>
      <c r="G381" s="536" t="str">
        <f>IFERROR(__xludf.DUMMYFUNCTION("""COMPUTED_VALUE"""),"100.5*31.5")</f>
        <v>100.5*31.5</v>
      </c>
      <c r="H381" s="338" t="str">
        <f>IFERROR(__xludf.DUMMYFUNCTION("""COMPUTED_VALUE"""),"Флексопечать")</f>
        <v>Флексопечать</v>
      </c>
      <c r="I381" s="338" t="str">
        <f>IFERROR(__xludf.DUMMYFUNCTION("""COMPUTED_VALUE"""),"Bg-330")</f>
        <v>Bg-330</v>
      </c>
      <c r="J381" s="536">
        <f>IFERROR(__xludf.DUMMYFUNCTION("""COMPUTED_VALUE"""),150000.0)</f>
        <v>150000</v>
      </c>
      <c r="K381" s="537">
        <f>IFERROR(__xludf.DUMMYFUNCTION("""COMPUTED_VALUE"""),46181.0)</f>
        <v>46181</v>
      </c>
      <c r="L381" s="537"/>
      <c r="M381" s="338" t="str">
        <f>IFERROR(__xludf.DUMMYFUNCTION("""COMPUTED_VALUE"""),"Бумага полуглянец акрил")</f>
        <v>Бумага полуглянец акрил</v>
      </c>
      <c r="N381" s="338" t="str">
        <f>IFERROR(__xludf.DUMMYFUNCTION("""COMPUTED_VALUE"""),"Отгружен")</f>
        <v>Отгружен</v>
      </c>
      <c r="O381" s="537"/>
      <c r="P381" s="338" t="str">
        <f>IFERROR(__xludf.DUMMYFUNCTION("""COMPUTED_VALUE"""),"паспорт качества09.06.2026")</f>
        <v>паспорт качества09.06.2026</v>
      </c>
      <c r="Q381" s="338"/>
      <c r="R381" s="338"/>
      <c r="S381" s="338"/>
      <c r="T381" s="338"/>
      <c r="U381" s="338"/>
      <c r="V381" s="338"/>
      <c r="W381" s="338"/>
      <c r="X381" s="338"/>
      <c r="Y381" s="338"/>
      <c r="Z381" s="338"/>
    </row>
    <row r="382" ht="22.5" customHeight="1">
      <c r="A382" s="528" t="str">
        <f>IFERROR(__xludf.DUMMYFUNCTION("""COMPUTED_VALUE"""),"ООО Озон  вкус ")</f>
        <v>ООО Озон  вкус </v>
      </c>
      <c r="B382" s="528"/>
      <c r="C382" s="528" t="str">
        <f>IFERROR(__xludf.DUMMYFUNCTION("""COMPUTED_VALUE"""),"Этикетка ""Сэндвич с тунцом и маринованным луком"" ")</f>
        <v>Этикетка "Сэндвич с тунцом и маринованным луком" </v>
      </c>
      <c r="D382" s="528">
        <f>IFERROR(__xludf.DUMMYFUNCTION("""COMPUTED_VALUE"""),2917.0)</f>
        <v>2917</v>
      </c>
      <c r="E382" s="528" t="str">
        <f>IFERROR(__xludf.DUMMYFUNCTION("""COMPUTED_VALUE"""),"Римма Лукина")</f>
        <v>Римма Лукина</v>
      </c>
      <c r="F382" s="535" t="str">
        <f>IFERROR(__xludf.DUMMYFUNCTION("""COMPUTED_VALUE"""),"Повтор")</f>
        <v>Повтор</v>
      </c>
      <c r="G382" s="536" t="str">
        <f>IFERROR(__xludf.DUMMYFUNCTION("""COMPUTED_VALUE"""),"76*118")</f>
        <v>76*118</v>
      </c>
      <c r="H382" s="338" t="str">
        <f>IFERROR(__xludf.DUMMYFUNCTION("""COMPUTED_VALUE"""),"Флексопечать")</f>
        <v>Флексопечать</v>
      </c>
      <c r="I382" s="338" t="str">
        <f>IFERROR(__xludf.DUMMYFUNCTION("""COMPUTED_VALUE"""),"Bg-330")</f>
        <v>Bg-330</v>
      </c>
      <c r="J382" s="536">
        <f>IFERROR(__xludf.DUMMYFUNCTION("""COMPUTED_VALUE"""),20000.0)</f>
        <v>20000</v>
      </c>
      <c r="K382" s="537">
        <f>IFERROR(__xludf.DUMMYFUNCTION("""COMPUTED_VALUE"""),46182.0)</f>
        <v>46182</v>
      </c>
      <c r="L382" s="537"/>
      <c r="M382" s="338" t="str">
        <f>IFERROR(__xludf.DUMMYFUNCTION("""COMPUTED_VALUE"""),"Термоэко")</f>
        <v>Термоэко</v>
      </c>
      <c r="N382" s="338" t="str">
        <f>IFERROR(__xludf.DUMMYFUNCTION("""COMPUTED_VALUE"""),"Отгружен")</f>
        <v>Отгружен</v>
      </c>
      <c r="O382" s="537"/>
      <c r="P382" s="338" t="str">
        <f>IFERROR(__xludf.DUMMYFUNCTION("""COMPUTED_VALUE"""),"обязательно паспорта качества, маркировка роликов и групповой упаковки 10.06.2026")</f>
        <v>обязательно паспорта качества, маркировка роликов и групповой упаковки 10.06.2026</v>
      </c>
      <c r="Q382" s="338"/>
      <c r="R382" s="338"/>
      <c r="S382" s="338"/>
      <c r="T382" s="338"/>
      <c r="U382" s="338"/>
      <c r="V382" s="338"/>
      <c r="W382" s="338"/>
      <c r="X382" s="338"/>
      <c r="Y382" s="338"/>
      <c r="Z382" s="338"/>
    </row>
    <row r="383" ht="22.5" customHeight="1">
      <c r="A383" s="528" t="str">
        <f>IFERROR(__xludf.DUMMYFUNCTION("""COMPUTED_VALUE"""),"ООО Озон  вкус ")</f>
        <v>ООО Озон  вкус </v>
      </c>
      <c r="B383" s="528"/>
      <c r="C383" s="528" t="str">
        <f>IFERROR(__xludf.DUMMYFUNCTION("""COMPUTED_VALUE"""),"Этикетка ""ЯЛ Сэндвич с курицей и печёным перцем, кремчизом, шпинатом и мёдом с чесноком""")</f>
        <v>Этикетка "ЯЛ Сэндвич с курицей и печёным перцем, кремчизом, шпинатом и мёдом с чесноком"</v>
      </c>
      <c r="D383" s="528">
        <f>IFERROR(__xludf.DUMMYFUNCTION("""COMPUTED_VALUE"""),2918.0)</f>
        <v>2918</v>
      </c>
      <c r="E383" s="528" t="str">
        <f>IFERROR(__xludf.DUMMYFUNCTION("""COMPUTED_VALUE"""),"Римма Лукина")</f>
        <v>Римма Лукина</v>
      </c>
      <c r="F383" s="535" t="str">
        <f>IFERROR(__xludf.DUMMYFUNCTION("""COMPUTED_VALUE"""),"Повтор")</f>
        <v>Повтор</v>
      </c>
      <c r="G383" s="536" t="str">
        <f>IFERROR(__xludf.DUMMYFUNCTION("""COMPUTED_VALUE"""),"87*117")</f>
        <v>87*117</v>
      </c>
      <c r="H383" s="338" t="str">
        <f>IFERROR(__xludf.DUMMYFUNCTION("""COMPUTED_VALUE"""),"Флексопечать")</f>
        <v>Флексопечать</v>
      </c>
      <c r="I383" s="338" t="str">
        <f>IFERROR(__xludf.DUMMYFUNCTION("""COMPUTED_VALUE"""),"Bg-330")</f>
        <v>Bg-330</v>
      </c>
      <c r="J383" s="536">
        <f>IFERROR(__xludf.DUMMYFUNCTION("""COMPUTED_VALUE"""),10000.0)</f>
        <v>10000</v>
      </c>
      <c r="K383" s="537">
        <f>IFERROR(__xludf.DUMMYFUNCTION("""COMPUTED_VALUE"""),46182.0)</f>
        <v>46182</v>
      </c>
      <c r="L383" s="537"/>
      <c r="M383" s="338" t="str">
        <f>IFERROR(__xludf.DUMMYFUNCTION("""COMPUTED_VALUE"""),"Термоэко")</f>
        <v>Термоэко</v>
      </c>
      <c r="N383" s="338" t="str">
        <f>IFERROR(__xludf.DUMMYFUNCTION("""COMPUTED_VALUE"""),"Отгружен")</f>
        <v>Отгружен</v>
      </c>
      <c r="O383" s="537"/>
      <c r="P383" s="338" t="str">
        <f>IFERROR(__xludf.DUMMYFUNCTION("""COMPUTED_VALUE"""),"обязательно паспорта качества, маркировка роликов и групповой упаковки 10.06.2026")</f>
        <v>обязательно паспорта качества, маркировка роликов и групповой упаковки 10.06.2026</v>
      </c>
      <c r="Q383" s="338"/>
      <c r="R383" s="338"/>
      <c r="S383" s="338"/>
      <c r="T383" s="338"/>
      <c r="U383" s="338"/>
      <c r="V383" s="338"/>
      <c r="W383" s="338"/>
      <c r="X383" s="338"/>
      <c r="Y383" s="338"/>
      <c r="Z383" s="338"/>
    </row>
    <row r="384" ht="22.5" customHeight="1">
      <c r="A384" s="528" t="str">
        <f>IFERROR(__xludf.DUMMYFUNCTION("""COMPUTED_VALUE"""),"ООО""ФерЭльГам""")</f>
        <v>ООО"ФерЭльГам"</v>
      </c>
      <c r="B384" s="528"/>
      <c r="C384" s="528" t="str">
        <f>IFERROR(__xludf.DUMMYFUNCTION("""COMPUTED_VALUE"""),"470845 Капуста квашеная с морковью 300 г (Green vitamin) этик.")</f>
        <v>470845 Капуста квашеная с морковью 300 г (Green vitamin) этик.</v>
      </c>
      <c r="D384" s="528">
        <f>IFERROR(__xludf.DUMMYFUNCTION("""COMPUTED_VALUE"""),2944.0)</f>
        <v>2944</v>
      </c>
      <c r="E384" s="528" t="str">
        <f>IFERROR(__xludf.DUMMYFUNCTION("""COMPUTED_VALUE"""),"Баранов Александр")</f>
        <v>Баранов Александр</v>
      </c>
      <c r="F384" s="535" t="str">
        <f>IFERROR(__xludf.DUMMYFUNCTION("""COMPUTED_VALUE"""),"Повтор")</f>
        <v>Повтор</v>
      </c>
      <c r="G384" s="536" t="str">
        <f>IFERROR(__xludf.DUMMYFUNCTION("""COMPUTED_VALUE"""),"д110")</f>
        <v>д110</v>
      </c>
      <c r="H384" s="338" t="str">
        <f>IFERROR(__xludf.DUMMYFUNCTION("""COMPUTED_VALUE"""),"Флексопечать")</f>
        <v>Флексопечать</v>
      </c>
      <c r="I384" s="338" t="str">
        <f>IFERROR(__xludf.DUMMYFUNCTION("""COMPUTED_VALUE"""),"Wg-450")</f>
        <v>Wg-450</v>
      </c>
      <c r="J384" s="536">
        <f>IFERROR(__xludf.DUMMYFUNCTION("""COMPUTED_VALUE"""),50000.0)</f>
        <v>50000</v>
      </c>
      <c r="K384" s="537">
        <f>IFERROR(__xludf.DUMMYFUNCTION("""COMPUTED_VALUE"""),46182.0)</f>
        <v>46182</v>
      </c>
      <c r="L384" s="537"/>
      <c r="M384" s="338" t="str">
        <f>IFERROR(__xludf.DUMMYFUNCTION("""COMPUTED_VALUE"""),"Пленка PP белая каучук")</f>
        <v>Пленка PP белая каучук</v>
      </c>
      <c r="N384" s="338" t="str">
        <f>IFERROR(__xludf.DUMMYFUNCTION("""COMPUTED_VALUE"""),"Отгружен")</f>
        <v>Отгружен</v>
      </c>
      <c r="O384" s="537"/>
      <c r="P384" s="338" t="str">
        <f>IFERROR(__xludf.DUMMYFUNCTION("""COMPUTED_VALUE"""),"2500*1 сток")</f>
        <v>2500*1 сток</v>
      </c>
      <c r="Q384" s="338"/>
      <c r="R384" s="338"/>
      <c r="S384" s="338"/>
      <c r="T384" s="338"/>
      <c r="U384" s="338"/>
      <c r="V384" s="338"/>
      <c r="W384" s="338"/>
      <c r="X384" s="338"/>
      <c r="Y384" s="338"/>
      <c r="Z384" s="338"/>
    </row>
    <row r="385" ht="22.5" customHeight="1">
      <c r="A385" s="528" t="str">
        <f>IFERROR(__xludf.DUMMYFUNCTION("""COMPUTED_VALUE"""),"Ангстрем/Националь")</f>
        <v>Ангстрем/Националь</v>
      </c>
      <c r="B385" s="528"/>
      <c r="C385" s="528" t="str">
        <f>IFERROR(__xludf.DUMMYFUNCTION("""COMPUTED_VALUE"""),"Этикетка Клапан 70*30")</f>
        <v>Этикетка Клапан 70*30</v>
      </c>
      <c r="D385" s="528">
        <f>IFERROR(__xludf.DUMMYFUNCTION("""COMPUTED_VALUE"""),2945.0)</f>
        <v>2945</v>
      </c>
      <c r="E385" s="528" t="str">
        <f>IFERROR(__xludf.DUMMYFUNCTION("""COMPUTED_VALUE"""),"Шаповалова Юлия")</f>
        <v>Шаповалова Юлия</v>
      </c>
      <c r="F385" s="535" t="str">
        <f>IFERROR(__xludf.DUMMYFUNCTION("""COMPUTED_VALUE"""),"Повтор")</f>
        <v>Повтор</v>
      </c>
      <c r="G385" s="536" t="str">
        <f>IFERROR(__xludf.DUMMYFUNCTION("""COMPUTED_VALUE"""),"70*30")</f>
        <v>70*30</v>
      </c>
      <c r="H385" s="338" t="str">
        <f>IFERROR(__xludf.DUMMYFUNCTION("""COMPUTED_VALUE"""),"Флексопечать")</f>
        <v>Флексопечать</v>
      </c>
      <c r="I385" s="338" t="str">
        <f>IFERROR(__xludf.DUMMYFUNCTION("""COMPUTED_VALUE"""),"Wg-450")</f>
        <v>Wg-450</v>
      </c>
      <c r="J385" s="536" t="str">
        <f>IFERROR(__xludf.DUMMYFUNCTION("""COMPUTED_VALUE"""),"1 500 000")</f>
        <v>1 500 000</v>
      </c>
      <c r="K385" s="537">
        <f>IFERROR(__xludf.DUMMYFUNCTION("""COMPUTED_VALUE"""),46183.0)</f>
        <v>46183</v>
      </c>
      <c r="L385" s="537"/>
      <c r="M385" s="338" t="str">
        <f>IFERROR(__xludf.DUMMYFUNCTION("""COMPUTED_VALUE"""),"Пленка PP прозрачная")</f>
        <v>Пленка PP прозрачная</v>
      </c>
      <c r="N385" s="338" t="str">
        <f>IFERROR(__xludf.DUMMYFUNCTION("""COMPUTED_VALUE"""),"Отгружен")</f>
        <v>Отгружен</v>
      </c>
      <c r="O385" s="537"/>
      <c r="P385" s="338" t="str">
        <f>IFERROR(__xludf.DUMMYFUNCTION("""COMPUTED_VALUE"""),"Паспорт качества")</f>
        <v>Паспорт качества</v>
      </c>
      <c r="Q385" s="338" t="str">
        <f>IFERROR(__xludf.DUMMYFUNCTION("""COMPUTED_VALUE"""),"Краснодарский край, Красноармейский р-н, Протичка х, 2000 метров на восток от хутора
Контактное лицо: Мурзинов Дмитрий, 8-989-267-19-51")</f>
        <v>Краснодарский край, Красноармейский р-н, Протичка х, 2000 метров на восток от хутора
Контактное лицо: Мурзинов Дмитрий, 8-989-267-19-51</v>
      </c>
      <c r="R385" s="338"/>
      <c r="S385" s="338"/>
      <c r="T385" s="338"/>
      <c r="U385" s="338"/>
      <c r="V385" s="338"/>
      <c r="W385" s="338"/>
      <c r="X385" s="338"/>
      <c r="Y385" s="338"/>
      <c r="Z385" s="338"/>
    </row>
    <row r="386" ht="22.5" customHeight="1">
      <c r="A386" s="528" t="str">
        <f>IFERROR(__xludf.DUMMYFUNCTION("""COMPUTED_VALUE"""),"ООО""ФерЭльГам""")</f>
        <v>ООО"ФерЭльГам"</v>
      </c>
      <c r="B386" s="528"/>
      <c r="C386" s="528" t="str">
        <f>IFERROR(__xludf.DUMMYFUNCTION("""COMPUTED_VALUE"""),"450358 Капуста квашеная с морковью 250 Global Village Этик д95.этик.")</f>
        <v>450358 Капуста квашеная с морковью 250 Global Village Этик д95.этик.</v>
      </c>
      <c r="D386" s="528">
        <f>IFERROR(__xludf.DUMMYFUNCTION("""COMPUTED_VALUE"""),2946.0)</f>
        <v>2946</v>
      </c>
      <c r="E386" s="528" t="str">
        <f>IFERROR(__xludf.DUMMYFUNCTION("""COMPUTED_VALUE"""),"Баранов Александр")</f>
        <v>Баранов Александр</v>
      </c>
      <c r="F386" s="535" t="str">
        <f>IFERROR(__xludf.DUMMYFUNCTION("""COMPUTED_VALUE"""),"Повтор")</f>
        <v>Повтор</v>
      </c>
      <c r="G386" s="536" t="str">
        <f>IFERROR(__xludf.DUMMYFUNCTION("""COMPUTED_VALUE"""),"д95")</f>
        <v>д95</v>
      </c>
      <c r="H386" s="338" t="str">
        <f>IFERROR(__xludf.DUMMYFUNCTION("""COMPUTED_VALUE"""),"Флексопечать")</f>
        <v>Флексопечать</v>
      </c>
      <c r="I386" s="338" t="str">
        <f>IFERROR(__xludf.DUMMYFUNCTION("""COMPUTED_VALUE"""),"Wg-450")</f>
        <v>Wg-450</v>
      </c>
      <c r="J386" s="536">
        <f>IFERROR(__xludf.DUMMYFUNCTION("""COMPUTED_VALUE"""),100000.0)</f>
        <v>100000</v>
      </c>
      <c r="K386" s="537">
        <f>IFERROR(__xludf.DUMMYFUNCTION("""COMPUTED_VALUE"""),46182.0)</f>
        <v>46182</v>
      </c>
      <c r="L386" s="537"/>
      <c r="M386" s="338" t="str">
        <f>IFERROR(__xludf.DUMMYFUNCTION("""COMPUTED_VALUE"""),"Пленка PP белая каучук")</f>
        <v>Пленка PP белая каучук</v>
      </c>
      <c r="N386" s="338" t="str">
        <f>IFERROR(__xludf.DUMMYFUNCTION("""COMPUTED_VALUE"""),"Отгружен")</f>
        <v>Отгружен</v>
      </c>
      <c r="O386" s="537"/>
      <c r="P386" s="338"/>
      <c r="Q386" s="338"/>
      <c r="R386" s="338"/>
      <c r="S386" s="338"/>
      <c r="T386" s="338"/>
      <c r="U386" s="338"/>
      <c r="V386" s="338"/>
      <c r="W386" s="338"/>
      <c r="X386" s="338"/>
      <c r="Y386" s="338"/>
      <c r="Z386" s="338"/>
    </row>
    <row r="387" ht="22.5" customHeight="1">
      <c r="A387" s="528" t="str">
        <f>IFERROR(__xludf.DUMMYFUNCTION("""COMPUTED_VALUE"""),"ООО Рыбный двор")</f>
        <v>ООО Рыбный двор</v>
      </c>
      <c r="B387" s="528"/>
      <c r="C387" s="528" t="str">
        <f>IFERROR(__xludf.DUMMYFUNCTION("""COMPUTED_VALUE"""),"Этикетка «Закуска к пиву» Sweet life")</f>
        <v>Этикетка «Закуска к пиву» Sweet life</v>
      </c>
      <c r="D387" s="528">
        <f>IFERROR(__xludf.DUMMYFUNCTION("""COMPUTED_VALUE"""),2948.0)</f>
        <v>2948</v>
      </c>
      <c r="E387" s="528" t="str">
        <f>IFERROR(__xludf.DUMMYFUNCTION("""COMPUTED_VALUE"""),"Римма Лукина")</f>
        <v>Римма Лукина</v>
      </c>
      <c r="F387" s="535" t="str">
        <f>IFERROR(__xludf.DUMMYFUNCTION("""COMPUTED_VALUE"""),"Новая")</f>
        <v>Новая</v>
      </c>
      <c r="G387" s="536" t="str">
        <f>IFERROR(__xludf.DUMMYFUNCTION("""COMPUTED_VALUE"""),"90*165")</f>
        <v>90*165</v>
      </c>
      <c r="H387" s="338" t="str">
        <f>IFERROR(__xludf.DUMMYFUNCTION("""COMPUTED_VALUE"""),"Флексопечать")</f>
        <v>Флексопечать</v>
      </c>
      <c r="I387" s="338" t="str">
        <f>IFERROR(__xludf.DUMMYFUNCTION("""COMPUTED_VALUE"""),"Bg-330")</f>
        <v>Bg-330</v>
      </c>
      <c r="J387" s="536">
        <f>IFERROR(__xludf.DUMMYFUNCTION("""COMPUTED_VALUE"""),5000.0)</f>
        <v>5000</v>
      </c>
      <c r="K387" s="537">
        <f>IFERROR(__xludf.DUMMYFUNCTION("""COMPUTED_VALUE"""),46183.0)</f>
        <v>46183</v>
      </c>
      <c r="L387" s="537"/>
      <c r="M387" s="338" t="str">
        <f>IFERROR(__xludf.DUMMYFUNCTION("""COMPUTED_VALUE"""),"Пленка PP белая акрил")</f>
        <v>Пленка PP белая акрил</v>
      </c>
      <c r="N387" s="338" t="str">
        <f>IFERROR(__xludf.DUMMYFUNCTION("""COMPUTED_VALUE"""),"Отгружен")</f>
        <v>Отгружен</v>
      </c>
      <c r="O387" s="537">
        <f>IFERROR(__xludf.DUMMYFUNCTION("""COMPUTED_VALUE"""),46188.0)</f>
        <v>46188</v>
      </c>
      <c r="P387" s="338" t="str">
        <f>IFERROR(__xludf.DUMMYFUNCTION("""COMPUTED_VALUE"""),"обязательно паспорта качества, маркировка роликов и групповой упаковки")</f>
        <v>обязательно паспорта качества, маркировка роликов и групповой упаковки</v>
      </c>
      <c r="Q387" s="338" t="str">
        <f>IFERROR(__xludf.DUMMYFUNCTION("""COMPUTED_VALUE"""),"заказываю СДЭК")</f>
        <v>заказываю СДЭК</v>
      </c>
      <c r="R387" s="338"/>
      <c r="S387" s="338"/>
      <c r="T387" s="338"/>
      <c r="U387" s="338"/>
      <c r="V387" s="338"/>
      <c r="W387" s="338"/>
      <c r="X387" s="338"/>
      <c r="Y387" s="338"/>
      <c r="Z387" s="338"/>
    </row>
    <row r="388" ht="22.5" customHeight="1">
      <c r="A388" s="528" t="str">
        <f>IFERROR(__xludf.DUMMYFUNCTION("""COMPUTED_VALUE"""),"ООО Рыбный двор")</f>
        <v>ООО Рыбный двор</v>
      </c>
      <c r="B388" s="528"/>
      <c r="C388" s="528" t="str">
        <f>IFERROR(__xludf.DUMMYFUNCTION("""COMPUTED_VALUE"""),"Этикетка «Кета вяленая 70гр» ")</f>
        <v>Этикетка «Кета вяленая 70гр» </v>
      </c>
      <c r="D388" s="528">
        <f>IFERROR(__xludf.DUMMYFUNCTION("""COMPUTED_VALUE"""),2949.0)</f>
        <v>2949</v>
      </c>
      <c r="E388" s="528" t="str">
        <f>IFERROR(__xludf.DUMMYFUNCTION("""COMPUTED_VALUE"""),"Римма Лукина")</f>
        <v>Римма Лукина</v>
      </c>
      <c r="F388" s="535" t="str">
        <f>IFERROR(__xludf.DUMMYFUNCTION("""COMPUTED_VALUE"""),"Новая")</f>
        <v>Новая</v>
      </c>
      <c r="G388" s="536" t="str">
        <f>IFERROR(__xludf.DUMMYFUNCTION("""COMPUTED_VALUE"""),"80*90")</f>
        <v>80*90</v>
      </c>
      <c r="H388" s="338" t="str">
        <f>IFERROR(__xludf.DUMMYFUNCTION("""COMPUTED_VALUE"""),"Флексопечать")</f>
        <v>Флексопечать</v>
      </c>
      <c r="I388" s="338" t="str">
        <f>IFERROR(__xludf.DUMMYFUNCTION("""COMPUTED_VALUE"""),"Bg-330")</f>
        <v>Bg-330</v>
      </c>
      <c r="J388" s="536">
        <f>IFERROR(__xludf.DUMMYFUNCTION("""COMPUTED_VALUE"""),10000.0)</f>
        <v>10000</v>
      </c>
      <c r="K388" s="537">
        <f>IFERROR(__xludf.DUMMYFUNCTION("""COMPUTED_VALUE"""),46183.0)</f>
        <v>46183</v>
      </c>
      <c r="L388" s="537"/>
      <c r="M388" s="338" t="str">
        <f>IFERROR(__xludf.DUMMYFUNCTION("""COMPUTED_VALUE"""),"Пленка PP белая акрил")</f>
        <v>Пленка PP белая акрил</v>
      </c>
      <c r="N388" s="338" t="str">
        <f>IFERROR(__xludf.DUMMYFUNCTION("""COMPUTED_VALUE"""),"Отгружен")</f>
        <v>Отгружен</v>
      </c>
      <c r="O388" s="537">
        <f>IFERROR(__xludf.DUMMYFUNCTION("""COMPUTED_VALUE"""),46188.0)</f>
        <v>46188</v>
      </c>
      <c r="P388" s="338" t="str">
        <f>IFERROR(__xludf.DUMMYFUNCTION("""COMPUTED_VALUE"""),"обязательно паспорта качества, маркировка роликов и групповой упаковки")</f>
        <v>обязательно паспорта качества, маркировка роликов и групповой упаковки</v>
      </c>
      <c r="Q388" s="338" t="str">
        <f>IFERROR(__xludf.DUMMYFUNCTION("""COMPUTED_VALUE"""),"заказываю СДЭК")</f>
        <v>заказываю СДЭК</v>
      </c>
      <c r="R388" s="338"/>
      <c r="S388" s="338"/>
      <c r="T388" s="338"/>
      <c r="U388" s="338"/>
      <c r="V388" s="338"/>
      <c r="W388" s="338"/>
      <c r="X388" s="338"/>
      <c r="Y388" s="338"/>
      <c r="Z388" s="338"/>
    </row>
    <row r="389" ht="22.5" customHeight="1">
      <c r="A389" s="528" t="str">
        <f>IFERROR(__xludf.DUMMYFUNCTION("""COMPUTED_VALUE"""),"ООО Рыбный двор")</f>
        <v>ООО Рыбный двор</v>
      </c>
      <c r="B389" s="528"/>
      <c r="C389" s="528" t="str">
        <f>IFERROR(__xludf.DUMMYFUNCTION("""COMPUTED_VALUE"""),"Этикетка «Минтай филе кусочки вяленые»")</f>
        <v>Этикетка «Минтай филе кусочки вяленые»</v>
      </c>
      <c r="D389" s="528">
        <f>IFERROR(__xludf.DUMMYFUNCTION("""COMPUTED_VALUE"""),2950.0)</f>
        <v>2950</v>
      </c>
      <c r="E389" s="528" t="str">
        <f>IFERROR(__xludf.DUMMYFUNCTION("""COMPUTED_VALUE"""),"Римма Лукина")</f>
        <v>Римма Лукина</v>
      </c>
      <c r="F389" s="535" t="str">
        <f>IFERROR(__xludf.DUMMYFUNCTION("""COMPUTED_VALUE"""),"Новая")</f>
        <v>Новая</v>
      </c>
      <c r="G389" s="536" t="str">
        <f>IFERROR(__xludf.DUMMYFUNCTION("""COMPUTED_VALUE"""),"80*90")</f>
        <v>80*90</v>
      </c>
      <c r="H389" s="338" t="str">
        <f>IFERROR(__xludf.DUMMYFUNCTION("""COMPUTED_VALUE"""),"Флексопечать")</f>
        <v>Флексопечать</v>
      </c>
      <c r="I389" s="338" t="str">
        <f>IFERROR(__xludf.DUMMYFUNCTION("""COMPUTED_VALUE"""),"Bg-330")</f>
        <v>Bg-330</v>
      </c>
      <c r="J389" s="536">
        <f>IFERROR(__xludf.DUMMYFUNCTION("""COMPUTED_VALUE"""),14000.0)</f>
        <v>14000</v>
      </c>
      <c r="K389" s="537">
        <f>IFERROR(__xludf.DUMMYFUNCTION("""COMPUTED_VALUE"""),46183.0)</f>
        <v>46183</v>
      </c>
      <c r="L389" s="537"/>
      <c r="M389" s="338" t="str">
        <f>IFERROR(__xludf.DUMMYFUNCTION("""COMPUTED_VALUE"""),"Пленка PP белая акрил")</f>
        <v>Пленка PP белая акрил</v>
      </c>
      <c r="N389" s="338" t="str">
        <f>IFERROR(__xludf.DUMMYFUNCTION("""COMPUTED_VALUE"""),"Отгружен")</f>
        <v>Отгружен</v>
      </c>
      <c r="O389" s="537">
        <f>IFERROR(__xludf.DUMMYFUNCTION("""COMPUTED_VALUE"""),46188.0)</f>
        <v>46188</v>
      </c>
      <c r="P389" s="338" t="str">
        <f>IFERROR(__xludf.DUMMYFUNCTION("""COMPUTED_VALUE"""),"обязательно паспорта качества, маркировка роликов и групповой упаковки")</f>
        <v>обязательно паспорта качества, маркировка роликов и групповой упаковки</v>
      </c>
      <c r="Q389" s="338" t="str">
        <f>IFERROR(__xludf.DUMMYFUNCTION("""COMPUTED_VALUE"""),"заказываю СДЭК")</f>
        <v>заказываю СДЭК</v>
      </c>
      <c r="R389" s="338"/>
      <c r="S389" s="338"/>
      <c r="T389" s="338"/>
      <c r="U389" s="338"/>
      <c r="V389" s="338"/>
      <c r="W389" s="338"/>
      <c r="X389" s="338"/>
      <c r="Y389" s="338"/>
      <c r="Z389" s="338"/>
    </row>
    <row r="390" ht="22.5" customHeight="1">
      <c r="A390" s="528" t="str">
        <f>IFERROR(__xludf.DUMMYFUNCTION("""COMPUTED_VALUE"""),"ООО Рыбный двор")</f>
        <v>ООО Рыбный двор</v>
      </c>
      <c r="B390" s="528"/>
      <c r="C390" s="528" t="str">
        <f>IFERROR(__xludf.DUMMYFUNCTION("""COMPUTED_VALUE"""),"Этикетка ""Мидии холодного копчения 80гр""")</f>
        <v>Этикетка "Мидии холодного копчения 80гр"</v>
      </c>
      <c r="D390" s="528">
        <f>IFERROR(__xludf.DUMMYFUNCTION("""COMPUTED_VALUE"""),3028.0)</f>
        <v>3028</v>
      </c>
      <c r="E390" s="528" t="str">
        <f>IFERROR(__xludf.DUMMYFUNCTION("""COMPUTED_VALUE"""),"Римма Лукина")</f>
        <v>Римма Лукина</v>
      </c>
      <c r="F390" s="535" t="str">
        <f>IFERROR(__xludf.DUMMYFUNCTION("""COMPUTED_VALUE"""),"Новая")</f>
        <v>Новая</v>
      </c>
      <c r="G390" s="536" t="str">
        <f>IFERROR(__xludf.DUMMYFUNCTION("""COMPUTED_VALUE"""),"80*90")</f>
        <v>80*90</v>
      </c>
      <c r="H390" s="338" t="str">
        <f>IFERROR(__xludf.DUMMYFUNCTION("""COMPUTED_VALUE"""),"Флексопечать")</f>
        <v>Флексопечать</v>
      </c>
      <c r="I390" s="338" t="str">
        <f>IFERROR(__xludf.DUMMYFUNCTION("""COMPUTED_VALUE"""),"Bg-330")</f>
        <v>Bg-330</v>
      </c>
      <c r="J390" s="536">
        <f>IFERROR(__xludf.DUMMYFUNCTION("""COMPUTED_VALUE"""),5000.0)</f>
        <v>5000</v>
      </c>
      <c r="K390" s="537">
        <f>IFERROR(__xludf.DUMMYFUNCTION("""COMPUTED_VALUE"""),46184.0)</f>
        <v>46184</v>
      </c>
      <c r="L390" s="537"/>
      <c r="M390" s="338" t="str">
        <f>IFERROR(__xludf.DUMMYFUNCTION("""COMPUTED_VALUE"""),"Пленка PP белая акрил")</f>
        <v>Пленка PP белая акрил</v>
      </c>
      <c r="N390" s="338" t="str">
        <f>IFERROR(__xludf.DUMMYFUNCTION("""COMPUTED_VALUE"""),"Отгружен")</f>
        <v>Отгружен</v>
      </c>
      <c r="O390" s="537">
        <f>IFERROR(__xludf.DUMMYFUNCTION("""COMPUTED_VALUE"""),46188.0)</f>
        <v>46188</v>
      </c>
      <c r="P390" s="338" t="str">
        <f>IFERROR(__xludf.DUMMYFUNCTION("""COMPUTED_VALUE"""),"обязательно паспорта качества, маркировка роликов и групповой упаковки")</f>
        <v>обязательно паспорта качества, маркировка роликов и групповой упаковки</v>
      </c>
      <c r="Q390" s="338"/>
      <c r="R390" s="338"/>
      <c r="S390" s="338"/>
      <c r="T390" s="338"/>
      <c r="U390" s="338"/>
      <c r="V390" s="338"/>
      <c r="W390" s="338"/>
      <c r="X390" s="338"/>
      <c r="Y390" s="338"/>
      <c r="Z390" s="338"/>
    </row>
    <row r="391" ht="22.5" customHeight="1">
      <c r="A391" s="528" t="str">
        <f>IFERROR(__xludf.DUMMYFUNCTION("""COMPUTED_VALUE"""),"ООО Аралия")</f>
        <v>ООО Аралия</v>
      </c>
      <c r="B391" s="528"/>
      <c r="C391" s="528" t="str">
        <f>IFERROR(__xludf.DUMMYFUNCTION("""COMPUTED_VALUE"""),"Этикетка Bez Tarelok ")</f>
        <v>Этикетка Bez Tarelok </v>
      </c>
      <c r="D391" s="528">
        <f>IFERROR(__xludf.DUMMYFUNCTION("""COMPUTED_VALUE"""),2995.0)</f>
        <v>2995</v>
      </c>
      <c r="E391" s="528" t="str">
        <f>IFERROR(__xludf.DUMMYFUNCTION("""COMPUTED_VALUE"""),"Шаповалова Юлия")</f>
        <v>Шаповалова Юлия</v>
      </c>
      <c r="F391" s="535" t="str">
        <f>IFERROR(__xludf.DUMMYFUNCTION("""COMPUTED_VALUE"""),"Повтор")</f>
        <v>Повтор</v>
      </c>
      <c r="G391" s="536" t="str">
        <f>IFERROR(__xludf.DUMMYFUNCTION("""COMPUTED_VALUE"""),"20*250")</f>
        <v>20*250</v>
      </c>
      <c r="H391" s="338" t="str">
        <f>IFERROR(__xludf.DUMMYFUNCTION("""COMPUTED_VALUE"""),"Флексопечать")</f>
        <v>Флексопечать</v>
      </c>
      <c r="I391" s="338" t="str">
        <f>IFERROR(__xludf.DUMMYFUNCTION("""COMPUTED_VALUE"""),"G-160")</f>
        <v>G-160</v>
      </c>
      <c r="J391" s="536">
        <f>IFERROR(__xludf.DUMMYFUNCTION("""COMPUTED_VALUE"""),6000.0)</f>
        <v>6000</v>
      </c>
      <c r="K391" s="537">
        <f>IFERROR(__xludf.DUMMYFUNCTION("""COMPUTED_VALUE"""),46184.0)</f>
        <v>46184</v>
      </c>
      <c r="L391" s="537"/>
      <c r="M391" s="338" t="str">
        <f>IFERROR(__xludf.DUMMYFUNCTION("""COMPUTED_VALUE"""),"Пленка PP прозрачная")</f>
        <v>Пленка PP прозрачная</v>
      </c>
      <c r="N391" s="338" t="str">
        <f>IFERROR(__xludf.DUMMYFUNCTION("""COMPUTED_VALUE"""),"Отгружен")</f>
        <v>Отгружен</v>
      </c>
      <c r="O391" s="537"/>
      <c r="P391" s="338" t="str">
        <f>IFERROR(__xludf.DUMMYFUNCTION("""COMPUTED_VALUE"""),"в отдельные коробеи")</f>
        <v>в отдельные коробеи</v>
      </c>
      <c r="Q391" s="338" t="str">
        <f>IFERROR(__xludf.DUMMYFUNCTION("""COMPUTED_VALUE"""),"г. Москва, 63-й км. МКАД, р-н Строгино, ул. Маршала Прошлякова, д. 26, корп. 3, стр. 6. тел.+7(926) 554-87-33 Екатерина с 9.00 до 16.00")</f>
        <v>г. Москва, 63-й км. МКАД, р-н Строгино, ул. Маршала Прошлякова, д. 26, корп. 3, стр. 6. тел.+7(926) 554-87-33 Екатерина с 9.00 до 16.00</v>
      </c>
      <c r="R391" s="338"/>
      <c r="S391" s="338"/>
      <c r="T391" s="338"/>
      <c r="U391" s="338"/>
      <c r="V391" s="338"/>
      <c r="W391" s="338"/>
      <c r="X391" s="338"/>
      <c r="Y391" s="338"/>
      <c r="Z391" s="338"/>
    </row>
    <row r="392" ht="22.5" customHeight="1">
      <c r="A392" s="528" t="str">
        <f>IFERROR(__xludf.DUMMYFUNCTION("""COMPUTED_VALUE"""),"ООО Кристель")</f>
        <v>ООО Кристель</v>
      </c>
      <c r="B392" s="528"/>
      <c r="C392" s="528" t="str">
        <f>IFERROR(__xludf.DUMMYFUNCTION("""COMPUTED_VALUE"""),"Этикетка Bez Tarelok")</f>
        <v>Этикетка Bez Tarelok</v>
      </c>
      <c r="D392" s="528">
        <f>IFERROR(__xludf.DUMMYFUNCTION("""COMPUTED_VALUE"""),2995.0)</f>
        <v>2995</v>
      </c>
      <c r="E392" s="528" t="str">
        <f>IFERROR(__xludf.DUMMYFUNCTION("""COMPUTED_VALUE"""),"Шаповалова Юлия")</f>
        <v>Шаповалова Юлия</v>
      </c>
      <c r="F392" s="535" t="str">
        <f>IFERROR(__xludf.DUMMYFUNCTION("""COMPUTED_VALUE"""),"Повтор")</f>
        <v>Повтор</v>
      </c>
      <c r="G392" s="536" t="str">
        <f>IFERROR(__xludf.DUMMYFUNCTION("""COMPUTED_VALUE"""),"20*250")</f>
        <v>20*250</v>
      </c>
      <c r="H392" s="338" t="str">
        <f>IFERROR(__xludf.DUMMYFUNCTION("""COMPUTED_VALUE"""),"Флексопечать")</f>
        <v>Флексопечать</v>
      </c>
      <c r="I392" s="338" t="str">
        <f>IFERROR(__xludf.DUMMYFUNCTION("""COMPUTED_VALUE"""),"G-160")</f>
        <v>G-160</v>
      </c>
      <c r="J392" s="536">
        <f>IFERROR(__xludf.DUMMYFUNCTION("""COMPUTED_VALUE"""),2000.0)</f>
        <v>2000</v>
      </c>
      <c r="K392" s="537">
        <f>IFERROR(__xludf.DUMMYFUNCTION("""COMPUTED_VALUE"""),46184.0)</f>
        <v>46184</v>
      </c>
      <c r="L392" s="537"/>
      <c r="M392" s="338" t="str">
        <f>IFERROR(__xludf.DUMMYFUNCTION("""COMPUTED_VALUE"""),"Пленка PP прозрачная")</f>
        <v>Пленка PP прозрачная</v>
      </c>
      <c r="N392" s="338" t="str">
        <f>IFERROR(__xludf.DUMMYFUNCTION("""COMPUTED_VALUE"""),"Отгружен")</f>
        <v>Отгружен</v>
      </c>
      <c r="O392" s="537"/>
      <c r="P392" s="338" t="str">
        <f>IFERROR(__xludf.DUMMYFUNCTION("""COMPUTED_VALUE"""),"в отдельные коробеи")</f>
        <v>в отдельные коробеи</v>
      </c>
      <c r="Q392" s="338" t="str">
        <f>IFERROR(__xludf.DUMMYFUNCTION("""COMPUTED_VALUE"""),"г. Москва, 63-й км. МКАД, р-н Строгино, ул. Маршала Прошлякова, д. 26, корп. 3, стр. 6. тел.+7(926) 554-87-33 Екатерина с 9.00 до 16.00")</f>
        <v>г. Москва, 63-й км. МКАД, р-н Строгино, ул. Маршала Прошлякова, д. 26, корп. 3, стр. 6. тел.+7(926) 554-87-33 Екатерина с 9.00 до 16.00</v>
      </c>
      <c r="R392" s="338"/>
      <c r="S392" s="338"/>
      <c r="T392" s="338"/>
      <c r="U392" s="338"/>
      <c r="V392" s="338"/>
      <c r="W392" s="338"/>
      <c r="X392" s="338"/>
      <c r="Y392" s="338"/>
      <c r="Z392" s="338"/>
    </row>
    <row r="393" ht="22.5" customHeight="1">
      <c r="A393" s="528" t="str">
        <f>IFERROR(__xludf.DUMMYFUNCTION("""COMPUTED_VALUE"""),"ООО Жозефина")</f>
        <v>ООО Жозефина</v>
      </c>
      <c r="B393" s="528"/>
      <c r="C393" s="528" t="str">
        <f>IFERROR(__xludf.DUMMYFUNCTION("""COMPUTED_VALUE"""),"Этикетка Bez Tarelok")</f>
        <v>Этикетка Bez Tarelok</v>
      </c>
      <c r="D393" s="528">
        <f>IFERROR(__xludf.DUMMYFUNCTION("""COMPUTED_VALUE"""),2995.0)</f>
        <v>2995</v>
      </c>
      <c r="E393" s="528" t="str">
        <f>IFERROR(__xludf.DUMMYFUNCTION("""COMPUTED_VALUE"""),"Шаповалова Юлия")</f>
        <v>Шаповалова Юлия</v>
      </c>
      <c r="F393" s="535" t="str">
        <f>IFERROR(__xludf.DUMMYFUNCTION("""COMPUTED_VALUE"""),"Повтор")</f>
        <v>Повтор</v>
      </c>
      <c r="G393" s="536" t="str">
        <f>IFERROR(__xludf.DUMMYFUNCTION("""COMPUTED_VALUE"""),"20*250")</f>
        <v>20*250</v>
      </c>
      <c r="H393" s="338" t="str">
        <f>IFERROR(__xludf.DUMMYFUNCTION("""COMPUTED_VALUE"""),"Флексопечать")</f>
        <v>Флексопечать</v>
      </c>
      <c r="I393" s="338" t="str">
        <f>IFERROR(__xludf.DUMMYFUNCTION("""COMPUTED_VALUE"""),"G-160")</f>
        <v>G-160</v>
      </c>
      <c r="J393" s="536">
        <f>IFERROR(__xludf.DUMMYFUNCTION("""COMPUTED_VALUE"""),2000.0)</f>
        <v>2000</v>
      </c>
      <c r="K393" s="537">
        <f>IFERROR(__xludf.DUMMYFUNCTION("""COMPUTED_VALUE"""),46184.0)</f>
        <v>46184</v>
      </c>
      <c r="L393" s="537"/>
      <c r="M393" s="338" t="str">
        <f>IFERROR(__xludf.DUMMYFUNCTION("""COMPUTED_VALUE"""),"Пленка PP прозрачная")</f>
        <v>Пленка PP прозрачная</v>
      </c>
      <c r="N393" s="338" t="str">
        <f>IFERROR(__xludf.DUMMYFUNCTION("""COMPUTED_VALUE"""),"Отгружен")</f>
        <v>Отгружен</v>
      </c>
      <c r="O393" s="537"/>
      <c r="P393" s="338" t="str">
        <f>IFERROR(__xludf.DUMMYFUNCTION("""COMPUTED_VALUE"""),"в отдельные коробеи")</f>
        <v>в отдельные коробеи</v>
      </c>
      <c r="Q393" s="338" t="str">
        <f>IFERROR(__xludf.DUMMYFUNCTION("""COMPUTED_VALUE"""),"г. Москва, 63-й км. МКАД, р-н Строгино, ул. Маршала Прошлякова, д. 26, корп. 3, стр. 6. тел.+7(926) 554-87-33 Екатерина с 9.00 до 16.00")</f>
        <v>г. Москва, 63-й км. МКАД, р-н Строгино, ул. Маршала Прошлякова, д. 26, корп. 3, стр. 6. тел.+7(926) 554-87-33 Екатерина с 9.00 до 16.00</v>
      </c>
      <c r="R393" s="338"/>
      <c r="S393" s="338"/>
      <c r="T393" s="338"/>
      <c r="U393" s="338"/>
      <c r="V393" s="338"/>
      <c r="W393" s="338"/>
      <c r="X393" s="338"/>
      <c r="Y393" s="338"/>
      <c r="Z393" s="338"/>
    </row>
    <row r="394" ht="22.5" customHeight="1">
      <c r="A394" s="528" t="str">
        <f>IFERROR(__xludf.DUMMYFUNCTION("""COMPUTED_VALUE"""),"ООО""ФерЭльГам""")</f>
        <v>ООО"ФерЭльГам"</v>
      </c>
      <c r="B394" s="528"/>
      <c r="C394" s="528" t="str">
        <f>IFERROR(__xludf.DUMMYFUNCTION("""COMPUTED_VALUE"""),"470853 Огурцы соленые 300 г в/у этик.")</f>
        <v>470853 Огурцы соленые 300 г в/у этик.</v>
      </c>
      <c r="D394" s="528">
        <f>IFERROR(__xludf.DUMMYFUNCTION("""COMPUTED_VALUE"""),3029.0)</f>
        <v>3029</v>
      </c>
      <c r="E394" s="528" t="str">
        <f>IFERROR(__xludf.DUMMYFUNCTION("""COMPUTED_VALUE"""),"Баранов Александр")</f>
        <v>Баранов Александр</v>
      </c>
      <c r="F394" s="535" t="str">
        <f>IFERROR(__xludf.DUMMYFUNCTION("""COMPUTED_VALUE"""),"Повтор")</f>
        <v>Повтор</v>
      </c>
      <c r="G394" s="536" t="str">
        <f>IFERROR(__xludf.DUMMYFUNCTION("""COMPUTED_VALUE"""),"48*122")</f>
        <v>48*122</v>
      </c>
      <c r="H394" s="338" t="str">
        <f>IFERROR(__xludf.DUMMYFUNCTION("""COMPUTED_VALUE"""),"Флексопечать")</f>
        <v>Флексопечать</v>
      </c>
      <c r="I394" s="338" t="str">
        <f>IFERROR(__xludf.DUMMYFUNCTION("""COMPUTED_VALUE"""),"Bg-330")</f>
        <v>Bg-330</v>
      </c>
      <c r="J394" s="536">
        <f>IFERROR(__xludf.DUMMYFUNCTION("""COMPUTED_VALUE"""),20000.0)</f>
        <v>20000</v>
      </c>
      <c r="K394" s="537">
        <f>IFERROR(__xludf.DUMMYFUNCTION("""COMPUTED_VALUE"""),46185.0)</f>
        <v>46185</v>
      </c>
      <c r="L394" s="537"/>
      <c r="M394" s="338" t="str">
        <f>IFERROR(__xludf.DUMMYFUNCTION("""COMPUTED_VALUE"""),"Пленка PP белая акрил")</f>
        <v>Пленка PP белая акрил</v>
      </c>
      <c r="N394" s="338" t="str">
        <f>IFERROR(__xludf.DUMMYFUNCTION("""COMPUTED_VALUE"""),"Отгружен")</f>
        <v>Отгружен</v>
      </c>
      <c r="O394" s="537"/>
      <c r="P394" s="338"/>
      <c r="Q394" s="338"/>
      <c r="R394" s="338"/>
      <c r="S394" s="338"/>
      <c r="T394" s="338"/>
      <c r="U394" s="338"/>
      <c r="V394" s="338"/>
      <c r="W394" s="338"/>
      <c r="X394" s="338"/>
      <c r="Y394" s="338"/>
      <c r="Z394" s="338"/>
    </row>
    <row r="395" ht="22.5" customHeight="1">
      <c r="A395" s="528" t="str">
        <f>IFERROR(__xludf.DUMMYFUNCTION("""COMPUTED_VALUE"""),"ООО""ФерЭльГам""")</f>
        <v>ООО"ФерЭльГам"</v>
      </c>
      <c r="B395" s="528"/>
      <c r="C395" s="528" t="str">
        <f>IFERROR(__xludf.DUMMYFUNCTION("""COMPUTED_VALUE"""),"450349 Ассорти овощное 800 Маркет Fresh этик.")</f>
        <v>450349 Ассорти овощное 800 Маркет Fresh этик.</v>
      </c>
      <c r="D395" s="528">
        <f>IFERROR(__xludf.DUMMYFUNCTION("""COMPUTED_VALUE"""),3030.0)</f>
        <v>3030</v>
      </c>
      <c r="E395" s="528" t="str">
        <f>IFERROR(__xludf.DUMMYFUNCTION("""COMPUTED_VALUE"""),"Баранов Александр")</f>
        <v>Баранов Александр</v>
      </c>
      <c r="F395" s="535" t="str">
        <f>IFERROR(__xludf.DUMMYFUNCTION("""COMPUTED_VALUE"""),"Повтор")</f>
        <v>Повтор</v>
      </c>
      <c r="G395" s="536" t="str">
        <f>IFERROR(__xludf.DUMMYFUNCTION("""COMPUTED_VALUE"""),"д95")</f>
        <v>д95</v>
      </c>
      <c r="H395" s="338" t="str">
        <f>IFERROR(__xludf.DUMMYFUNCTION("""COMPUTED_VALUE"""),"Флексопечать")</f>
        <v>Флексопечать</v>
      </c>
      <c r="I395" s="338" t="str">
        <f>IFERROR(__xludf.DUMMYFUNCTION("""COMPUTED_VALUE"""),"Wg-450")</f>
        <v>Wg-450</v>
      </c>
      <c r="J395" s="536">
        <f>IFERROR(__xludf.DUMMYFUNCTION("""COMPUTED_VALUE"""),20000.0)</f>
        <v>20000</v>
      </c>
      <c r="K395" s="537">
        <f>IFERROR(__xludf.DUMMYFUNCTION("""COMPUTED_VALUE"""),46185.0)</f>
        <v>46185</v>
      </c>
      <c r="L395" s="537"/>
      <c r="M395" s="338" t="str">
        <f>IFERROR(__xludf.DUMMYFUNCTION("""COMPUTED_VALUE"""),"Пленка PP белая акрил")</f>
        <v>Пленка PP белая акрил</v>
      </c>
      <c r="N395" s="338" t="str">
        <f>IFERROR(__xludf.DUMMYFUNCTION("""COMPUTED_VALUE"""),"Отгружен")</f>
        <v>Отгружен</v>
      </c>
      <c r="O395" s="537"/>
      <c r="P395" s="338"/>
      <c r="Q395" s="338"/>
      <c r="R395" s="338"/>
      <c r="S395" s="338"/>
      <c r="T395" s="338"/>
      <c r="U395" s="338"/>
      <c r="V395" s="338"/>
      <c r="W395" s="338"/>
      <c r="X395" s="338"/>
      <c r="Y395" s="338"/>
      <c r="Z395" s="338"/>
    </row>
    <row r="396" ht="22.5" customHeight="1">
      <c r="A396" s="528" t="str">
        <f>IFERROR(__xludf.DUMMYFUNCTION("""COMPUTED_VALUE"""),"ООО""ФерЭльГам""")</f>
        <v>ООО"ФерЭльГам"</v>
      </c>
      <c r="B396" s="528"/>
      <c r="C396" s="528" t="str">
        <f>IFERROR(__xludf.DUMMYFUNCTION("""COMPUTED_VALUE"""),"470261 Капуста с морковью по-корейски 300 г этик.")</f>
        <v>470261 Капуста с морковью по-корейски 300 г этик.</v>
      </c>
      <c r="D396" s="528">
        <f>IFERROR(__xludf.DUMMYFUNCTION("""COMPUTED_VALUE"""),3031.0)</f>
        <v>3031</v>
      </c>
      <c r="E396" s="528" t="str">
        <f>IFERROR(__xludf.DUMMYFUNCTION("""COMPUTED_VALUE"""),"Баранов Александр")</f>
        <v>Баранов Александр</v>
      </c>
      <c r="F396" s="535" t="str">
        <f>IFERROR(__xludf.DUMMYFUNCTION("""COMPUTED_VALUE"""),"Повтор")</f>
        <v>Повтор</v>
      </c>
      <c r="G396" s="536" t="str">
        <f>IFERROR(__xludf.DUMMYFUNCTION("""COMPUTED_VALUE"""),"д110")</f>
        <v>д110</v>
      </c>
      <c r="H396" s="338" t="str">
        <f>IFERROR(__xludf.DUMMYFUNCTION("""COMPUTED_VALUE"""),"Флексопечать")</f>
        <v>Флексопечать</v>
      </c>
      <c r="I396" s="338" t="str">
        <f>IFERROR(__xludf.DUMMYFUNCTION("""COMPUTED_VALUE"""),"Wg-450")</f>
        <v>Wg-450</v>
      </c>
      <c r="J396" s="536">
        <f>IFERROR(__xludf.DUMMYFUNCTION("""COMPUTED_VALUE"""),20000.0)</f>
        <v>20000</v>
      </c>
      <c r="K396" s="537">
        <f>IFERROR(__xludf.DUMMYFUNCTION("""COMPUTED_VALUE"""),46185.0)</f>
        <v>46185</v>
      </c>
      <c r="L396" s="537"/>
      <c r="M396" s="338" t="str">
        <f>IFERROR(__xludf.DUMMYFUNCTION("""COMPUTED_VALUE"""),"Пленка PP белая акрил")</f>
        <v>Пленка PP белая акрил</v>
      </c>
      <c r="N396" s="338" t="str">
        <f>IFERROR(__xludf.DUMMYFUNCTION("""COMPUTED_VALUE"""),"Отгружен")</f>
        <v>Отгружен</v>
      </c>
      <c r="O396" s="537"/>
      <c r="P396" s="338"/>
      <c r="Q396" s="338"/>
      <c r="R396" s="338"/>
      <c r="S396" s="338"/>
      <c r="T396" s="338"/>
      <c r="U396" s="338"/>
      <c r="V396" s="338"/>
      <c r="W396" s="338"/>
      <c r="X396" s="338"/>
      <c r="Y396" s="338"/>
      <c r="Z396" s="338"/>
    </row>
    <row r="397" ht="22.5" customHeight="1">
      <c r="A397" s="528" t="str">
        <f>IFERROR(__xludf.DUMMYFUNCTION("""COMPUTED_VALUE"""),"ООО""ФерЭльГам""")</f>
        <v>ООО"ФерЭльГам"</v>
      </c>
      <c r="B397" s="528"/>
      <c r="C397" s="528" t="str">
        <f>IFERROR(__xludf.DUMMYFUNCTION("""COMPUTED_VALUE"""),"470242 Капуста квашеная с морковью 500 г ГОСТ этик.")</f>
        <v>470242 Капуста квашеная с морковью 500 г ГОСТ этик.</v>
      </c>
      <c r="D397" s="528">
        <f>IFERROR(__xludf.DUMMYFUNCTION("""COMPUTED_VALUE"""),3032.0)</f>
        <v>3032</v>
      </c>
      <c r="E397" s="528" t="str">
        <f>IFERROR(__xludf.DUMMYFUNCTION("""COMPUTED_VALUE"""),"Баранов Александр")</f>
        <v>Баранов Александр</v>
      </c>
      <c r="F397" s="535" t="str">
        <f>IFERROR(__xludf.DUMMYFUNCTION("""COMPUTED_VALUE"""),"Повтор")</f>
        <v>Повтор</v>
      </c>
      <c r="G397" s="536" t="str">
        <f>IFERROR(__xludf.DUMMYFUNCTION("""COMPUTED_VALUE"""),"д110")</f>
        <v>д110</v>
      </c>
      <c r="H397" s="338" t="str">
        <f>IFERROR(__xludf.DUMMYFUNCTION("""COMPUTED_VALUE"""),"Флексопечать")</f>
        <v>Флексопечать</v>
      </c>
      <c r="I397" s="338" t="str">
        <f>IFERROR(__xludf.DUMMYFUNCTION("""COMPUTED_VALUE"""),"Wg-450")</f>
        <v>Wg-450</v>
      </c>
      <c r="J397" s="536">
        <f>IFERROR(__xludf.DUMMYFUNCTION("""COMPUTED_VALUE"""),10000.0)</f>
        <v>10000</v>
      </c>
      <c r="K397" s="537">
        <f>IFERROR(__xludf.DUMMYFUNCTION("""COMPUTED_VALUE"""),46185.0)</f>
        <v>46185</v>
      </c>
      <c r="L397" s="537"/>
      <c r="M397" s="338" t="str">
        <f>IFERROR(__xludf.DUMMYFUNCTION("""COMPUTED_VALUE"""),"Пленка PP белая акрил")</f>
        <v>Пленка PP белая акрил</v>
      </c>
      <c r="N397" s="338" t="str">
        <f>IFERROR(__xludf.DUMMYFUNCTION("""COMPUTED_VALUE"""),"Отгружен")</f>
        <v>Отгружен</v>
      </c>
      <c r="O397" s="537"/>
      <c r="P397" s="338"/>
      <c r="Q397" s="338"/>
      <c r="R397" s="338"/>
      <c r="S397" s="338"/>
      <c r="T397" s="338"/>
      <c r="U397" s="338"/>
      <c r="V397" s="338"/>
      <c r="W397" s="338"/>
      <c r="X397" s="338"/>
      <c r="Y397" s="338"/>
      <c r="Z397" s="338"/>
    </row>
    <row r="398" ht="22.5" customHeight="1">
      <c r="A398" s="528" t="str">
        <f>IFERROR(__xludf.DUMMYFUNCTION("""COMPUTED_VALUE"""),"ООО""ФерЭльГам""")</f>
        <v>ООО"ФерЭльГам"</v>
      </c>
      <c r="B398" s="528"/>
      <c r="C398" s="528" t="str">
        <f>IFERROR(__xludf.DUMMYFUNCTION("""COMPUTED_VALUE"""),"470813 Морковь по-корейски 300 г (Green vitamin) этик.")</f>
        <v>470813 Морковь по-корейски 300 г (Green vitamin) этик.</v>
      </c>
      <c r="D398" s="528">
        <f>IFERROR(__xludf.DUMMYFUNCTION("""COMPUTED_VALUE"""),3033.0)</f>
        <v>3033</v>
      </c>
      <c r="E398" s="528" t="str">
        <f>IFERROR(__xludf.DUMMYFUNCTION("""COMPUTED_VALUE"""),"Баранов Александр")</f>
        <v>Баранов Александр</v>
      </c>
      <c r="F398" s="535" t="str">
        <f>IFERROR(__xludf.DUMMYFUNCTION("""COMPUTED_VALUE"""),"Повтор")</f>
        <v>Повтор</v>
      </c>
      <c r="G398" s="536" t="str">
        <f>IFERROR(__xludf.DUMMYFUNCTION("""COMPUTED_VALUE"""),"д110")</f>
        <v>д110</v>
      </c>
      <c r="H398" s="338" t="str">
        <f>IFERROR(__xludf.DUMMYFUNCTION("""COMPUTED_VALUE"""),"Флексопечать")</f>
        <v>Флексопечать</v>
      </c>
      <c r="I398" s="338" t="str">
        <f>IFERROR(__xludf.DUMMYFUNCTION("""COMPUTED_VALUE"""),"Wg-450")</f>
        <v>Wg-450</v>
      </c>
      <c r="J398" s="536">
        <f>IFERROR(__xludf.DUMMYFUNCTION("""COMPUTED_VALUE"""),50000.0)</f>
        <v>50000</v>
      </c>
      <c r="K398" s="537">
        <f>IFERROR(__xludf.DUMMYFUNCTION("""COMPUTED_VALUE"""),46185.0)</f>
        <v>46185</v>
      </c>
      <c r="L398" s="537"/>
      <c r="M398" s="338" t="str">
        <f>IFERROR(__xludf.DUMMYFUNCTION("""COMPUTED_VALUE"""),"Пленка PP белая акрил")</f>
        <v>Пленка PP белая акрил</v>
      </c>
      <c r="N398" s="338" t="str">
        <f>IFERROR(__xludf.DUMMYFUNCTION("""COMPUTED_VALUE"""),"Отгружен")</f>
        <v>Отгружен</v>
      </c>
      <c r="O398" s="537"/>
      <c r="P398" s="338"/>
      <c r="Q398" s="338"/>
      <c r="R398" s="338"/>
      <c r="S398" s="338"/>
      <c r="T398" s="338"/>
      <c r="U398" s="338"/>
      <c r="V398" s="338"/>
      <c r="W398" s="338"/>
      <c r="X398" s="338"/>
      <c r="Y398" s="338"/>
      <c r="Z398" s="338"/>
    </row>
    <row r="399" ht="22.5" customHeight="1">
      <c r="A399" s="528" t="str">
        <f>IFERROR(__xludf.DUMMYFUNCTION("""COMPUTED_VALUE"""),"ООО""ФерЭльГам""")</f>
        <v>ООО"ФерЭльГам"</v>
      </c>
      <c r="B399" s="528"/>
      <c r="C399" s="528" t="str">
        <f>IFERROR(__xludf.DUMMYFUNCTION("""COMPUTED_VALUE"""),"470810 Капуста квашеная с морковью 500 г (Global village). Этик")</f>
        <v>470810 Капуста квашеная с морковью 500 г (Global village). Этик</v>
      </c>
      <c r="D399" s="528">
        <f>IFERROR(__xludf.DUMMYFUNCTION("""COMPUTED_VALUE"""),3034.0)</f>
        <v>3034</v>
      </c>
      <c r="E399" s="528" t="str">
        <f>IFERROR(__xludf.DUMMYFUNCTION("""COMPUTED_VALUE"""),"Баранов Александр")</f>
        <v>Баранов Александр</v>
      </c>
      <c r="F399" s="535" t="str">
        <f>IFERROR(__xludf.DUMMYFUNCTION("""COMPUTED_VALUE"""),"Повтор")</f>
        <v>Повтор</v>
      </c>
      <c r="G399" s="536" t="str">
        <f>IFERROR(__xludf.DUMMYFUNCTION("""COMPUTED_VALUE"""),"д99")</f>
        <v>д99</v>
      </c>
      <c r="H399" s="338" t="str">
        <f>IFERROR(__xludf.DUMMYFUNCTION("""COMPUTED_VALUE"""),"Флексопечать")</f>
        <v>Флексопечать</v>
      </c>
      <c r="I399" s="338" t="str">
        <f>IFERROR(__xludf.DUMMYFUNCTION("""COMPUTED_VALUE"""),"Wg-450")</f>
        <v>Wg-450</v>
      </c>
      <c r="J399" s="536">
        <f>IFERROR(__xludf.DUMMYFUNCTION("""COMPUTED_VALUE"""),150000.0)</f>
        <v>150000</v>
      </c>
      <c r="K399" s="537">
        <f>IFERROR(__xludf.DUMMYFUNCTION("""COMPUTED_VALUE"""),46185.0)</f>
        <v>46185</v>
      </c>
      <c r="L399" s="537"/>
      <c r="M399" s="338" t="str">
        <f>IFERROR(__xludf.DUMMYFUNCTION("""COMPUTED_VALUE"""),"Пленка PP белая акрил")</f>
        <v>Пленка PP белая акрил</v>
      </c>
      <c r="N399" s="338" t="str">
        <f>IFERROR(__xludf.DUMMYFUNCTION("""COMPUTED_VALUE"""),"Отгружен")</f>
        <v>Отгружен</v>
      </c>
      <c r="O399" s="537"/>
      <c r="P399" s="338"/>
      <c r="Q399" s="338"/>
      <c r="R399" s="338"/>
      <c r="S399" s="338"/>
      <c r="T399" s="338"/>
      <c r="U399" s="338"/>
      <c r="V399" s="338"/>
      <c r="W399" s="338"/>
      <c r="X399" s="338"/>
      <c r="Y399" s="338"/>
      <c r="Z399" s="338"/>
    </row>
    <row r="400" ht="22.5" customHeight="1">
      <c r="A400" s="528" t="str">
        <f>IFERROR(__xludf.DUMMYFUNCTION("""COMPUTED_VALUE"""),"ООО""ФерЭльГам""")</f>
        <v>ООО"ФерЭльГам"</v>
      </c>
      <c r="B400" s="528"/>
      <c r="C400" s="528" t="str">
        <f>IFERROR(__xludf.DUMMYFUNCTION("""COMPUTED_VALUE"""),"470846 Капуста маринованная с морковью и шафраном 300 г")</f>
        <v>470846 Капуста маринованная с морковью и шафраном 300 г</v>
      </c>
      <c r="D400" s="528">
        <f>IFERROR(__xludf.DUMMYFUNCTION("""COMPUTED_VALUE"""),3035.0)</f>
        <v>3035</v>
      </c>
      <c r="E400" s="528" t="str">
        <f>IFERROR(__xludf.DUMMYFUNCTION("""COMPUTED_VALUE"""),"Баранов Александр")</f>
        <v>Баранов Александр</v>
      </c>
      <c r="F400" s="535" t="str">
        <f>IFERROR(__xludf.DUMMYFUNCTION("""COMPUTED_VALUE"""),"Повтор")</f>
        <v>Повтор</v>
      </c>
      <c r="G400" s="536" t="str">
        <f>IFERROR(__xludf.DUMMYFUNCTION("""COMPUTED_VALUE"""),"д110")</f>
        <v>д110</v>
      </c>
      <c r="H400" s="338" t="str">
        <f>IFERROR(__xludf.DUMMYFUNCTION("""COMPUTED_VALUE"""),"Флексопечать")</f>
        <v>Флексопечать</v>
      </c>
      <c r="I400" s="338" t="str">
        <f>IFERROR(__xludf.DUMMYFUNCTION("""COMPUTED_VALUE"""),"Wg-450")</f>
        <v>Wg-450</v>
      </c>
      <c r="J400" s="536">
        <f>IFERROR(__xludf.DUMMYFUNCTION("""COMPUTED_VALUE"""),20000.0)</f>
        <v>20000</v>
      </c>
      <c r="K400" s="537">
        <f>IFERROR(__xludf.DUMMYFUNCTION("""COMPUTED_VALUE"""),46185.0)</f>
        <v>46185</v>
      </c>
      <c r="L400" s="537"/>
      <c r="M400" s="338" t="str">
        <f>IFERROR(__xludf.DUMMYFUNCTION("""COMPUTED_VALUE"""),"Пленка PP белая акрил")</f>
        <v>Пленка PP белая акрил</v>
      </c>
      <c r="N400" s="338" t="str">
        <f>IFERROR(__xludf.DUMMYFUNCTION("""COMPUTED_VALUE"""),"Отгружен")</f>
        <v>Отгружен</v>
      </c>
      <c r="O400" s="537"/>
      <c r="P400" s="338"/>
      <c r="Q400" s="338"/>
      <c r="R400" s="338"/>
      <c r="S400" s="338"/>
      <c r="T400" s="338"/>
      <c r="U400" s="338"/>
      <c r="V400" s="338"/>
      <c r="W400" s="338"/>
      <c r="X400" s="338"/>
      <c r="Y400" s="338"/>
      <c r="Z400" s="338"/>
    </row>
    <row r="401" ht="22.5" customHeight="1">
      <c r="A401" s="528" t="str">
        <f>IFERROR(__xludf.DUMMYFUNCTION("""COMPUTED_VALUE"""),"ООО Меренга ")</f>
        <v>ООО Меренга </v>
      </c>
      <c r="B401" s="528"/>
      <c r="C401" s="528" t="str">
        <f>IFERROR(__xludf.DUMMYFUNCTION("""COMPUTED_VALUE"""),"Этикетка ""Эклер наполеон 165гр""")</f>
        <v>Этикетка "Эклер наполеон 165гр"</v>
      </c>
      <c r="D401" s="528">
        <f>IFERROR(__xludf.DUMMYFUNCTION("""COMPUTED_VALUE"""),3044.0)</f>
        <v>3044</v>
      </c>
      <c r="E401" s="528" t="str">
        <f>IFERROR(__xludf.DUMMYFUNCTION("""COMPUTED_VALUE"""),"Римма Лукина")</f>
        <v>Римма Лукина</v>
      </c>
      <c r="F401" s="535" t="str">
        <f>IFERROR(__xludf.DUMMYFUNCTION("""COMPUTED_VALUE"""),"Повтор")</f>
        <v>Повтор</v>
      </c>
      <c r="G401" s="536"/>
      <c r="H401" s="338" t="str">
        <f>IFERROR(__xludf.DUMMYFUNCTION("""COMPUTED_VALUE"""),"Флексопечать")</f>
        <v>Флексопечать</v>
      </c>
      <c r="I401" s="338" t="str">
        <f>IFERROR(__xludf.DUMMYFUNCTION("""COMPUTED_VALUE"""),"Bg-330")</f>
        <v>Bg-330</v>
      </c>
      <c r="J401" s="536">
        <f>IFERROR(__xludf.DUMMYFUNCTION("""COMPUTED_VALUE"""),20000.0)</f>
        <v>20000</v>
      </c>
      <c r="K401" s="537">
        <f>IFERROR(__xludf.DUMMYFUNCTION("""COMPUTED_VALUE"""),46184.0)</f>
        <v>46184</v>
      </c>
      <c r="L401" s="537"/>
      <c r="M401" s="338" t="str">
        <f>IFERROR(__xludf.DUMMYFUNCTION("""COMPUTED_VALUE"""),"Бумага полуглянец акрил")</f>
        <v>Бумага полуглянец акрил</v>
      </c>
      <c r="N401" s="338" t="str">
        <f>IFERROR(__xludf.DUMMYFUNCTION("""COMPUTED_VALUE"""),"Отгружен")</f>
        <v>Отгружен</v>
      </c>
      <c r="O401" s="537"/>
      <c r="P401" s="338" t="str">
        <f>IFERROR(__xludf.DUMMYFUNCTION("""COMPUTED_VALUE"""),"обязательно паспорта качества, маркировка роликов и групповой упаковки")</f>
        <v>обязательно паспорта качества, маркировка роликов и групповой упаковки</v>
      </c>
      <c r="Q401" s="338"/>
      <c r="R401" s="338"/>
      <c r="S401" s="338"/>
      <c r="T401" s="338"/>
      <c r="U401" s="338"/>
      <c r="V401" s="338"/>
      <c r="W401" s="338"/>
      <c r="X401" s="338"/>
      <c r="Y401" s="338"/>
      <c r="Z401" s="338"/>
    </row>
    <row r="402" ht="22.5" customHeight="1">
      <c r="A402" s="528" t="str">
        <f>IFERROR(__xludf.DUMMYFUNCTION("""COMPUTED_VALUE"""),"ООО Озон вкус")</f>
        <v>ООО Озон вкус</v>
      </c>
      <c r="B402" s="528"/>
      <c r="C402" s="528" t="str">
        <f>IFERROR(__xludf.DUMMYFUNCTION("""COMPUTED_VALUE"""),"Этикетка ""ЯЛ Сэндвич с курицей и печёным перцем, кремчизом, шпинатом и мёдом с чесноком""")</f>
        <v>Этикетка "ЯЛ Сэндвич с курицей и печёным перцем, кремчизом, шпинатом и мёдом с чесноком"</v>
      </c>
      <c r="D402" s="528">
        <f>IFERROR(__xludf.DUMMYFUNCTION("""COMPUTED_VALUE"""),3045.0)</f>
        <v>3045</v>
      </c>
      <c r="E402" s="528" t="str">
        <f>IFERROR(__xludf.DUMMYFUNCTION("""COMPUTED_VALUE"""),"Римма Лукина")</f>
        <v>Римма Лукина</v>
      </c>
      <c r="F402" s="535" t="str">
        <f>IFERROR(__xludf.DUMMYFUNCTION("""COMPUTED_VALUE"""),"Повтор")</f>
        <v>Повтор</v>
      </c>
      <c r="G402" s="536" t="str">
        <f>IFERROR(__xludf.DUMMYFUNCTION("""COMPUTED_VALUE"""),"87*117")</f>
        <v>87*117</v>
      </c>
      <c r="H402" s="338" t="str">
        <f>IFERROR(__xludf.DUMMYFUNCTION("""COMPUTED_VALUE"""),"Флексопечать")</f>
        <v>Флексопечать</v>
      </c>
      <c r="I402" s="338" t="str">
        <f>IFERROR(__xludf.DUMMYFUNCTION("""COMPUTED_VALUE"""),"Bg-330")</f>
        <v>Bg-330</v>
      </c>
      <c r="J402" s="536">
        <f>IFERROR(__xludf.DUMMYFUNCTION("""COMPUTED_VALUE"""),10000.0)</f>
        <v>10000</v>
      </c>
      <c r="K402" s="537">
        <f>IFERROR(__xludf.DUMMYFUNCTION("""COMPUTED_VALUE"""),46187.0)</f>
        <v>46187</v>
      </c>
      <c r="L402" s="537"/>
      <c r="M402" s="338" t="str">
        <f>IFERROR(__xludf.DUMMYFUNCTION("""COMPUTED_VALUE"""),"Термоэко")</f>
        <v>Термоэко</v>
      </c>
      <c r="N402" s="338" t="str">
        <f>IFERROR(__xludf.DUMMYFUNCTION("""COMPUTED_VALUE"""),"Отгружен")</f>
        <v>Отгружен</v>
      </c>
      <c r="O402" s="537"/>
      <c r="P402" s="338"/>
      <c r="Q402" s="338"/>
      <c r="R402" s="338"/>
      <c r="S402" s="338"/>
      <c r="T402" s="338"/>
      <c r="U402" s="338"/>
      <c r="V402" s="338"/>
      <c r="W402" s="338"/>
      <c r="X402" s="338"/>
      <c r="Y402" s="338"/>
      <c r="Z402" s="338"/>
    </row>
    <row r="403" ht="22.5" customHeight="1">
      <c r="A403" s="528" t="str">
        <f>IFERROR(__xludf.DUMMYFUNCTION("""COMPUTED_VALUE"""),"ООО""ФерЭльГам""")</f>
        <v>ООО"ФерЭльГам"</v>
      </c>
      <c r="B403" s="528"/>
      <c r="C403" s="528" t="str">
        <f>IFERROR(__xludf.DUMMYFUNCTION("""COMPUTED_VALUE"""),"470489 Помидоры_соленые_крас_Черри 500 г этик.")</f>
        <v>470489 Помидоры_соленые_крас_Черри 500 г этик.</v>
      </c>
      <c r="D403" s="528">
        <f>IFERROR(__xludf.DUMMYFUNCTION("""COMPUTED_VALUE"""),3049.0)</f>
        <v>3049</v>
      </c>
      <c r="E403" s="528" t="str">
        <f>IFERROR(__xludf.DUMMYFUNCTION("""COMPUTED_VALUE"""),"Баранов Александр")</f>
        <v>Баранов Александр</v>
      </c>
      <c r="F403" s="535" t="str">
        <f>IFERROR(__xludf.DUMMYFUNCTION("""COMPUTED_VALUE"""),"Новая")</f>
        <v>Новая</v>
      </c>
      <c r="G403" s="536" t="str">
        <f>IFERROR(__xludf.DUMMYFUNCTION("""COMPUTED_VALUE"""),"д110")</f>
        <v>д110</v>
      </c>
      <c r="H403" s="338" t="str">
        <f>IFERROR(__xludf.DUMMYFUNCTION("""COMPUTED_VALUE"""),"Цифра+Полуротация")</f>
        <v>Цифра+Полуротация</v>
      </c>
      <c r="I403" s="338" t="str">
        <f>IFERROR(__xludf.DUMMYFUNCTION("""COMPUTED_VALUE"""),"LS(ЦПМ)")</f>
        <v>LS(ЦПМ)</v>
      </c>
      <c r="J403" s="536">
        <f>IFERROR(__xludf.DUMMYFUNCTION("""COMPUTED_VALUE"""),5000.0)</f>
        <v>5000</v>
      </c>
      <c r="K403" s="537">
        <f>IFERROR(__xludf.DUMMYFUNCTION("""COMPUTED_VALUE"""),46188.0)</f>
        <v>46188</v>
      </c>
      <c r="L403" s="537"/>
      <c r="M403" s="338" t="str">
        <f>IFERROR(__xludf.DUMMYFUNCTION("""COMPUTED_VALUE"""),"Пленка PP белая каучук")</f>
        <v>Пленка PP белая каучук</v>
      </c>
      <c r="N403" s="338" t="str">
        <f>IFERROR(__xludf.DUMMYFUNCTION("""COMPUTED_VALUE"""),"Отгружен")</f>
        <v>Отгружен</v>
      </c>
      <c r="O403" s="537"/>
      <c r="P403" s="338"/>
      <c r="Q403" s="338"/>
      <c r="R403" s="338"/>
      <c r="S403" s="338"/>
      <c r="T403" s="338"/>
      <c r="U403" s="338"/>
      <c r="V403" s="338"/>
      <c r="W403" s="338"/>
      <c r="X403" s="338"/>
      <c r="Y403" s="338"/>
      <c r="Z403" s="338"/>
    </row>
    <row r="404" ht="22.5" customHeight="1">
      <c r="A404" s="528" t="str">
        <f>IFERROR(__xludf.DUMMYFUNCTION("""COMPUTED_VALUE"""),"ООО""ФерЭльГам""")</f>
        <v>ООО"ФерЭльГам"</v>
      </c>
      <c r="B404" s="528"/>
      <c r="C404" s="528" t="str">
        <f>IFERROR(__xludf.DUMMYFUNCTION("""COMPUTED_VALUE"""),"470851 Грибы соленые Опята 250 г этик.")</f>
        <v>470851 Грибы соленые Опята 250 г этик.</v>
      </c>
      <c r="D404" s="528">
        <f>IFERROR(__xludf.DUMMYFUNCTION("""COMPUTED_VALUE"""),3050.0)</f>
        <v>3050</v>
      </c>
      <c r="E404" s="528" t="str">
        <f>IFERROR(__xludf.DUMMYFUNCTION("""COMPUTED_VALUE"""),"Баранов Александр")</f>
        <v>Баранов Александр</v>
      </c>
      <c r="F404" s="535" t="str">
        <f>IFERROR(__xludf.DUMMYFUNCTION("""COMPUTED_VALUE"""),"Новая")</f>
        <v>Новая</v>
      </c>
      <c r="G404" s="536" t="str">
        <f>IFERROR(__xludf.DUMMYFUNCTION("""COMPUTED_VALUE"""),"д80")</f>
        <v>д80</v>
      </c>
      <c r="H404" s="338" t="str">
        <f>IFERROR(__xludf.DUMMYFUNCTION("""COMPUTED_VALUE"""),"Цифра+Полуротация")</f>
        <v>Цифра+Полуротация</v>
      </c>
      <c r="I404" s="338" t="str">
        <f>IFERROR(__xludf.DUMMYFUNCTION("""COMPUTED_VALUE"""),"LS(ЦПМ)")</f>
        <v>LS(ЦПМ)</v>
      </c>
      <c r="J404" s="536">
        <f>IFERROR(__xludf.DUMMYFUNCTION("""COMPUTED_VALUE"""),5000.0)</f>
        <v>5000</v>
      </c>
      <c r="K404" s="537">
        <f>IFERROR(__xludf.DUMMYFUNCTION("""COMPUTED_VALUE"""),46188.0)</f>
        <v>46188</v>
      </c>
      <c r="L404" s="537"/>
      <c r="M404" s="338" t="str">
        <f>IFERROR(__xludf.DUMMYFUNCTION("""COMPUTED_VALUE"""),"Пленка PP белая каучук")</f>
        <v>Пленка PP белая каучук</v>
      </c>
      <c r="N404" s="338" t="str">
        <f>IFERROR(__xludf.DUMMYFUNCTION("""COMPUTED_VALUE"""),"Отгружен")</f>
        <v>Отгружен</v>
      </c>
      <c r="O404" s="537"/>
      <c r="P404" s="338"/>
      <c r="Q404" s="338"/>
      <c r="R404" s="338"/>
      <c r="S404" s="338"/>
      <c r="T404" s="338"/>
      <c r="U404" s="338"/>
      <c r="V404" s="338"/>
      <c r="W404" s="338"/>
      <c r="X404" s="338"/>
      <c r="Y404" s="338"/>
      <c r="Z404" s="338"/>
    </row>
    <row r="405" ht="22.5" customHeight="1">
      <c r="A405" s="528" t="str">
        <f>IFERROR(__xludf.DUMMYFUNCTION("""COMPUTED_VALUE"""),"ООО Озон вкус")</f>
        <v>ООО Озон вкус</v>
      </c>
      <c r="B405" s="528"/>
      <c r="C405" s="528" t="str">
        <f>IFERROR(__xludf.DUMMYFUNCTION("""COMPUTED_VALUE"""),"Термоэтикетка 58*100 ")</f>
        <v>Термоэтикетка 58*100 </v>
      </c>
      <c r="D405" s="528">
        <f>IFERROR(__xludf.DUMMYFUNCTION("""COMPUTED_VALUE"""),3069.0)</f>
        <v>3069</v>
      </c>
      <c r="E405" s="528" t="str">
        <f>IFERROR(__xludf.DUMMYFUNCTION("""COMPUTED_VALUE"""),"Римма Лукина")</f>
        <v>Римма Лукина</v>
      </c>
      <c r="F405" s="535" t="str">
        <f>IFERROR(__xludf.DUMMYFUNCTION("""COMPUTED_VALUE"""),"Повтор")</f>
        <v>Повтор</v>
      </c>
      <c r="G405" s="536" t="str">
        <f>IFERROR(__xludf.DUMMYFUNCTION("""COMPUTED_VALUE"""),"58*99")</f>
        <v>58*99</v>
      </c>
      <c r="H405" s="338" t="str">
        <f>IFERROR(__xludf.DUMMYFUNCTION("""COMPUTED_VALUE"""),"Флексопечать")</f>
        <v>Флексопечать</v>
      </c>
      <c r="I405" s="338"/>
      <c r="J405" s="536">
        <f>IFERROR(__xludf.DUMMYFUNCTION("""COMPUTED_VALUE"""),50000.0)</f>
        <v>50000</v>
      </c>
      <c r="K405" s="537">
        <f>IFERROR(__xludf.DUMMYFUNCTION("""COMPUTED_VALUE"""),46187.0)</f>
        <v>46187</v>
      </c>
      <c r="L405" s="537"/>
      <c r="M405" s="338" t="str">
        <f>IFERROR(__xludf.DUMMYFUNCTION("""COMPUTED_VALUE"""),"Термо Топ")</f>
        <v>Термо Топ</v>
      </c>
      <c r="N405" s="338" t="str">
        <f>IFERROR(__xludf.DUMMYFUNCTION("""COMPUTED_VALUE"""),"Отгружен")</f>
        <v>Отгружен</v>
      </c>
      <c r="O405" s="537">
        <f>IFERROR(__xludf.DUMMYFUNCTION("""COMPUTED_VALUE"""),46190.0)</f>
        <v>46190</v>
      </c>
      <c r="P405" s="338"/>
      <c r="Q405" s="338"/>
      <c r="R405" s="338"/>
      <c r="S405" s="338"/>
      <c r="T405" s="338"/>
      <c r="U405" s="338"/>
      <c r="V405" s="338"/>
      <c r="W405" s="338"/>
      <c r="X405" s="338"/>
      <c r="Y405" s="338"/>
      <c r="Z405" s="338"/>
    </row>
    <row r="406" ht="22.5" customHeight="1">
      <c r="A406" s="528" t="str">
        <f>IFERROR(__xludf.DUMMYFUNCTION("""COMPUTED_VALUE"""),"ООО РУССКО")</f>
        <v>ООО РУССКО</v>
      </c>
      <c r="B406" s="528"/>
      <c r="C406" s="528" t="str">
        <f>IFERROR(__xludf.DUMMYFUNCTION("""COMPUTED_VALUE"""),"Этикетка Лапша быстрого приготовления Чизи Рамен острый вкус")</f>
        <v>Этикетка Лапша быстрого приготовления Чизи Рамен острый вкус</v>
      </c>
      <c r="D406" s="528">
        <f>IFERROR(__xludf.DUMMYFUNCTION("""COMPUTED_VALUE"""),3083.0)</f>
        <v>3083</v>
      </c>
      <c r="E406" s="528" t="str">
        <f>IFERROR(__xludf.DUMMYFUNCTION("""COMPUTED_VALUE"""),"Шаповалова Юлия")</f>
        <v>Шаповалова Юлия</v>
      </c>
      <c r="F406" s="535" t="str">
        <f>IFERROR(__xludf.DUMMYFUNCTION("""COMPUTED_VALUE"""),"Новая")</f>
        <v>Новая</v>
      </c>
      <c r="G406" s="536" t="str">
        <f>IFERROR(__xludf.DUMMYFUNCTION("""COMPUTED_VALUE"""),"100*70")</f>
        <v>100*70</v>
      </c>
      <c r="H406" s="338" t="str">
        <f>IFERROR(__xludf.DUMMYFUNCTION("""COMPUTED_VALUE"""),"Флексопечать")</f>
        <v>Флексопечать</v>
      </c>
      <c r="I406" s="338" t="str">
        <f>IFERROR(__xludf.DUMMYFUNCTION("""COMPUTED_VALUE"""),"G-160")</f>
        <v>G-160</v>
      </c>
      <c r="J406" s="536" t="str">
        <f>IFERROR(__xludf.DUMMYFUNCTION("""COMPUTED_VALUE"""),"50 000")</f>
        <v>50 000</v>
      </c>
      <c r="K406" s="537">
        <f>IFERROR(__xludf.DUMMYFUNCTION("""COMPUTED_VALUE"""),46188.0)</f>
        <v>46188</v>
      </c>
      <c r="L406" s="537"/>
      <c r="M406" s="338" t="str">
        <f>IFERROR(__xludf.DUMMYFUNCTION("""COMPUTED_VALUE"""),"Бумага полуглянец акрил")</f>
        <v>Бумага полуглянец акрил</v>
      </c>
      <c r="N406" s="338" t="str">
        <f>IFERROR(__xludf.DUMMYFUNCTION("""COMPUTED_VALUE"""),"Отгружен")</f>
        <v>Отгружен</v>
      </c>
      <c r="O406" s="537"/>
      <c r="P406" s="338"/>
      <c r="Q406" s="338" t="str">
        <f>IFERROR(__xludf.DUMMYFUNCTION("""COMPUTED_VALUE"""),"Пушкино, мкрн Мамонтовка, ул. Рабочая, 1, с3склад ЛигК,
с 9:00-17:00, въезд до 16:30,
89122505588, 8(495) 775-01-38")</f>
        <v>Пушкино, мкрн Мамонтовка, ул. Рабочая, 1, с3склад ЛигК,
с 9:00-17:00, въезд до 16:30,
89122505588, 8(495) 775-01-38</v>
      </c>
      <c r="R406" s="338"/>
      <c r="S406" s="338"/>
      <c r="T406" s="338"/>
      <c r="U406" s="338"/>
      <c r="V406" s="338"/>
      <c r="W406" s="338"/>
      <c r="X406" s="338"/>
      <c r="Y406" s="338"/>
      <c r="Z406" s="338"/>
    </row>
    <row r="407" ht="22.5" customHeight="1">
      <c r="A407" s="528" t="str">
        <f>IFERROR(__xludf.DUMMYFUNCTION("""COMPUTED_VALUE"""),"ООО РУССКО")</f>
        <v>ООО РУССКО</v>
      </c>
      <c r="B407" s="528"/>
      <c r="C407" s="528" t="str">
        <f>IFERROR(__xludf.DUMMYFUNCTION("""COMPUTED_VALUE"""),"Этикетка Лапша быстрого приготовления ""Чизи Рамен"" со вкусом чеддер")</f>
        <v>Этикетка Лапша быстрого приготовления "Чизи Рамен" со вкусом чеддер</v>
      </c>
      <c r="D407" s="528">
        <f>IFERROR(__xludf.DUMMYFUNCTION("""COMPUTED_VALUE"""),3084.0)</f>
        <v>3084</v>
      </c>
      <c r="E407" s="528" t="str">
        <f>IFERROR(__xludf.DUMMYFUNCTION("""COMPUTED_VALUE"""),"Шаповалова Юлия")</f>
        <v>Шаповалова Юлия</v>
      </c>
      <c r="F407" s="535" t="str">
        <f>IFERROR(__xludf.DUMMYFUNCTION("""COMPUTED_VALUE"""),"Новая")</f>
        <v>Новая</v>
      </c>
      <c r="G407" s="536" t="str">
        <f>IFERROR(__xludf.DUMMYFUNCTION("""COMPUTED_VALUE"""),"100*70")</f>
        <v>100*70</v>
      </c>
      <c r="H407" s="338" t="str">
        <f>IFERROR(__xludf.DUMMYFUNCTION("""COMPUTED_VALUE"""),"Флексопечать")</f>
        <v>Флексопечать</v>
      </c>
      <c r="I407" s="338" t="str">
        <f>IFERROR(__xludf.DUMMYFUNCTION("""COMPUTED_VALUE"""),"G-160")</f>
        <v>G-160</v>
      </c>
      <c r="J407" s="536" t="str">
        <f>IFERROR(__xludf.DUMMYFUNCTION("""COMPUTED_VALUE"""),"50 000")</f>
        <v>50 000</v>
      </c>
      <c r="K407" s="537">
        <f>IFERROR(__xludf.DUMMYFUNCTION("""COMPUTED_VALUE"""),46188.0)</f>
        <v>46188</v>
      </c>
      <c r="L407" s="537"/>
      <c r="M407" s="338" t="str">
        <f>IFERROR(__xludf.DUMMYFUNCTION("""COMPUTED_VALUE"""),"Бумага полуглянец акрил")</f>
        <v>Бумага полуглянец акрил</v>
      </c>
      <c r="N407" s="338" t="str">
        <f>IFERROR(__xludf.DUMMYFUNCTION("""COMPUTED_VALUE"""),"Отгружен")</f>
        <v>Отгружен</v>
      </c>
      <c r="O407" s="537"/>
      <c r="P407" s="338"/>
      <c r="Q407" s="338" t="str">
        <f>IFERROR(__xludf.DUMMYFUNCTION("""COMPUTED_VALUE"""),"Пушкино, мкрн Мамонтовка, ул. Рабочая, 1, с3склад ЛигК,
с 9:00-17:00, въезд до 16:30,
89122505588, 8(495) 775-01-38")</f>
        <v>Пушкино, мкрн Мамонтовка, ул. Рабочая, 1, с3склад ЛигК,
с 9:00-17:00, въезд до 16:30,
89122505588, 8(495) 775-01-38</v>
      </c>
      <c r="R407" s="338"/>
      <c r="S407" s="338"/>
      <c r="T407" s="338"/>
      <c r="U407" s="338"/>
      <c r="V407" s="338"/>
      <c r="W407" s="338"/>
      <c r="X407" s="338"/>
      <c r="Y407" s="338"/>
      <c r="Z407" s="338"/>
    </row>
    <row r="408" ht="22.5" customHeight="1">
      <c r="A408" s="528" t="str">
        <f>IFERROR(__xludf.DUMMYFUNCTION("""COMPUTED_VALUE"""),"ООО РУССКО")</f>
        <v>ООО РУССКО</v>
      </c>
      <c r="B408" s="528"/>
      <c r="C408" s="528" t="str">
        <f>IFERROR(__xludf.DUMMYFUNCTION("""COMPUTED_VALUE"""),"Этикетка Лапша быстрого приготовления Чизи Рамен со вкусом сыра Чеддер и Маскарпоне")</f>
        <v>Этикетка Лапша быстрого приготовления Чизи Рамен со вкусом сыра Чеддер и Маскарпоне</v>
      </c>
      <c r="D408" s="528">
        <f>IFERROR(__xludf.DUMMYFUNCTION("""COMPUTED_VALUE"""),3085.0)</f>
        <v>3085</v>
      </c>
      <c r="E408" s="528" t="str">
        <f>IFERROR(__xludf.DUMMYFUNCTION("""COMPUTED_VALUE"""),"Шаповалова Юлия")</f>
        <v>Шаповалова Юлия</v>
      </c>
      <c r="F408" s="535" t="str">
        <f>IFERROR(__xludf.DUMMYFUNCTION("""COMPUTED_VALUE"""),"Новая")</f>
        <v>Новая</v>
      </c>
      <c r="G408" s="536" t="str">
        <f>IFERROR(__xludf.DUMMYFUNCTION("""COMPUTED_VALUE"""),"100*70")</f>
        <v>100*70</v>
      </c>
      <c r="H408" s="338" t="str">
        <f>IFERROR(__xludf.DUMMYFUNCTION("""COMPUTED_VALUE"""),"Флексопечать")</f>
        <v>Флексопечать</v>
      </c>
      <c r="I408" s="338" t="str">
        <f>IFERROR(__xludf.DUMMYFUNCTION("""COMPUTED_VALUE"""),"G-160")</f>
        <v>G-160</v>
      </c>
      <c r="J408" s="536" t="str">
        <f>IFERROR(__xludf.DUMMYFUNCTION("""COMPUTED_VALUE"""),"50 000")</f>
        <v>50 000</v>
      </c>
      <c r="K408" s="537">
        <f>IFERROR(__xludf.DUMMYFUNCTION("""COMPUTED_VALUE"""),46188.0)</f>
        <v>46188</v>
      </c>
      <c r="L408" s="537"/>
      <c r="M408" s="338" t="str">
        <f>IFERROR(__xludf.DUMMYFUNCTION("""COMPUTED_VALUE"""),"Бумага полуглянец акрил")</f>
        <v>Бумага полуглянец акрил</v>
      </c>
      <c r="N408" s="338" t="str">
        <f>IFERROR(__xludf.DUMMYFUNCTION("""COMPUTED_VALUE"""),"Отгружен")</f>
        <v>Отгружен</v>
      </c>
      <c r="O408" s="537"/>
      <c r="P408" s="338"/>
      <c r="Q408" s="338" t="str">
        <f>IFERROR(__xludf.DUMMYFUNCTION("""COMPUTED_VALUE"""),"Пушкино, мкрн Мамонтовка, ул. Рабочая, 1, с3склад ЛигК,
с 9:00-17:00, въезд до 16:30,
89122505588, 8(495) 775-01-38")</f>
        <v>Пушкино, мкрн Мамонтовка, ул. Рабочая, 1, с3склад ЛигК,
с 9:00-17:00, въезд до 16:30,
89122505588, 8(495) 775-01-38</v>
      </c>
      <c r="R408" s="338"/>
      <c r="S408" s="338"/>
      <c r="T408" s="338"/>
      <c r="U408" s="338"/>
      <c r="V408" s="338"/>
      <c r="W408" s="338"/>
      <c r="X408" s="338"/>
      <c r="Y408" s="338"/>
      <c r="Z408" s="338"/>
    </row>
    <row r="409" ht="22.5" customHeight="1">
      <c r="A409" s="528" t="str">
        <f>IFERROR(__xludf.DUMMYFUNCTION("""COMPUTED_VALUE"""),"ООО РУССКО")</f>
        <v>ООО РУССКО</v>
      </c>
      <c r="B409" s="528"/>
      <c r="C409" s="528" t="str">
        <f>IFERROR(__xludf.DUMMYFUNCTION("""COMPUTED_VALUE"""),"Этикетка Лапша быстрого приготовления Чизи Рамен со вкусом острого перца Чили и сыра Чеддер")</f>
        <v>Этикетка Лапша быстрого приготовления Чизи Рамен со вкусом острого перца Чили и сыра Чеддер</v>
      </c>
      <c r="D409" s="528">
        <f>IFERROR(__xludf.DUMMYFUNCTION("""COMPUTED_VALUE"""),3086.0)</f>
        <v>3086</v>
      </c>
      <c r="E409" s="528" t="str">
        <f>IFERROR(__xludf.DUMMYFUNCTION("""COMPUTED_VALUE"""),"Шаповалова Юлия")</f>
        <v>Шаповалова Юлия</v>
      </c>
      <c r="F409" s="535" t="str">
        <f>IFERROR(__xludf.DUMMYFUNCTION("""COMPUTED_VALUE"""),"Новая")</f>
        <v>Новая</v>
      </c>
      <c r="G409" s="536" t="str">
        <f>IFERROR(__xludf.DUMMYFUNCTION("""COMPUTED_VALUE"""),"100*70")</f>
        <v>100*70</v>
      </c>
      <c r="H409" s="338" t="str">
        <f>IFERROR(__xludf.DUMMYFUNCTION("""COMPUTED_VALUE"""),"Флексопечать")</f>
        <v>Флексопечать</v>
      </c>
      <c r="I409" s="338" t="str">
        <f>IFERROR(__xludf.DUMMYFUNCTION("""COMPUTED_VALUE"""),"G-160")</f>
        <v>G-160</v>
      </c>
      <c r="J409" s="536" t="str">
        <f>IFERROR(__xludf.DUMMYFUNCTION("""COMPUTED_VALUE"""),"50 000")</f>
        <v>50 000</v>
      </c>
      <c r="K409" s="537">
        <f>IFERROR(__xludf.DUMMYFUNCTION("""COMPUTED_VALUE"""),46188.0)</f>
        <v>46188</v>
      </c>
      <c r="L409" s="537"/>
      <c r="M409" s="338" t="str">
        <f>IFERROR(__xludf.DUMMYFUNCTION("""COMPUTED_VALUE"""),"Бумага полуглянец акрил")</f>
        <v>Бумага полуглянец акрил</v>
      </c>
      <c r="N409" s="338" t="str">
        <f>IFERROR(__xludf.DUMMYFUNCTION("""COMPUTED_VALUE"""),"Отгружен")</f>
        <v>Отгружен</v>
      </c>
      <c r="O409" s="537"/>
      <c r="P409" s="338"/>
      <c r="Q409" s="338" t="str">
        <f>IFERROR(__xludf.DUMMYFUNCTION("""COMPUTED_VALUE"""),"Пушкино, мкрн Мамонтовка, ул. Рабочая, 1, с3склад ЛигК,
с 9:00-17:00, въезд до 16:30,
89122505588, 8(495) 775-01-38")</f>
        <v>Пушкино, мкрн Мамонтовка, ул. Рабочая, 1, с3склад ЛигК,
с 9:00-17:00, въезд до 16:30,
89122505588, 8(495) 775-01-38</v>
      </c>
      <c r="R409" s="338"/>
      <c r="S409" s="338"/>
      <c r="T409" s="338"/>
      <c r="U409" s="338"/>
      <c r="V409" s="338"/>
      <c r="W409" s="338"/>
      <c r="X409" s="338"/>
      <c r="Y409" s="338"/>
      <c r="Z409" s="338"/>
    </row>
    <row r="410" ht="22.5" customHeight="1">
      <c r="A410" s="528" t="str">
        <f>IFERROR(__xludf.DUMMYFUNCTION("""COMPUTED_VALUE"""),"ООО""ФерЭльГам""")</f>
        <v>ООО"ФерЭльГам"</v>
      </c>
      <c r="B410" s="528"/>
      <c r="C410" s="528" t="str">
        <f>IFERROR(__xludf.DUMMYFUNCTION("""COMPUTED_VALUE"""),"470851 Грибы соленые Опята 250 г этик.")</f>
        <v>470851 Грибы соленые Опята 250 г этик.</v>
      </c>
      <c r="D410" s="528">
        <f>IFERROR(__xludf.DUMMYFUNCTION("""COMPUTED_VALUE"""),3088.0)</f>
        <v>3088</v>
      </c>
      <c r="E410" s="528" t="str">
        <f>IFERROR(__xludf.DUMMYFUNCTION("""COMPUTED_VALUE"""),"Баранов Александр")</f>
        <v>Баранов Александр</v>
      </c>
      <c r="F410" s="535" t="str">
        <f>IFERROR(__xludf.DUMMYFUNCTION("""COMPUTED_VALUE"""),"Новая")</f>
        <v>Новая</v>
      </c>
      <c r="G410" s="536" t="str">
        <f>IFERROR(__xludf.DUMMYFUNCTION("""COMPUTED_VALUE"""),"д80")</f>
        <v>д80</v>
      </c>
      <c r="H410" s="338" t="str">
        <f>IFERROR(__xludf.DUMMYFUNCTION("""COMPUTED_VALUE"""),"Флексопечать")</f>
        <v>Флексопечать</v>
      </c>
      <c r="I410" s="338" t="str">
        <f>IFERROR(__xludf.DUMMYFUNCTION("""COMPUTED_VALUE"""),"Wg-450")</f>
        <v>Wg-450</v>
      </c>
      <c r="J410" s="536">
        <f>IFERROR(__xludf.DUMMYFUNCTION("""COMPUTED_VALUE"""),30000.0)</f>
        <v>30000</v>
      </c>
      <c r="K410" s="537">
        <f>IFERROR(__xludf.DUMMYFUNCTION("""COMPUTED_VALUE"""),46182.0)</f>
        <v>46182</v>
      </c>
      <c r="L410" s="537"/>
      <c r="M410" s="338" t="str">
        <f>IFERROR(__xludf.DUMMYFUNCTION("""COMPUTED_VALUE"""),"Пленка PP белая каучук")</f>
        <v>Пленка PP белая каучук</v>
      </c>
      <c r="N410" s="338" t="str">
        <f>IFERROR(__xludf.DUMMYFUNCTION("""COMPUTED_VALUE"""),"Отгружен")</f>
        <v>Отгружен</v>
      </c>
      <c r="O410" s="338">
        <f>IFERROR(__xludf.DUMMYFUNCTION("""COMPUTED_VALUE"""),1.0)</f>
        <v>1</v>
      </c>
      <c r="P410" s="338"/>
      <c r="Q410" s="338"/>
      <c r="R410" s="338"/>
      <c r="S410" s="338"/>
      <c r="T410" s="338"/>
      <c r="U410" s="338"/>
      <c r="V410" s="338"/>
      <c r="W410" s="338"/>
      <c r="X410" s="338"/>
      <c r="Y410" s="338"/>
      <c r="Z410" s="338"/>
    </row>
    <row r="411" ht="22.5" customHeight="1">
      <c r="A411" s="528" t="str">
        <f>IFERROR(__xludf.DUMMYFUNCTION("""COMPUTED_VALUE"""),"ООО""ФерЭльГам""")</f>
        <v>ООО"ФерЭльГам"</v>
      </c>
      <c r="B411" s="528"/>
      <c r="C411" s="528" t="str">
        <f>IFERROR(__xludf.DUMMYFUNCTION("""COMPUTED_VALUE"""),"470489 Помидоры_соленые_крас_Черри 500 г этик.")</f>
        <v>470489 Помидоры_соленые_крас_Черри 500 г этик.</v>
      </c>
      <c r="D411" s="528">
        <f>IFERROR(__xludf.DUMMYFUNCTION("""COMPUTED_VALUE"""),3089.0)</f>
        <v>3089</v>
      </c>
      <c r="E411" s="528" t="str">
        <f>IFERROR(__xludf.DUMMYFUNCTION("""COMPUTED_VALUE"""),"Баранов Александр")</f>
        <v>Баранов Александр</v>
      </c>
      <c r="F411" s="535" t="str">
        <f>IFERROR(__xludf.DUMMYFUNCTION("""COMPUTED_VALUE"""),"Новая")</f>
        <v>Новая</v>
      </c>
      <c r="G411" s="536" t="str">
        <f>IFERROR(__xludf.DUMMYFUNCTION("""COMPUTED_VALUE"""),"д110")</f>
        <v>д110</v>
      </c>
      <c r="H411" s="338" t="str">
        <f>IFERROR(__xludf.DUMMYFUNCTION("""COMPUTED_VALUE"""),"Флексопечать")</f>
        <v>Флексопечать</v>
      </c>
      <c r="I411" s="338" t="str">
        <f>IFERROR(__xludf.DUMMYFUNCTION("""COMPUTED_VALUE"""),"Wg-450")</f>
        <v>Wg-450</v>
      </c>
      <c r="J411" s="536">
        <f>IFERROR(__xludf.DUMMYFUNCTION("""COMPUTED_VALUE"""),30000.0)</f>
        <v>30000</v>
      </c>
      <c r="K411" s="537">
        <f>IFERROR(__xludf.DUMMYFUNCTION("""COMPUTED_VALUE"""),46185.0)</f>
        <v>46185</v>
      </c>
      <c r="L411" s="537"/>
      <c r="M411" s="338" t="str">
        <f>IFERROR(__xludf.DUMMYFUNCTION("""COMPUTED_VALUE"""),"Пленка PP белая акрил")</f>
        <v>Пленка PP белая акрил</v>
      </c>
      <c r="N411" s="338" t="str">
        <f>IFERROR(__xludf.DUMMYFUNCTION("""COMPUTED_VALUE"""),"Отгружен")</f>
        <v>Отгружен</v>
      </c>
      <c r="O411" s="338">
        <f>IFERROR(__xludf.DUMMYFUNCTION("""COMPUTED_VALUE"""),2.0)</f>
        <v>2</v>
      </c>
      <c r="P411" s="338"/>
      <c r="Q411" s="338"/>
      <c r="R411" s="338"/>
      <c r="S411" s="338"/>
      <c r="T411" s="338"/>
      <c r="U411" s="338"/>
      <c r="V411" s="338"/>
      <c r="W411" s="338"/>
      <c r="X411" s="338"/>
      <c r="Y411" s="338"/>
      <c r="Z411" s="338"/>
    </row>
    <row r="412" ht="22.5" customHeight="1">
      <c r="A412" s="528" t="str">
        <f>IFERROR(__xludf.DUMMYFUNCTION("""COMPUTED_VALUE"""),"ООО""ФерЭльГам""")</f>
        <v>ООО"ФерЭльГам"</v>
      </c>
      <c r="B412" s="528"/>
      <c r="C412" s="528" t="str">
        <f>IFERROR(__xludf.DUMMYFUNCTION("""COMPUTED_VALUE"""),"470342-1 Морковь по-корейски 0,500кг. Круг.этик.")</f>
        <v>470342-1 Морковь по-корейски 0,500кг. Круг.этик.</v>
      </c>
      <c r="D412" s="528">
        <f>IFERROR(__xludf.DUMMYFUNCTION("""COMPUTED_VALUE"""),3090.0)</f>
        <v>3090</v>
      </c>
      <c r="E412" s="528" t="str">
        <f>IFERROR(__xludf.DUMMYFUNCTION("""COMPUTED_VALUE"""),"Баранов Александр")</f>
        <v>Баранов Александр</v>
      </c>
      <c r="F412" s="535" t="str">
        <f>IFERROR(__xludf.DUMMYFUNCTION("""COMPUTED_VALUE"""),"Новая")</f>
        <v>Новая</v>
      </c>
      <c r="G412" s="536" t="str">
        <f>IFERROR(__xludf.DUMMYFUNCTION("""COMPUTED_VALUE"""),"д110")</f>
        <v>д110</v>
      </c>
      <c r="H412" s="338" t="str">
        <f>IFERROR(__xludf.DUMMYFUNCTION("""COMPUTED_VALUE"""),"Флексопечать")</f>
        <v>Флексопечать</v>
      </c>
      <c r="I412" s="338" t="str">
        <f>IFERROR(__xludf.DUMMYFUNCTION("""COMPUTED_VALUE"""),"Wg-450")</f>
        <v>Wg-450</v>
      </c>
      <c r="J412" s="536">
        <f>IFERROR(__xludf.DUMMYFUNCTION("""COMPUTED_VALUE"""),50000.0)</f>
        <v>50000</v>
      </c>
      <c r="K412" s="537">
        <f>IFERROR(__xludf.DUMMYFUNCTION("""COMPUTED_VALUE"""),46182.0)</f>
        <v>46182</v>
      </c>
      <c r="L412" s="537"/>
      <c r="M412" s="338" t="str">
        <f>IFERROR(__xludf.DUMMYFUNCTION("""COMPUTED_VALUE"""),"Пленка PP белая каучук")</f>
        <v>Пленка PP белая каучук</v>
      </c>
      <c r="N412" s="338" t="str">
        <f>IFERROR(__xludf.DUMMYFUNCTION("""COMPUTED_VALUE"""),"Отгружен")</f>
        <v>Отгружен</v>
      </c>
      <c r="O412" s="338">
        <f>IFERROR(__xludf.DUMMYFUNCTION("""COMPUTED_VALUE"""),4.0)</f>
        <v>4</v>
      </c>
      <c r="P412" s="338" t="str">
        <f>IFERROR(__xludf.DUMMYFUNCTION("""COMPUTED_VALUE"""),"УТВЕРЖДЕН")</f>
        <v>УТВЕРЖДЕН</v>
      </c>
      <c r="Q412" s="338"/>
      <c r="R412" s="338"/>
      <c r="S412" s="338"/>
      <c r="T412" s="338"/>
      <c r="U412" s="338"/>
      <c r="V412" s="338"/>
      <c r="W412" s="338"/>
      <c r="X412" s="338"/>
      <c r="Y412" s="338"/>
      <c r="Z412" s="338"/>
    </row>
    <row r="413" ht="22.5" customHeight="1">
      <c r="A413" s="528" t="str">
        <f>IFERROR(__xludf.DUMMYFUNCTION("""COMPUTED_VALUE"""),"ООО ""Полезнотека""")</f>
        <v>ООО "Полезнотека"</v>
      </c>
      <c r="B413" s="528"/>
      <c r="C413" s="528" t="str">
        <f>IFERROR(__xludf.DUMMYFUNCTION("""COMPUTED_VALUE"""),"оборот ч/б в асортименте ")</f>
        <v>оборот ч/б в асортименте </v>
      </c>
      <c r="D413" s="528" t="str">
        <f>IFERROR(__xludf.DUMMYFUNCTION("""COMPUTED_VALUE"""),"3001-3005")</f>
        <v>3001-3005</v>
      </c>
      <c r="E413" s="528" t="str">
        <f>IFERROR(__xludf.DUMMYFUNCTION("""COMPUTED_VALUE"""),"Баранов Александр")</f>
        <v>Баранов Александр</v>
      </c>
      <c r="F413" s="535" t="str">
        <f>IFERROR(__xludf.DUMMYFUNCTION("""COMPUTED_VALUE"""),"Повтор с изменениями")</f>
        <v>Повтор с изменениями</v>
      </c>
      <c r="G413" s="536" t="str">
        <f>IFERROR(__xludf.DUMMYFUNCTION("""COMPUTED_VALUE"""),"50*150/64*45/80*80")</f>
        <v>50*150/64*45/80*80</v>
      </c>
      <c r="H413" s="338" t="str">
        <f>IFERROR(__xludf.DUMMYFUNCTION("""COMPUTED_VALUE"""),"Флексопечать")</f>
        <v>Флексопечать</v>
      </c>
      <c r="I413" s="338" t="str">
        <f>IFERROR(__xludf.DUMMYFUNCTION("""COMPUTED_VALUE"""),"G-200")</f>
        <v>G-200</v>
      </c>
      <c r="J413" s="536">
        <f>IFERROR(__xludf.DUMMYFUNCTION("""COMPUTED_VALUE"""),35000.0)</f>
        <v>35000</v>
      </c>
      <c r="K413" s="537">
        <f>IFERROR(__xludf.DUMMYFUNCTION("""COMPUTED_VALUE"""),46182.0)</f>
        <v>46182</v>
      </c>
      <c r="L413" s="537"/>
      <c r="M413" s="338" t="str">
        <f>IFERROR(__xludf.DUMMYFUNCTION("""COMPUTED_VALUE"""),"Бумага полуглянец каучук")</f>
        <v>Бумага полуглянец каучук</v>
      </c>
      <c r="N413" s="338" t="str">
        <f>IFERROR(__xludf.DUMMYFUNCTION("""COMPUTED_VALUE"""),"Отгружен")</f>
        <v>Отгружен</v>
      </c>
      <c r="O413" s="537"/>
      <c r="P413" s="338"/>
      <c r="Q413" s="338"/>
      <c r="R413" s="338"/>
      <c r="S413" s="338"/>
      <c r="T413" s="338"/>
      <c r="U413" s="338"/>
      <c r="V413" s="338"/>
      <c r="W413" s="338"/>
      <c r="X413" s="338"/>
      <c r="Y413" s="338"/>
      <c r="Z413" s="338"/>
    </row>
    <row r="414" ht="22.5" customHeight="1">
      <c r="A414" s="528" t="str">
        <f>IFERROR(__xludf.DUMMYFUNCTION("""COMPUTED_VALUE"""),"ООО Аралия")</f>
        <v>ООО Аралия</v>
      </c>
      <c r="B414" s="528"/>
      <c r="C414" s="528" t="str">
        <f>IFERROR(__xludf.DUMMYFUNCTION("""COMPUTED_VALUE"""),"Этикетка пломба")</f>
        <v>Этикетка пломба</v>
      </c>
      <c r="D414" s="528">
        <f>IFERROR(__xludf.DUMMYFUNCTION("""COMPUTED_VALUE"""),3100.0)</f>
        <v>3100</v>
      </c>
      <c r="E414" s="528" t="str">
        <f>IFERROR(__xludf.DUMMYFUNCTION("""COMPUTED_VALUE"""),"Шаповалова Юлия")</f>
        <v>Шаповалова Юлия</v>
      </c>
      <c r="F414" s="535" t="str">
        <f>IFERROR(__xludf.DUMMYFUNCTION("""COMPUTED_VALUE"""),"Новая")</f>
        <v>Новая</v>
      </c>
      <c r="G414" s="536" t="str">
        <f>IFERROR(__xludf.DUMMYFUNCTION("""COMPUTED_VALUE"""),"30*200")</f>
        <v>30*200</v>
      </c>
      <c r="H414" s="338" t="str">
        <f>IFERROR(__xludf.DUMMYFUNCTION("""COMPUTED_VALUE"""),"Флексопечать")</f>
        <v>Флексопечать</v>
      </c>
      <c r="I414" s="338" t="str">
        <f>IFERROR(__xludf.DUMMYFUNCTION("""COMPUTED_VALUE"""),"Bg-330")</f>
        <v>Bg-330</v>
      </c>
      <c r="J414" s="536">
        <f>IFERROR(__xludf.DUMMYFUNCTION("""COMPUTED_VALUE"""),6000.0)</f>
        <v>6000</v>
      </c>
      <c r="K414" s="537">
        <f>IFERROR(__xludf.DUMMYFUNCTION("""COMPUTED_VALUE"""),46184.0)</f>
        <v>46184</v>
      </c>
      <c r="L414" s="537"/>
      <c r="M414" s="338" t="str">
        <f>IFERROR(__xludf.DUMMYFUNCTION("""COMPUTED_VALUE"""),"Бумага полуглянец акрил")</f>
        <v>Бумага полуглянец акрил</v>
      </c>
      <c r="N414" s="338" t="str">
        <f>IFERROR(__xludf.DUMMYFUNCTION("""COMPUTED_VALUE"""),"Отгружен")</f>
        <v>Отгружен</v>
      </c>
      <c r="O414" s="537"/>
      <c r="P414" s="338" t="str">
        <f>IFERROR(__xludf.DUMMYFUNCTION("""COMPUTED_VALUE"""),"в отдельные коробки")</f>
        <v>в отдельные коробки</v>
      </c>
      <c r="Q414" s="338" t="str">
        <f>IFERROR(__xludf.DUMMYFUNCTION("""COMPUTED_VALUE"""),"г. Москва, 63-й км. МКАД, р-н Строгино, ул. Маршала Прошлякова, д. 26, корп. 3, стр. 6. тел.+7(926) 554-87-33 Екатерина с 9.00 до 16.00")</f>
        <v>г. Москва, 63-й км. МКАД, р-н Строгино, ул. Маршала Прошлякова, д. 26, корп. 3, стр. 6. тел.+7(926) 554-87-33 Екатерина с 9.00 до 16.00</v>
      </c>
      <c r="R414" s="338"/>
      <c r="S414" s="338"/>
      <c r="T414" s="338"/>
      <c r="U414" s="338"/>
      <c r="V414" s="338"/>
      <c r="W414" s="338"/>
      <c r="X414" s="338"/>
      <c r="Y414" s="338"/>
      <c r="Z414" s="338"/>
    </row>
    <row r="415" ht="22.5" customHeight="1">
      <c r="A415" s="528" t="str">
        <f>IFERROR(__xludf.DUMMYFUNCTION("""COMPUTED_VALUE"""),"ООО Кристель")</f>
        <v>ООО Кристель</v>
      </c>
      <c r="B415" s="528"/>
      <c r="C415" s="528" t="str">
        <f>IFERROR(__xludf.DUMMYFUNCTION("""COMPUTED_VALUE"""),"Этикетка пломба")</f>
        <v>Этикетка пломба</v>
      </c>
      <c r="D415" s="528">
        <f>IFERROR(__xludf.DUMMYFUNCTION("""COMPUTED_VALUE"""),3100.0)</f>
        <v>3100</v>
      </c>
      <c r="E415" s="528" t="str">
        <f>IFERROR(__xludf.DUMMYFUNCTION("""COMPUTED_VALUE"""),"Шаповалова Юлия")</f>
        <v>Шаповалова Юлия</v>
      </c>
      <c r="F415" s="535" t="str">
        <f>IFERROR(__xludf.DUMMYFUNCTION("""COMPUTED_VALUE"""),"Новая")</f>
        <v>Новая</v>
      </c>
      <c r="G415" s="536" t="str">
        <f>IFERROR(__xludf.DUMMYFUNCTION("""COMPUTED_VALUE"""),"30*200")</f>
        <v>30*200</v>
      </c>
      <c r="H415" s="338" t="str">
        <f>IFERROR(__xludf.DUMMYFUNCTION("""COMPUTED_VALUE"""),"Флексопечать")</f>
        <v>Флексопечать</v>
      </c>
      <c r="I415" s="338" t="str">
        <f>IFERROR(__xludf.DUMMYFUNCTION("""COMPUTED_VALUE"""),"Bg-330")</f>
        <v>Bg-330</v>
      </c>
      <c r="J415" s="536">
        <f>IFERROR(__xludf.DUMMYFUNCTION("""COMPUTED_VALUE"""),2000.0)</f>
        <v>2000</v>
      </c>
      <c r="K415" s="537">
        <f>IFERROR(__xludf.DUMMYFUNCTION("""COMPUTED_VALUE"""),46184.0)</f>
        <v>46184</v>
      </c>
      <c r="L415" s="537"/>
      <c r="M415" s="338" t="str">
        <f>IFERROR(__xludf.DUMMYFUNCTION("""COMPUTED_VALUE"""),"Бумага полуглянец акрил")</f>
        <v>Бумага полуглянец акрил</v>
      </c>
      <c r="N415" s="338" t="str">
        <f>IFERROR(__xludf.DUMMYFUNCTION("""COMPUTED_VALUE"""),"Отгружен")</f>
        <v>Отгружен</v>
      </c>
      <c r="O415" s="537"/>
      <c r="P415" s="338" t="str">
        <f>IFERROR(__xludf.DUMMYFUNCTION("""COMPUTED_VALUE"""),"в отдельные коробки")</f>
        <v>в отдельные коробки</v>
      </c>
      <c r="Q415" s="338" t="str">
        <f>IFERROR(__xludf.DUMMYFUNCTION("""COMPUTED_VALUE"""),"г. Москва, 63-й км. МКАД, р-н Строгино, ул. Маршала Прошлякова, д. 26, корп. 3, стр. 6. тел.+7(926) 554-87-33 Екатерина с 9.00 до 16.00")</f>
        <v>г. Москва, 63-й км. МКАД, р-н Строгино, ул. Маршала Прошлякова, д. 26, корп. 3, стр. 6. тел.+7(926) 554-87-33 Екатерина с 9.00 до 16.00</v>
      </c>
      <c r="R415" s="338"/>
      <c r="S415" s="338"/>
      <c r="T415" s="338"/>
      <c r="U415" s="338"/>
      <c r="V415" s="338"/>
      <c r="W415" s="338"/>
      <c r="X415" s="338"/>
      <c r="Y415" s="338"/>
      <c r="Z415" s="338"/>
    </row>
    <row r="416" ht="22.5" customHeight="1">
      <c r="A416" s="528" t="str">
        <f>IFERROR(__xludf.DUMMYFUNCTION("""COMPUTED_VALUE"""),"ООО Жозефина")</f>
        <v>ООО Жозефина</v>
      </c>
      <c r="B416" s="528"/>
      <c r="C416" s="528" t="str">
        <f>IFERROR(__xludf.DUMMYFUNCTION("""COMPUTED_VALUE"""),"Этикетка пломба")</f>
        <v>Этикетка пломба</v>
      </c>
      <c r="D416" s="528">
        <f>IFERROR(__xludf.DUMMYFUNCTION("""COMPUTED_VALUE"""),3100.0)</f>
        <v>3100</v>
      </c>
      <c r="E416" s="528" t="str">
        <f>IFERROR(__xludf.DUMMYFUNCTION("""COMPUTED_VALUE"""),"Шаповалова Юлия")</f>
        <v>Шаповалова Юлия</v>
      </c>
      <c r="F416" s="535" t="str">
        <f>IFERROR(__xludf.DUMMYFUNCTION("""COMPUTED_VALUE"""),"Новая")</f>
        <v>Новая</v>
      </c>
      <c r="G416" s="536" t="str">
        <f>IFERROR(__xludf.DUMMYFUNCTION("""COMPUTED_VALUE"""),"30*200")</f>
        <v>30*200</v>
      </c>
      <c r="H416" s="338" t="str">
        <f>IFERROR(__xludf.DUMMYFUNCTION("""COMPUTED_VALUE"""),"Флексопечать")</f>
        <v>Флексопечать</v>
      </c>
      <c r="I416" s="338" t="str">
        <f>IFERROR(__xludf.DUMMYFUNCTION("""COMPUTED_VALUE"""),"Bg-330")</f>
        <v>Bg-330</v>
      </c>
      <c r="J416" s="536">
        <f>IFERROR(__xludf.DUMMYFUNCTION("""COMPUTED_VALUE"""),2000.0)</f>
        <v>2000</v>
      </c>
      <c r="K416" s="537">
        <f>IFERROR(__xludf.DUMMYFUNCTION("""COMPUTED_VALUE"""),46184.0)</f>
        <v>46184</v>
      </c>
      <c r="L416" s="537"/>
      <c r="M416" s="338" t="str">
        <f>IFERROR(__xludf.DUMMYFUNCTION("""COMPUTED_VALUE"""),"Бумага полуглянец акрил")</f>
        <v>Бумага полуглянец акрил</v>
      </c>
      <c r="N416" s="338" t="str">
        <f>IFERROR(__xludf.DUMMYFUNCTION("""COMPUTED_VALUE"""),"Отгружен")</f>
        <v>Отгружен</v>
      </c>
      <c r="O416" s="537"/>
      <c r="P416" s="338" t="str">
        <f>IFERROR(__xludf.DUMMYFUNCTION("""COMPUTED_VALUE"""),"в отдельные коробки")</f>
        <v>в отдельные коробки</v>
      </c>
      <c r="Q416" s="338" t="str">
        <f>IFERROR(__xludf.DUMMYFUNCTION("""COMPUTED_VALUE"""),"г. Москва, 63-й км. МКАД, р-н Строгино, ул. Маршала Прошлякова, д. 26, корп. 3, стр. 6. тел.+7(926) 554-87-33 Екатерина с 9.00 до 16.00")</f>
        <v>г. Москва, 63-й км. МКАД, р-н Строгино, ул. Маршала Прошлякова, д. 26, корп. 3, стр. 6. тел.+7(926) 554-87-33 Екатерина с 9.00 до 16.00</v>
      </c>
      <c r="R416" s="338"/>
      <c r="S416" s="338"/>
      <c r="T416" s="338"/>
      <c r="U416" s="338"/>
      <c r="V416" s="338"/>
      <c r="W416" s="338"/>
      <c r="X416" s="338"/>
      <c r="Y416" s="338"/>
      <c r="Z416" s="338"/>
    </row>
    <row r="417" ht="22.5" customHeight="1">
      <c r="A417" s="528" t="str">
        <f>IFERROR(__xludf.DUMMYFUNCTION("""COMPUTED_VALUE"""),"ООО МПП Южное")</f>
        <v>ООО МПП Южное</v>
      </c>
      <c r="B417" s="528"/>
      <c r="C417" s="528" t="str">
        <f>IFERROR(__xludf.DUMMYFUNCTION("""COMPUTED_VALUE"""),"Термочек 58*120 мм (76/2000)")</f>
        <v>Термочек 58*120 мм (76/2000)</v>
      </c>
      <c r="D417" s="528">
        <f>IFERROR(__xludf.DUMMYFUNCTION("""COMPUTED_VALUE"""),3101.0)</f>
        <v>3101</v>
      </c>
      <c r="E417" s="528" t="str">
        <f>IFERROR(__xludf.DUMMYFUNCTION("""COMPUTED_VALUE"""),"Шаповалова Юлия")</f>
        <v>Шаповалова Юлия</v>
      </c>
      <c r="F417" s="535" t="str">
        <f>IFERROR(__xludf.DUMMYFUNCTION("""COMPUTED_VALUE"""),"Новая")</f>
        <v>Новая</v>
      </c>
      <c r="G417" s="536" t="str">
        <f>IFERROR(__xludf.DUMMYFUNCTION("""COMPUTED_VALUE"""),"58*120")</f>
        <v>58*120</v>
      </c>
      <c r="H417" s="338" t="str">
        <f>IFERROR(__xludf.DUMMYFUNCTION("""COMPUTED_VALUE"""),"Флексопечать")</f>
        <v>Флексопечать</v>
      </c>
      <c r="I417" s="338" t="str">
        <f>IFERROR(__xludf.DUMMYFUNCTION("""COMPUTED_VALUE"""),"Wg-450")</f>
        <v>Wg-450</v>
      </c>
      <c r="J417" s="536" t="str">
        <f>IFERROR(__xludf.DUMMYFUNCTION("""COMPUTED_VALUE"""),"18 000")</f>
        <v>18 000</v>
      </c>
      <c r="K417" s="537">
        <f>IFERROR(__xludf.DUMMYFUNCTION("""COMPUTED_VALUE"""),46188.0)</f>
        <v>46188</v>
      </c>
      <c r="L417" s="537"/>
      <c r="M417" s="338" t="str">
        <f>IFERROR(__xludf.DUMMYFUNCTION("""COMPUTED_VALUE"""),"Термоэко")</f>
        <v>Термоэко</v>
      </c>
      <c r="N417" s="338" t="str">
        <f>IFERROR(__xludf.DUMMYFUNCTION("""COMPUTED_VALUE"""),"Отгружен")</f>
        <v>Отгружен</v>
      </c>
      <c r="O417" s="537"/>
      <c r="P417" s="338" t="str">
        <f>IFERROR(__xludf.DUMMYFUNCTION("""COMPUTED_VALUE"""),"паспорт качества, договор")</f>
        <v>паспорт качества, договор</v>
      </c>
      <c r="Q417" s="338" t="str">
        <f>IFERROR(__xludf.DUMMYFUNCTION("""COMPUTED_VALUE"""),"Краснодарский край, г. Гулькевичи, Территория Промзона 1 Г 8-918-032-19-47 Дарья, 9-18, пн-пт.")</f>
        <v>Краснодарский край, г. Гулькевичи, Территория Промзона 1 Г 8-918-032-19-47 Дарья, 9-18, пн-пт.</v>
      </c>
      <c r="R417" s="338"/>
      <c r="S417" s="338"/>
      <c r="T417" s="338"/>
      <c r="U417" s="338"/>
      <c r="V417" s="338"/>
      <c r="W417" s="338"/>
      <c r="X417" s="338"/>
      <c r="Y417" s="338"/>
      <c r="Z417" s="338"/>
    </row>
    <row r="418" ht="22.5" customHeight="1">
      <c r="A418" s="528" t="str">
        <f>IFERROR(__xludf.DUMMYFUNCTION("""COMPUTED_VALUE"""),"ООО МПП Южное")</f>
        <v>ООО МПП Южное</v>
      </c>
      <c r="B418" s="528"/>
      <c r="C418" s="528" t="str">
        <f>IFERROR(__xludf.DUMMYFUNCTION("""COMPUTED_VALUE"""),"Термочек 58*120 мм (40/250)")</f>
        <v>Термочек 58*120 мм (40/250)</v>
      </c>
      <c r="D418" s="528">
        <f>IFERROR(__xludf.DUMMYFUNCTION("""COMPUTED_VALUE"""),3102.0)</f>
        <v>3102</v>
      </c>
      <c r="E418" s="528" t="str">
        <f>IFERROR(__xludf.DUMMYFUNCTION("""COMPUTED_VALUE"""),"Шаповалова Юлия")</f>
        <v>Шаповалова Юлия</v>
      </c>
      <c r="F418" s="535" t="str">
        <f>IFERROR(__xludf.DUMMYFUNCTION("""COMPUTED_VALUE"""),"Новая")</f>
        <v>Новая</v>
      </c>
      <c r="G418" s="536" t="str">
        <f>IFERROR(__xludf.DUMMYFUNCTION("""COMPUTED_VALUE"""),"58*120")</f>
        <v>58*120</v>
      </c>
      <c r="H418" s="338" t="str">
        <f>IFERROR(__xludf.DUMMYFUNCTION("""COMPUTED_VALUE"""),"Флексопечать")</f>
        <v>Флексопечать</v>
      </c>
      <c r="I418" s="338" t="str">
        <f>IFERROR(__xludf.DUMMYFUNCTION("""COMPUTED_VALUE"""),"Wg-450")</f>
        <v>Wg-450</v>
      </c>
      <c r="J418" s="536" t="str">
        <f>IFERROR(__xludf.DUMMYFUNCTION("""COMPUTED_VALUE"""),"17 250")</f>
        <v>17 250</v>
      </c>
      <c r="K418" s="537">
        <f>IFERROR(__xludf.DUMMYFUNCTION("""COMPUTED_VALUE"""),46188.0)</f>
        <v>46188</v>
      </c>
      <c r="L418" s="537"/>
      <c r="M418" s="338" t="str">
        <f>IFERROR(__xludf.DUMMYFUNCTION("""COMPUTED_VALUE"""),"Термоэко")</f>
        <v>Термоэко</v>
      </c>
      <c r="N418" s="338" t="str">
        <f>IFERROR(__xludf.DUMMYFUNCTION("""COMPUTED_VALUE"""),"Отгружен")</f>
        <v>Отгружен</v>
      </c>
      <c r="O418" s="537"/>
      <c r="P418" s="338" t="str">
        <f>IFERROR(__xludf.DUMMYFUNCTION("""COMPUTED_VALUE"""),"паспорт качества, договор")</f>
        <v>паспорт качества, договор</v>
      </c>
      <c r="Q418" s="338" t="str">
        <f>IFERROR(__xludf.DUMMYFUNCTION("""COMPUTED_VALUE"""),"Краснодарский край, г. Гулькевичи, Территория Промзона 1 Г 8-918-032-19-47 Дарья, 9-18, пн-пт.")</f>
        <v>Краснодарский край, г. Гулькевичи, Территория Промзона 1 Г 8-918-032-19-47 Дарья, 9-18, пн-пт.</v>
      </c>
      <c r="R418" s="338"/>
      <c r="S418" s="338"/>
      <c r="T418" s="338"/>
      <c r="U418" s="338"/>
      <c r="V418" s="338"/>
      <c r="W418" s="338"/>
      <c r="X418" s="338"/>
      <c r="Y418" s="338"/>
      <c r="Z418" s="338"/>
    </row>
    <row r="419" ht="22.5" customHeight="1">
      <c r="A419" s="528" t="str">
        <f>IFERROR(__xludf.DUMMYFUNCTION("""COMPUTED_VALUE"""),"ООО МПП Южное")</f>
        <v>ООО МПП Южное</v>
      </c>
      <c r="B419" s="528"/>
      <c r="C419" s="528" t="str">
        <f>IFERROR(__xludf.DUMMYFUNCTION("""COMPUTED_VALUE"""),"Термочек 58*120 мм (40/500)")</f>
        <v>Термочек 58*120 мм (40/500)</v>
      </c>
      <c r="D419" s="528">
        <f>IFERROR(__xludf.DUMMYFUNCTION("""COMPUTED_VALUE"""),3103.0)</f>
        <v>3103</v>
      </c>
      <c r="E419" s="528" t="str">
        <f>IFERROR(__xludf.DUMMYFUNCTION("""COMPUTED_VALUE"""),"Шаповалова Юлия")</f>
        <v>Шаповалова Юлия</v>
      </c>
      <c r="F419" s="535" t="str">
        <f>IFERROR(__xludf.DUMMYFUNCTION("""COMPUTED_VALUE"""),"Новая")</f>
        <v>Новая</v>
      </c>
      <c r="G419" s="536" t="str">
        <f>IFERROR(__xludf.DUMMYFUNCTION("""COMPUTED_VALUE"""),"58*120")</f>
        <v>58*120</v>
      </c>
      <c r="H419" s="338" t="str">
        <f>IFERROR(__xludf.DUMMYFUNCTION("""COMPUTED_VALUE"""),"Флексопечать")</f>
        <v>Флексопечать</v>
      </c>
      <c r="I419" s="338" t="str">
        <f>IFERROR(__xludf.DUMMYFUNCTION("""COMPUTED_VALUE"""),"Wg-450")</f>
        <v>Wg-450</v>
      </c>
      <c r="J419" s="536" t="str">
        <f>IFERROR(__xludf.DUMMYFUNCTION("""COMPUTED_VALUE"""),"8 000")</f>
        <v>8 000</v>
      </c>
      <c r="K419" s="537">
        <f>IFERROR(__xludf.DUMMYFUNCTION("""COMPUTED_VALUE"""),46188.0)</f>
        <v>46188</v>
      </c>
      <c r="L419" s="537"/>
      <c r="M419" s="338" t="str">
        <f>IFERROR(__xludf.DUMMYFUNCTION("""COMPUTED_VALUE"""),"Термоэко")</f>
        <v>Термоэко</v>
      </c>
      <c r="N419" s="338" t="str">
        <f>IFERROR(__xludf.DUMMYFUNCTION("""COMPUTED_VALUE"""),"Отгружен")</f>
        <v>Отгружен</v>
      </c>
      <c r="O419" s="537"/>
      <c r="P419" s="338" t="str">
        <f>IFERROR(__xludf.DUMMYFUNCTION("""COMPUTED_VALUE"""),"паспорт качества, договор")</f>
        <v>паспорт качества, договор</v>
      </c>
      <c r="Q419" s="338" t="str">
        <f>IFERROR(__xludf.DUMMYFUNCTION("""COMPUTED_VALUE"""),"Краснодарский край, г. Гулькевичи, Территория Промзона 1 Г 8-918-032-19-47 Дарья, 9-18, пн-пт.")</f>
        <v>Краснодарский край, г. Гулькевичи, Территория Промзона 1 Г 8-918-032-19-47 Дарья, 9-18, пн-пт.</v>
      </c>
      <c r="R419" s="338"/>
      <c r="S419" s="338"/>
      <c r="T419" s="338"/>
      <c r="U419" s="338"/>
      <c r="V419" s="338"/>
      <c r="W419" s="338"/>
      <c r="X419" s="338"/>
      <c r="Y419" s="338"/>
      <c r="Z419" s="338"/>
    </row>
    <row r="420" ht="22.5" customHeight="1">
      <c r="A420" s="528" t="str">
        <f>IFERROR(__xludf.DUMMYFUNCTION("""COMPUTED_VALUE"""),"Кейтеринг Технолоджи")</f>
        <v>Кейтеринг Технолоджи</v>
      </c>
      <c r="B420" s="528"/>
      <c r="C420" s="528" t="str">
        <f>IFERROR(__xludf.DUMMYFUNCTION("""COMPUTED_VALUE"""),"Гаспачо ""по-Андалусски"" ВВ")</f>
        <v>Гаспачо "по-Андалусски" ВВ</v>
      </c>
      <c r="D420" s="528">
        <f>IFERROR(__xludf.DUMMYFUNCTION("""COMPUTED_VALUE"""),3115.0)</f>
        <v>3115</v>
      </c>
      <c r="E420" s="528" t="str">
        <f>IFERROR(__xludf.DUMMYFUNCTION("""COMPUTED_VALUE"""),"Татьяна Денисова")</f>
        <v>Татьяна Денисова</v>
      </c>
      <c r="F420" s="535" t="str">
        <f>IFERROR(__xludf.DUMMYFUNCTION("""COMPUTED_VALUE"""),"Новая")</f>
        <v>Новая</v>
      </c>
      <c r="G420" s="536" t="str">
        <f>IFERROR(__xludf.DUMMYFUNCTION("""COMPUTED_VALUE"""),"д90")</f>
        <v>д90</v>
      </c>
      <c r="H420" s="338" t="str">
        <f>IFERROR(__xludf.DUMMYFUNCTION("""COMPUTED_VALUE"""),"Флексопечать")</f>
        <v>Флексопечать</v>
      </c>
      <c r="I420" s="338" t="str">
        <f>IFERROR(__xludf.DUMMYFUNCTION("""COMPUTED_VALUE"""),"Bg-330")</f>
        <v>Bg-330</v>
      </c>
      <c r="J420" s="536">
        <f>IFERROR(__xludf.DUMMYFUNCTION("""COMPUTED_VALUE"""),10000.0)</f>
        <v>10000</v>
      </c>
      <c r="K420" s="537">
        <f>IFERROR(__xludf.DUMMYFUNCTION("""COMPUTED_VALUE"""),46189.0)</f>
        <v>46189</v>
      </c>
      <c r="L420" s="537"/>
      <c r="M420" s="338" t="str">
        <f>IFERROR(__xludf.DUMMYFUNCTION("""COMPUTED_VALUE"""),"Термо Топ")</f>
        <v>Термо Топ</v>
      </c>
      <c r="N420" s="338" t="str">
        <f>IFERROR(__xludf.DUMMYFUNCTION("""COMPUTED_VALUE"""),"Отгружен")</f>
        <v>Отгружен</v>
      </c>
      <c r="O420" s="537"/>
      <c r="P420" s="338" t="str">
        <f>IFERROR(__xludf.DUMMYFUNCTION("""COMPUTED_VALUE"""),"Доставка 18.06 вместе с Голубыми образцами")</f>
        <v>Доставка 18.06 вместе с Голубыми образцами</v>
      </c>
      <c r="Q420" s="338" t="str">
        <f>IFERROR(__xludf.DUMMYFUNCTION("""COMPUTED_VALUE"""),"Проезд Фрезер , дом 2, Стр 13
Позвонить за 30 мин по тел 8(925)724-74-37 заказать пропуск на въезд")</f>
        <v>Проезд Фрезер , дом 2, Стр 13
Позвонить за 30 мин по тел 8(925)724-74-37 заказать пропуск на въезд</v>
      </c>
      <c r="R420" s="338"/>
      <c r="S420" s="338"/>
      <c r="T420" s="338"/>
      <c r="U420" s="338"/>
      <c r="V420" s="338"/>
      <c r="W420" s="338"/>
      <c r="X420" s="338"/>
      <c r="Y420" s="338"/>
      <c r="Z420" s="338"/>
    </row>
    <row r="421" ht="22.5" customHeight="1">
      <c r="A421" s="528" t="str">
        <f>IFERROR(__xludf.DUMMYFUNCTION("""COMPUTED_VALUE"""),"ООО ""Полезнотека""")</f>
        <v>ООО "Полезнотека"</v>
      </c>
      <c r="B421" s="528"/>
      <c r="C421" s="528" t="str">
        <f>IFERROR(__xludf.DUMMYFUNCTION("""COMPUTED_VALUE"""),"лицевая цвет в асортименте")</f>
        <v>лицевая цвет в асортименте</v>
      </c>
      <c r="D421" s="528"/>
      <c r="E421" s="528" t="str">
        <f>IFERROR(__xludf.DUMMYFUNCTION("""COMPUTED_VALUE"""),"Баранов Александр")</f>
        <v>Баранов Александр</v>
      </c>
      <c r="F421" s="535" t="str">
        <f>IFERROR(__xludf.DUMMYFUNCTION("""COMPUTED_VALUE"""),"Повтор с изменениями")</f>
        <v>Повтор с изменениями</v>
      </c>
      <c r="G421" s="536" t="str">
        <f>IFERROR(__xludf.DUMMYFUNCTION("""COMPUTED_VALUE"""),"55*130/125*125/20*55")</f>
        <v>55*130/125*125/20*55</v>
      </c>
      <c r="H421" s="338" t="str">
        <f>IFERROR(__xludf.DUMMYFUNCTION("""COMPUTED_VALUE"""),"Флексопечать")</f>
        <v>Флексопечать</v>
      </c>
      <c r="I421" s="338" t="str">
        <f>IFERROR(__xludf.DUMMYFUNCTION("""COMPUTED_VALUE"""),"G-200")</f>
        <v>G-200</v>
      </c>
      <c r="J421" s="536">
        <f>IFERROR(__xludf.DUMMYFUNCTION("""COMPUTED_VALUE"""),63000.0)</f>
        <v>63000</v>
      </c>
      <c r="K421" s="537">
        <f>IFERROR(__xludf.DUMMYFUNCTION("""COMPUTED_VALUE"""),46182.0)</f>
        <v>46182</v>
      </c>
      <c r="L421" s="537"/>
      <c r="M421" s="338" t="str">
        <f>IFERROR(__xludf.DUMMYFUNCTION("""COMPUTED_VALUE"""),"Бумага полуглянец каучук")</f>
        <v>Бумага полуглянец каучук</v>
      </c>
      <c r="N421" s="338" t="str">
        <f>IFERROR(__xludf.DUMMYFUNCTION("""COMPUTED_VALUE"""),"Отгружен")</f>
        <v>Отгружен</v>
      </c>
      <c r="O421" s="537"/>
      <c r="P421" s="338"/>
      <c r="Q421" s="338"/>
      <c r="R421" s="338"/>
      <c r="S421" s="338"/>
      <c r="T421" s="338"/>
      <c r="U421" s="338"/>
      <c r="V421" s="338"/>
      <c r="W421" s="338"/>
      <c r="X421" s="338"/>
      <c r="Y421" s="338"/>
      <c r="Z421" s="338"/>
    </row>
    <row r="422" ht="22.5" customHeight="1">
      <c r="A422" s="528" t="str">
        <f>IFERROR(__xludf.DUMMYFUNCTION("""COMPUTED_VALUE"""),"ООО МПП Южное")</f>
        <v>ООО МПП Южное</v>
      </c>
      <c r="B422" s="528"/>
      <c r="C422" s="528" t="str">
        <f>IFERROR(__xludf.DUMMYFUNCTION("""COMPUTED_VALUE"""),"Этикетка отруб свиной ЧЕРНАЯ 100*100 мм (76/2000)")</f>
        <v>Этикетка отруб свиной ЧЕРНАЯ 100*100 мм (76/2000)</v>
      </c>
      <c r="D422" s="528">
        <f>IFERROR(__xludf.DUMMYFUNCTION("""COMPUTED_VALUE"""),3117.0)</f>
        <v>3117</v>
      </c>
      <c r="E422" s="528" t="str">
        <f>IFERROR(__xludf.DUMMYFUNCTION("""COMPUTED_VALUE"""),"Шаповалова Юлия")</f>
        <v>Шаповалова Юлия</v>
      </c>
      <c r="F422" s="535" t="str">
        <f>IFERROR(__xludf.DUMMYFUNCTION("""COMPUTED_VALUE"""),"Новая")</f>
        <v>Новая</v>
      </c>
      <c r="G422" s="536" t="str">
        <f>IFERROR(__xludf.DUMMYFUNCTION("""COMPUTED_VALUE"""),"100*100")</f>
        <v>100*100</v>
      </c>
      <c r="H422" s="338" t="str">
        <f>IFERROR(__xludf.DUMMYFUNCTION("""COMPUTED_VALUE"""),"Флексопечать")</f>
        <v>Флексопечать</v>
      </c>
      <c r="I422" s="338" t="str">
        <f>IFERROR(__xludf.DUMMYFUNCTION("""COMPUTED_VALUE"""),"Bg-330")</f>
        <v>Bg-330</v>
      </c>
      <c r="J422" s="536" t="str">
        <f>IFERROR(__xludf.DUMMYFUNCTION("""COMPUTED_VALUE"""),"50 000")</f>
        <v>50 000</v>
      </c>
      <c r="K422" s="537">
        <f>IFERROR(__xludf.DUMMYFUNCTION("""COMPUTED_VALUE"""),46188.0)</f>
        <v>46188</v>
      </c>
      <c r="L422" s="537"/>
      <c r="M422" s="338" t="str">
        <f>IFERROR(__xludf.DUMMYFUNCTION("""COMPUTED_VALUE"""),"Термопленка")</f>
        <v>Термопленка</v>
      </c>
      <c r="N422" s="338" t="str">
        <f>IFERROR(__xludf.DUMMYFUNCTION("""COMPUTED_VALUE"""),"Отгружен")</f>
        <v>Отгружен</v>
      </c>
      <c r="O422" s="537"/>
      <c r="P422" s="338" t="str">
        <f>IFERROR(__xludf.DUMMYFUNCTION("""COMPUTED_VALUE"""),"паспорт качества, договор")</f>
        <v>паспорт качества, договор</v>
      </c>
      <c r="Q422" s="338" t="str">
        <f>IFERROR(__xludf.DUMMYFUNCTION("""COMPUTED_VALUE"""),"Краснодарский край, г. Гулькевичи, Территория Промзона 1 Г 8-918-032-19-47 Дарья, 9-18, пн-пт.")</f>
        <v>Краснодарский край, г. Гулькевичи, Территория Промзона 1 Г 8-918-032-19-47 Дарья, 9-18, пн-пт.</v>
      </c>
      <c r="R422" s="338"/>
      <c r="S422" s="338"/>
      <c r="T422" s="338"/>
      <c r="U422" s="338"/>
      <c r="V422" s="338"/>
      <c r="W422" s="338"/>
      <c r="X422" s="338"/>
      <c r="Y422" s="338"/>
      <c r="Z422" s="338"/>
    </row>
    <row r="423" ht="22.5" customHeight="1">
      <c r="A423" s="528" t="str">
        <f>IFERROR(__xludf.DUMMYFUNCTION("""COMPUTED_VALUE"""),"ООО МПП Южное")</f>
        <v>ООО МПП Южное</v>
      </c>
      <c r="B423" s="528"/>
      <c r="C423" s="528" t="str">
        <f>IFERROR(__xludf.DUMMYFUNCTION("""COMPUTED_VALUE"""),"Этикетка отруб свиной КРАСНАЯ 100*100 мм (76/2000)")</f>
        <v>Этикетка отруб свиной КРАСНАЯ 100*100 мм (76/2000)</v>
      </c>
      <c r="D423" s="528">
        <f>IFERROR(__xludf.DUMMYFUNCTION("""COMPUTED_VALUE"""),3118.0)</f>
        <v>3118</v>
      </c>
      <c r="E423" s="528" t="str">
        <f>IFERROR(__xludf.DUMMYFUNCTION("""COMPUTED_VALUE"""),"Шаповалова Юлия")</f>
        <v>Шаповалова Юлия</v>
      </c>
      <c r="F423" s="535" t="str">
        <f>IFERROR(__xludf.DUMMYFUNCTION("""COMPUTED_VALUE"""),"Новая")</f>
        <v>Новая</v>
      </c>
      <c r="G423" s="536" t="str">
        <f>IFERROR(__xludf.DUMMYFUNCTION("""COMPUTED_VALUE"""),"100*100")</f>
        <v>100*100</v>
      </c>
      <c r="H423" s="338" t="str">
        <f>IFERROR(__xludf.DUMMYFUNCTION("""COMPUTED_VALUE"""),"Флексопечать")</f>
        <v>Флексопечать</v>
      </c>
      <c r="I423" s="338" t="str">
        <f>IFERROR(__xludf.DUMMYFUNCTION("""COMPUTED_VALUE"""),"Bg-330")</f>
        <v>Bg-330</v>
      </c>
      <c r="J423" s="536" t="str">
        <f>IFERROR(__xludf.DUMMYFUNCTION("""COMPUTED_VALUE"""),"50 000")</f>
        <v>50 000</v>
      </c>
      <c r="K423" s="537">
        <f>IFERROR(__xludf.DUMMYFUNCTION("""COMPUTED_VALUE"""),46188.0)</f>
        <v>46188</v>
      </c>
      <c r="L423" s="537"/>
      <c r="M423" s="338" t="str">
        <f>IFERROR(__xludf.DUMMYFUNCTION("""COMPUTED_VALUE"""),"Термопленка")</f>
        <v>Термопленка</v>
      </c>
      <c r="N423" s="338" t="str">
        <f>IFERROR(__xludf.DUMMYFUNCTION("""COMPUTED_VALUE"""),"Отгружен")</f>
        <v>Отгружен</v>
      </c>
      <c r="O423" s="537"/>
      <c r="P423" s="338" t="str">
        <f>IFERROR(__xludf.DUMMYFUNCTION("""COMPUTED_VALUE"""),"паспорт качества, договор")</f>
        <v>паспорт качества, договор</v>
      </c>
      <c r="Q423" s="338" t="str">
        <f>IFERROR(__xludf.DUMMYFUNCTION("""COMPUTED_VALUE"""),"Краснодарский край, г. Гулькевичи, Территория Промзона 1 Г 8-918-032-19-47 Дарья, 9-18, пн-пт.")</f>
        <v>Краснодарский край, г. Гулькевичи, Территория Промзона 1 Г 8-918-032-19-47 Дарья, 9-18, пн-пт.</v>
      </c>
      <c r="R423" s="338"/>
      <c r="S423" s="338"/>
      <c r="T423" s="338"/>
      <c r="U423" s="338"/>
      <c r="V423" s="338"/>
      <c r="W423" s="338"/>
      <c r="X423" s="338"/>
      <c r="Y423" s="338"/>
      <c r="Z423" s="338"/>
    </row>
    <row r="424" ht="22.5" customHeight="1">
      <c r="A424" s="528" t="str">
        <f>IFERROR(__xludf.DUMMYFUNCTION("""COMPUTED_VALUE"""),"ООО""ФерЭльГам""")</f>
        <v>ООО"ФерЭльГам"</v>
      </c>
      <c r="B424" s="528"/>
      <c r="C424" s="528" t="str">
        <f>IFERROR(__xludf.DUMMYFUNCTION("""COMPUTED_VALUE"""),"470014 Ассорти овощное 1000 г Пятерка этик.")</f>
        <v>470014 Ассорти овощное 1000 г Пятерка этик.</v>
      </c>
      <c r="D424" s="528">
        <f>IFERROR(__xludf.DUMMYFUNCTION("""COMPUTED_VALUE"""),3127.0)</f>
        <v>3127</v>
      </c>
      <c r="E424" s="528" t="str">
        <f>IFERROR(__xludf.DUMMYFUNCTION("""COMPUTED_VALUE"""),"Баранов Александр")</f>
        <v>Баранов Александр</v>
      </c>
      <c r="F424" s="535" t="str">
        <f>IFERROR(__xludf.DUMMYFUNCTION("""COMPUTED_VALUE"""),"Новая")</f>
        <v>Новая</v>
      </c>
      <c r="G424" s="536" t="str">
        <f>IFERROR(__xludf.DUMMYFUNCTION("""COMPUTED_VALUE"""),"д110")</f>
        <v>д110</v>
      </c>
      <c r="H424" s="338" t="str">
        <f>IFERROR(__xludf.DUMMYFUNCTION("""COMPUTED_VALUE"""),"Флексопечать")</f>
        <v>Флексопечать</v>
      </c>
      <c r="I424" s="338" t="str">
        <f>IFERROR(__xludf.DUMMYFUNCTION("""COMPUTED_VALUE"""),"Wg-450")</f>
        <v>Wg-450</v>
      </c>
      <c r="J424" s="536">
        <f>IFERROR(__xludf.DUMMYFUNCTION("""COMPUTED_VALUE"""),10000.0)</f>
        <v>10000</v>
      </c>
      <c r="K424" s="537">
        <f>IFERROR(__xludf.DUMMYFUNCTION("""COMPUTED_VALUE"""),46182.0)</f>
        <v>46182</v>
      </c>
      <c r="L424" s="537"/>
      <c r="M424" s="338" t="str">
        <f>IFERROR(__xludf.DUMMYFUNCTION("""COMPUTED_VALUE"""),"Пленка PP белая каучук")</f>
        <v>Пленка PP белая каучук</v>
      </c>
      <c r="N424" s="338" t="str">
        <f>IFERROR(__xludf.DUMMYFUNCTION("""COMPUTED_VALUE"""),"Отгружен")</f>
        <v>Отгружен</v>
      </c>
      <c r="O424" s="338">
        <f>IFERROR(__xludf.DUMMYFUNCTION("""COMPUTED_VALUE"""),3.0)</f>
        <v>3</v>
      </c>
      <c r="P424" s="338" t="str">
        <f>IFERROR(__xludf.DUMMYFUNCTION("""COMPUTED_VALUE""")," ПРАВКИ макет выслан на утверждение")</f>
        <v> ПРАВКИ макет выслан на утверждение</v>
      </c>
      <c r="Q424" s="338"/>
      <c r="R424" s="338"/>
      <c r="S424" s="338"/>
      <c r="T424" s="338"/>
      <c r="U424" s="338"/>
      <c r="V424" s="338"/>
      <c r="W424" s="338"/>
      <c r="X424" s="338"/>
      <c r="Y424" s="338"/>
      <c r="Z424" s="338"/>
    </row>
    <row r="425" ht="22.5" customHeight="1">
      <c r="A425" s="528" t="str">
        <f>IFERROR(__xludf.DUMMYFUNCTION("""COMPUTED_VALUE"""),"ООО""ФерЭльГам""")</f>
        <v>ООО"ФерЭльГам"</v>
      </c>
      <c r="B425" s="528"/>
      <c r="C425" s="528" t="str">
        <f>IFERROR(__xludf.DUMMYFUNCTION("""COMPUTED_VALUE"""),"470639 Хренодер ядреный 240 г этик.")</f>
        <v>470639 Хренодер ядреный 240 г этик.</v>
      </c>
      <c r="D425" s="528">
        <f>IFERROR(__xludf.DUMMYFUNCTION("""COMPUTED_VALUE"""),3128.0)</f>
        <v>3128</v>
      </c>
      <c r="E425" s="528" t="str">
        <f>IFERROR(__xludf.DUMMYFUNCTION("""COMPUTED_VALUE"""),"Баранов Александр")</f>
        <v>Баранов Александр</v>
      </c>
      <c r="F425" s="535" t="str">
        <f>IFERROR(__xludf.DUMMYFUNCTION("""COMPUTED_VALUE"""),"Новая")</f>
        <v>Новая</v>
      </c>
      <c r="G425" s="536" t="str">
        <f>IFERROR(__xludf.DUMMYFUNCTION("""COMPUTED_VALUE"""),"60*160")</f>
        <v>60*160</v>
      </c>
      <c r="H425" s="338" t="str">
        <f>IFERROR(__xludf.DUMMYFUNCTION("""COMPUTED_VALUE"""),"Флексопечать")</f>
        <v>Флексопечать</v>
      </c>
      <c r="I425" s="338" t="str">
        <f>IFERROR(__xludf.DUMMYFUNCTION("""COMPUTED_VALUE"""),"Wg-450")</f>
        <v>Wg-450</v>
      </c>
      <c r="J425" s="536">
        <f>IFERROR(__xludf.DUMMYFUNCTION("""COMPUTED_VALUE"""),20000.0)</f>
        <v>20000</v>
      </c>
      <c r="K425" s="537">
        <f>IFERROR(__xludf.DUMMYFUNCTION("""COMPUTED_VALUE"""),46182.0)</f>
        <v>46182</v>
      </c>
      <c r="L425" s="537"/>
      <c r="M425" s="338" t="str">
        <f>IFERROR(__xludf.DUMMYFUNCTION("""COMPUTED_VALUE"""),"Пленка PP белая каучук")</f>
        <v>Пленка PP белая каучук</v>
      </c>
      <c r="N425" s="338" t="str">
        <f>IFERROR(__xludf.DUMMYFUNCTION("""COMPUTED_VALUE"""),"Отгружен")</f>
        <v>Отгружен</v>
      </c>
      <c r="O425" s="537"/>
      <c r="P425" s="338" t="str">
        <f>IFERROR(__xludf.DUMMYFUNCTION("""COMPUTED_VALUE""")," ПРАВКИ макет выслан на утверждение")</f>
        <v> ПРАВКИ макет выслан на утверждение</v>
      </c>
      <c r="Q425" s="338"/>
      <c r="R425" s="338"/>
      <c r="S425" s="338"/>
      <c r="T425" s="338"/>
      <c r="U425" s="338"/>
      <c r="V425" s="338"/>
      <c r="W425" s="338"/>
      <c r="X425" s="338"/>
      <c r="Y425" s="338"/>
      <c r="Z425" s="338"/>
    </row>
    <row r="426" ht="22.5" customHeight="1">
      <c r="A426" s="528" t="str">
        <f>IFERROR(__xludf.DUMMYFUNCTION("""COMPUTED_VALUE"""),"ООО""ФерЭльГам""")</f>
        <v>ООО"ФерЭльГам"</v>
      </c>
      <c r="B426" s="528"/>
      <c r="C426" s="528" t="str">
        <f>IFERROR(__xludf.DUMMYFUNCTION("""COMPUTED_VALUE"""),"470856 Черемша соленая 100 г В/У этик.")</f>
        <v>470856 Черемша соленая 100 г В/У этик.</v>
      </c>
      <c r="D426" s="528">
        <f>IFERROR(__xludf.DUMMYFUNCTION("""COMPUTED_VALUE"""),3129.0)</f>
        <v>3129</v>
      </c>
      <c r="E426" s="528" t="str">
        <f>IFERROR(__xludf.DUMMYFUNCTION("""COMPUTED_VALUE"""),"Баранов Александр")</f>
        <v>Баранов Александр</v>
      </c>
      <c r="F426" s="535" t="str">
        <f>IFERROR(__xludf.DUMMYFUNCTION("""COMPUTED_VALUE"""),"Новая")</f>
        <v>Новая</v>
      </c>
      <c r="G426" s="536" t="str">
        <f>IFERROR(__xludf.DUMMYFUNCTION("""COMPUTED_VALUE"""),"48*122")</f>
        <v>48*122</v>
      </c>
      <c r="H426" s="338" t="str">
        <f>IFERROR(__xludf.DUMMYFUNCTION("""COMPUTED_VALUE"""),"Флексопечать")</f>
        <v>Флексопечать</v>
      </c>
      <c r="I426" s="338" t="str">
        <f>IFERROR(__xludf.DUMMYFUNCTION("""COMPUTED_VALUE"""),"Wg-450")</f>
        <v>Wg-450</v>
      </c>
      <c r="J426" s="536">
        <f>IFERROR(__xludf.DUMMYFUNCTION("""COMPUTED_VALUE"""),10000.0)</f>
        <v>10000</v>
      </c>
      <c r="K426" s="537">
        <f>IFERROR(__xludf.DUMMYFUNCTION("""COMPUTED_VALUE"""),46182.0)</f>
        <v>46182</v>
      </c>
      <c r="L426" s="537"/>
      <c r="M426" s="338" t="str">
        <f>IFERROR(__xludf.DUMMYFUNCTION("""COMPUTED_VALUE"""),"Пленка PP белая каучук")</f>
        <v>Пленка PP белая каучук</v>
      </c>
      <c r="N426" s="338" t="str">
        <f>IFERROR(__xludf.DUMMYFUNCTION("""COMPUTED_VALUE"""),"Отгружен")</f>
        <v>Отгружен</v>
      </c>
      <c r="O426" s="537"/>
      <c r="P426" s="338" t="str">
        <f>IFERROR(__xludf.DUMMYFUNCTION("""COMPUTED_VALUE"""),"ПРАВКИ макет выслан на утверждение")</f>
        <v>ПРАВКИ макет выслан на утверждение</v>
      </c>
      <c r="Q426" s="338"/>
      <c r="R426" s="338"/>
      <c r="S426" s="338"/>
      <c r="T426" s="338"/>
      <c r="U426" s="338"/>
      <c r="V426" s="338"/>
      <c r="W426" s="338"/>
      <c r="X426" s="338"/>
      <c r="Y426" s="338"/>
      <c r="Z426" s="338"/>
    </row>
    <row r="427" ht="22.5" customHeight="1">
      <c r="A427" s="528" t="str">
        <f>IFERROR(__xludf.DUMMYFUNCTION("""COMPUTED_VALUE"""),"ООО МПП Южное")</f>
        <v>ООО МПП Южное</v>
      </c>
      <c r="B427" s="528"/>
      <c r="C427" s="528" t="str">
        <f>IFERROR(__xludf.DUMMYFUNCTION("""COMPUTED_VALUE"""),"Этикетка Маэстрия 58*90 мм (40/2000)")</f>
        <v>Этикетка Маэстрия 58*90 мм (40/2000)</v>
      </c>
      <c r="D427" s="528">
        <f>IFERROR(__xludf.DUMMYFUNCTION("""COMPUTED_VALUE"""),3131.0)</f>
        <v>3131</v>
      </c>
      <c r="E427" s="528" t="str">
        <f>IFERROR(__xludf.DUMMYFUNCTION("""COMPUTED_VALUE"""),"Шаповалова Юлия")</f>
        <v>Шаповалова Юлия</v>
      </c>
      <c r="F427" s="535" t="str">
        <f>IFERROR(__xludf.DUMMYFUNCTION("""COMPUTED_VALUE"""),"Новая")</f>
        <v>Новая</v>
      </c>
      <c r="G427" s="536" t="str">
        <f>IFERROR(__xludf.DUMMYFUNCTION("""COMPUTED_VALUE"""),"58*90")</f>
        <v>58*90</v>
      </c>
      <c r="H427" s="338" t="str">
        <f>IFERROR(__xludf.DUMMYFUNCTION("""COMPUTED_VALUE"""),"Флексопечать")</f>
        <v>Флексопечать</v>
      </c>
      <c r="I427" s="338" t="str">
        <f>IFERROR(__xludf.DUMMYFUNCTION("""COMPUTED_VALUE"""),"Bg-330")</f>
        <v>Bg-330</v>
      </c>
      <c r="J427" s="536" t="str">
        <f>IFERROR(__xludf.DUMMYFUNCTION("""COMPUTED_VALUE"""),"50 000")</f>
        <v>50 000</v>
      </c>
      <c r="K427" s="537">
        <f>IFERROR(__xludf.DUMMYFUNCTION("""COMPUTED_VALUE"""),46188.0)</f>
        <v>46188</v>
      </c>
      <c r="L427" s="537"/>
      <c r="M427" s="338" t="str">
        <f>IFERROR(__xludf.DUMMYFUNCTION("""COMPUTED_VALUE"""),"Термопленка")</f>
        <v>Термопленка</v>
      </c>
      <c r="N427" s="338" t="str">
        <f>IFERROR(__xludf.DUMMYFUNCTION("""COMPUTED_VALUE"""),"Отгружен")</f>
        <v>Отгружен</v>
      </c>
      <c r="O427" s="537"/>
      <c r="P427" s="338" t="str">
        <f>IFERROR(__xludf.DUMMYFUNCTION("""COMPUTED_VALUE"""),"паспорт качества, договор")</f>
        <v>паспорт качества, договор</v>
      </c>
      <c r="Q427" s="338" t="str">
        <f>IFERROR(__xludf.DUMMYFUNCTION("""COMPUTED_VALUE"""),"Краснодарский край, г. Гулькевичи, Территория Промзона 1 Г 8-918-032-19-47 Дарья, 9-18, пн-пт.")</f>
        <v>Краснодарский край, г. Гулькевичи, Территория Промзона 1 Г 8-918-032-19-47 Дарья, 9-18, пн-пт.</v>
      </c>
      <c r="R427" s="338"/>
      <c r="S427" s="338"/>
      <c r="T427" s="338"/>
      <c r="U427" s="338"/>
      <c r="V427" s="338"/>
      <c r="W427" s="338"/>
      <c r="X427" s="338"/>
      <c r="Y427" s="338"/>
      <c r="Z427" s="338"/>
    </row>
    <row r="428" ht="22.5" customHeight="1">
      <c r="A428" s="528" t="str">
        <f>IFERROR(__xludf.DUMMYFUNCTION("""COMPUTED_VALUE"""),"ООО Своя пекарня")</f>
        <v>ООО Своя пекарня</v>
      </c>
      <c r="B428" s="528"/>
      <c r="C428" s="528" t="str">
        <f>IFERROR(__xludf.DUMMYFUNCTION("""COMPUTED_VALUE"""),"Этикетка стикер d 59")</f>
        <v>Этикетка стикер d 59</v>
      </c>
      <c r="D428" s="528">
        <f>IFERROR(__xludf.DUMMYFUNCTION("""COMPUTED_VALUE"""),3132.0)</f>
        <v>3132</v>
      </c>
      <c r="E428" s="528" t="str">
        <f>IFERROR(__xludf.DUMMYFUNCTION("""COMPUTED_VALUE"""),"Шаповалов Дмитрий")</f>
        <v>Шаповалов Дмитрий</v>
      </c>
      <c r="F428" s="535" t="str">
        <f>IFERROR(__xludf.DUMMYFUNCTION("""COMPUTED_VALUE"""),"Новая")</f>
        <v>Новая</v>
      </c>
      <c r="G428" s="536" t="str">
        <f>IFERROR(__xludf.DUMMYFUNCTION("""COMPUTED_VALUE"""),"D59")</f>
        <v>D59</v>
      </c>
      <c r="H428" s="338" t="str">
        <f>IFERROR(__xludf.DUMMYFUNCTION("""COMPUTED_VALUE"""),"Флексопечать")</f>
        <v>Флексопечать</v>
      </c>
      <c r="I428" s="338" t="str">
        <f>IFERROR(__xludf.DUMMYFUNCTION("""COMPUTED_VALUE"""),"G-160")</f>
        <v>G-160</v>
      </c>
      <c r="J428" s="536">
        <f>IFERROR(__xludf.DUMMYFUNCTION("""COMPUTED_VALUE"""),20000.0)</f>
        <v>20000</v>
      </c>
      <c r="K428" s="537">
        <f>IFERROR(__xludf.DUMMYFUNCTION("""COMPUTED_VALUE"""),46190.0)</f>
        <v>46190</v>
      </c>
      <c r="L428" s="537"/>
      <c r="M428" s="338" t="str">
        <f>IFERROR(__xludf.DUMMYFUNCTION("""COMPUTED_VALUE"""),"Бумага полуглянец каучук")</f>
        <v>Бумага полуглянец каучук</v>
      </c>
      <c r="N428" s="338" t="str">
        <f>IFERROR(__xludf.DUMMYFUNCTION("""COMPUTED_VALUE"""),"Отгружен")</f>
        <v>Отгружен</v>
      </c>
      <c r="O428" s="537"/>
      <c r="P428" s="338" t="str">
        <f>IFERROR(__xludf.DUMMYFUNCTION("""COMPUTED_VALUE"""),"о готовности заказа СООБЩИТЬ")</f>
        <v>о готовности заказа СООБЩИТЬ</v>
      </c>
      <c r="Q428" s="338" t="str">
        <f>IFERROR(__xludf.DUMMYFUNCTION("""COMPUTED_VALUE"""),"Оренбургская обл, г.Орск ул Просвещения 1 «А»  Александр 89878897206")</f>
        <v>Оренбургская обл, г.Орск ул Просвещения 1 «А»  Александр 89878897206</v>
      </c>
      <c r="R428" s="338"/>
      <c r="S428" s="338"/>
      <c r="T428" s="338"/>
      <c r="U428" s="338"/>
      <c r="V428" s="338"/>
      <c r="W428" s="338"/>
      <c r="X428" s="338"/>
      <c r="Y428" s="338"/>
      <c r="Z428" s="338"/>
    </row>
    <row r="429" ht="22.5" customHeight="1">
      <c r="A429" s="528" t="str">
        <f>IFERROR(__xludf.DUMMYFUNCTION("""COMPUTED_VALUE"""),"ООО Своя пекарня")</f>
        <v>ООО Своя пекарня</v>
      </c>
      <c r="B429" s="528"/>
      <c r="C429" s="528" t="str">
        <f>IFERROR(__xludf.DUMMYFUNCTION("""COMPUTED_VALUE"""),"Этикетка стикер d25")</f>
        <v>Этикетка стикер d25</v>
      </c>
      <c r="D429" s="528">
        <f>IFERROR(__xludf.DUMMYFUNCTION("""COMPUTED_VALUE"""),3133.0)</f>
        <v>3133</v>
      </c>
      <c r="E429" s="528" t="str">
        <f>IFERROR(__xludf.DUMMYFUNCTION("""COMPUTED_VALUE"""),"Шаповалов Дмитрий")</f>
        <v>Шаповалов Дмитрий</v>
      </c>
      <c r="F429" s="535" t="str">
        <f>IFERROR(__xludf.DUMMYFUNCTION("""COMPUTED_VALUE"""),"Новая")</f>
        <v>Новая</v>
      </c>
      <c r="G429" s="536" t="str">
        <f>IFERROR(__xludf.DUMMYFUNCTION("""COMPUTED_VALUE"""),"D25")</f>
        <v>D25</v>
      </c>
      <c r="H429" s="338" t="str">
        <f>IFERROR(__xludf.DUMMYFUNCTION("""COMPUTED_VALUE"""),"Флексопечать")</f>
        <v>Флексопечать</v>
      </c>
      <c r="I429" s="338" t="str">
        <f>IFERROR(__xludf.DUMMYFUNCTION("""COMPUTED_VALUE"""),"G-160")</f>
        <v>G-160</v>
      </c>
      <c r="J429" s="536">
        <f>IFERROR(__xludf.DUMMYFUNCTION("""COMPUTED_VALUE"""),25000.0)</f>
        <v>25000</v>
      </c>
      <c r="K429" s="537">
        <f>IFERROR(__xludf.DUMMYFUNCTION("""COMPUTED_VALUE"""),46190.0)</f>
        <v>46190</v>
      </c>
      <c r="L429" s="537"/>
      <c r="M429" s="338" t="str">
        <f>IFERROR(__xludf.DUMMYFUNCTION("""COMPUTED_VALUE"""),"Бумага полуглянец каучук")</f>
        <v>Бумага полуглянец каучук</v>
      </c>
      <c r="N429" s="338" t="str">
        <f>IFERROR(__xludf.DUMMYFUNCTION("""COMPUTED_VALUE"""),"Отгружен")</f>
        <v>Отгружен</v>
      </c>
      <c r="O429" s="537"/>
      <c r="P429" s="338" t="str">
        <f>IFERROR(__xludf.DUMMYFUNCTION("""COMPUTED_VALUE"""),"о готовности заказа СООБЩИТЬ")</f>
        <v>о готовности заказа СООБЩИТЬ</v>
      </c>
      <c r="Q429" s="338" t="str">
        <f>IFERROR(__xludf.DUMMYFUNCTION("""COMPUTED_VALUE"""),"Оренбургская обл, г.Орск ул Просвещения 1 «А»  Александр 89878897206")</f>
        <v>Оренбургская обл, г.Орск ул Просвещения 1 «А»  Александр 89878897206</v>
      </c>
      <c r="R429" s="338"/>
      <c r="S429" s="338"/>
      <c r="T429" s="338"/>
      <c r="U429" s="338"/>
      <c r="V429" s="338"/>
      <c r="W429" s="338"/>
      <c r="X429" s="338"/>
      <c r="Y429" s="338"/>
      <c r="Z429" s="338"/>
    </row>
    <row r="430" ht="22.5" customHeight="1">
      <c r="A430" s="528" t="str">
        <f>IFERROR(__xludf.DUMMYFUNCTION("""COMPUTED_VALUE"""),"ООО Своя пекарня")</f>
        <v>ООО Своя пекарня</v>
      </c>
      <c r="B430" s="528"/>
      <c r="C430" s="528" t="str">
        <f>IFERROR(__xludf.DUMMYFUNCTION("""COMPUTED_VALUE"""),"Этикетка стикер d45")</f>
        <v>Этикетка стикер d45</v>
      </c>
      <c r="D430" s="528">
        <f>IFERROR(__xludf.DUMMYFUNCTION("""COMPUTED_VALUE"""),3134.0)</f>
        <v>3134</v>
      </c>
      <c r="E430" s="528" t="str">
        <f>IFERROR(__xludf.DUMMYFUNCTION("""COMPUTED_VALUE"""),"Шаповалов Дмитрий")</f>
        <v>Шаповалов Дмитрий</v>
      </c>
      <c r="F430" s="535" t="str">
        <f>IFERROR(__xludf.DUMMYFUNCTION("""COMPUTED_VALUE"""),"Новая")</f>
        <v>Новая</v>
      </c>
      <c r="G430" s="536" t="str">
        <f>IFERROR(__xludf.DUMMYFUNCTION("""COMPUTED_VALUE"""),"D45")</f>
        <v>D45</v>
      </c>
      <c r="H430" s="338" t="str">
        <f>IFERROR(__xludf.DUMMYFUNCTION("""COMPUTED_VALUE"""),"Флексопечать")</f>
        <v>Флексопечать</v>
      </c>
      <c r="I430" s="338" t="str">
        <f>IFERROR(__xludf.DUMMYFUNCTION("""COMPUTED_VALUE"""),"G-160")</f>
        <v>G-160</v>
      </c>
      <c r="J430" s="536">
        <f>IFERROR(__xludf.DUMMYFUNCTION("""COMPUTED_VALUE"""),60000.0)</f>
        <v>60000</v>
      </c>
      <c r="K430" s="537">
        <f>IFERROR(__xludf.DUMMYFUNCTION("""COMPUTED_VALUE"""),46190.0)</f>
        <v>46190</v>
      </c>
      <c r="L430" s="537"/>
      <c r="M430" s="338" t="str">
        <f>IFERROR(__xludf.DUMMYFUNCTION("""COMPUTED_VALUE"""),"Бумага полуглянец каучук")</f>
        <v>Бумага полуглянец каучук</v>
      </c>
      <c r="N430" s="338" t="str">
        <f>IFERROR(__xludf.DUMMYFUNCTION("""COMPUTED_VALUE"""),"Отгружен")</f>
        <v>Отгружен</v>
      </c>
      <c r="O430" s="537"/>
      <c r="P430" s="338" t="str">
        <f>IFERROR(__xludf.DUMMYFUNCTION("""COMPUTED_VALUE"""),"о готовности заказа СООБЩИТЬ")</f>
        <v>о готовности заказа СООБЩИТЬ</v>
      </c>
      <c r="Q430" s="338" t="str">
        <f>IFERROR(__xludf.DUMMYFUNCTION("""COMPUTED_VALUE"""),"Оренбургская обл, г.Орск ул Просвещения 1 «А»  Александр 89878897206")</f>
        <v>Оренбургская обл, г.Орск ул Просвещения 1 «А»  Александр 89878897206</v>
      </c>
      <c r="R430" s="338"/>
      <c r="S430" s="338"/>
      <c r="T430" s="338"/>
      <c r="U430" s="338"/>
      <c r="V430" s="338"/>
      <c r="W430" s="338"/>
      <c r="X430" s="338"/>
      <c r="Y430" s="338"/>
      <c r="Z430" s="338"/>
    </row>
    <row r="431" ht="22.5" customHeight="1">
      <c r="A431" s="528" t="str">
        <f>IFERROR(__xludf.DUMMYFUNCTION("""COMPUTED_VALUE"""),"Ангстрем/Националь")</f>
        <v>Ангстрем/Националь</v>
      </c>
      <c r="B431" s="528"/>
      <c r="C431" s="528" t="str">
        <f>IFERROR(__xludf.DUMMYFUNCTION("""COMPUTED_VALUE"""),"И/Э Озон Т/П Крупа гречневая 6х1500г")</f>
        <v>И/Э Озон Т/П Крупа гречневая 6х1500г</v>
      </c>
      <c r="D431" s="528">
        <f>IFERROR(__xludf.DUMMYFUNCTION("""COMPUTED_VALUE"""),3149.0)</f>
        <v>3149</v>
      </c>
      <c r="E431" s="528" t="str">
        <f>IFERROR(__xludf.DUMMYFUNCTION("""COMPUTED_VALUE"""),"Шаповалова Юлия")</f>
        <v>Шаповалова Юлия</v>
      </c>
      <c r="F431" s="535" t="str">
        <f>IFERROR(__xludf.DUMMYFUNCTION("""COMPUTED_VALUE"""),"Повтор с изменениями")</f>
        <v>Повтор с изменениями</v>
      </c>
      <c r="G431" s="536" t="str">
        <f>IFERROR(__xludf.DUMMYFUNCTION("""COMPUTED_VALUE"""),"70*100")</f>
        <v>70*100</v>
      </c>
      <c r="H431" s="338" t="str">
        <f>IFERROR(__xludf.DUMMYFUNCTION("""COMPUTED_VALUE"""),"Флексопечать")</f>
        <v>Флексопечать</v>
      </c>
      <c r="I431" s="338" t="str">
        <f>IFERROR(__xludf.DUMMYFUNCTION("""COMPUTED_VALUE"""),"Bg-330")</f>
        <v>Bg-330</v>
      </c>
      <c r="J431" s="536" t="str">
        <f>IFERROR(__xludf.DUMMYFUNCTION("""COMPUTED_VALUE"""),"5 000")</f>
        <v>5 000</v>
      </c>
      <c r="K431" s="537">
        <f>IFERROR(__xludf.DUMMYFUNCTION("""COMPUTED_VALUE"""),46190.0)</f>
        <v>46190</v>
      </c>
      <c r="L431" s="537"/>
      <c r="M431" s="338" t="str">
        <f>IFERROR(__xludf.DUMMYFUNCTION("""COMPUTED_VALUE"""),"Бумага полуглянец акрил")</f>
        <v>Бумага полуглянец акрил</v>
      </c>
      <c r="N431" s="338" t="str">
        <f>IFERROR(__xludf.DUMMYFUNCTION("""COMPUTED_VALUE"""),"Отгружен")</f>
        <v>Отгружен</v>
      </c>
      <c r="O431" s="537"/>
      <c r="P431" s="338" t="str">
        <f>IFERROR(__xludf.DUMMYFUNCTION("""COMPUTED_VALUE"""),"паспорт качества")</f>
        <v>паспорт качества</v>
      </c>
      <c r="Q431" s="338" t="str">
        <f>IFERROR(__xludf.DUMMYFUNCTION("""COMPUTED_VALUE"""),"Краснодарский край, Красноармейский р-н, Протичка х, 2000 метров на восток от хутора
Контактное лицо: Мурзинов Дмитрий, 8-989-267-19-51")</f>
        <v>Краснодарский край, Красноармейский р-н, Протичка х, 2000 метров на восток от хутора
Контактное лицо: Мурзинов Дмитрий, 8-989-267-19-51</v>
      </c>
      <c r="R431" s="338"/>
      <c r="S431" s="338"/>
      <c r="T431" s="338"/>
      <c r="U431" s="338"/>
      <c r="V431" s="338"/>
      <c r="W431" s="338"/>
      <c r="X431" s="338"/>
      <c r="Y431" s="338"/>
      <c r="Z431" s="338"/>
    </row>
    <row r="432" ht="22.5" customHeight="1">
      <c r="A432" s="528" t="str">
        <f>IFERROR(__xludf.DUMMYFUNCTION("""COMPUTED_VALUE"""),"Ангстрем/Националь")</f>
        <v>Ангстрем/Националь</v>
      </c>
      <c r="B432" s="528"/>
      <c r="C432" s="528" t="str">
        <f>IFERROR(__xludf.DUMMYFUNCTION("""COMPUTED_VALUE"""),"И/Э Озон Т/П Рис Ризотто 6х500г")</f>
        <v>И/Э Озон Т/П Рис Ризотто 6х500г</v>
      </c>
      <c r="D432" s="528">
        <f>IFERROR(__xludf.DUMMYFUNCTION("""COMPUTED_VALUE"""),3150.0)</f>
        <v>3150</v>
      </c>
      <c r="E432" s="528" t="str">
        <f>IFERROR(__xludf.DUMMYFUNCTION("""COMPUTED_VALUE"""),"Шаповалова Юлия")</f>
        <v>Шаповалова Юлия</v>
      </c>
      <c r="F432" s="535" t="str">
        <f>IFERROR(__xludf.DUMMYFUNCTION("""COMPUTED_VALUE"""),"Повтор с изменениями")</f>
        <v>Повтор с изменениями</v>
      </c>
      <c r="G432" s="536" t="str">
        <f>IFERROR(__xludf.DUMMYFUNCTION("""COMPUTED_VALUE"""),"70*100")</f>
        <v>70*100</v>
      </c>
      <c r="H432" s="338" t="str">
        <f>IFERROR(__xludf.DUMMYFUNCTION("""COMPUTED_VALUE"""),"Флексопечать")</f>
        <v>Флексопечать</v>
      </c>
      <c r="I432" s="338" t="str">
        <f>IFERROR(__xludf.DUMMYFUNCTION("""COMPUTED_VALUE"""),"Bg-330")</f>
        <v>Bg-330</v>
      </c>
      <c r="J432" s="536" t="str">
        <f>IFERROR(__xludf.DUMMYFUNCTION("""COMPUTED_VALUE""")," 5 000")</f>
        <v> 5 000</v>
      </c>
      <c r="K432" s="537">
        <f>IFERROR(__xludf.DUMMYFUNCTION("""COMPUTED_VALUE"""),46190.0)</f>
        <v>46190</v>
      </c>
      <c r="L432" s="537"/>
      <c r="M432" s="338" t="str">
        <f>IFERROR(__xludf.DUMMYFUNCTION("""COMPUTED_VALUE"""),"Бумага полуглянец акрил")</f>
        <v>Бумага полуглянец акрил</v>
      </c>
      <c r="N432" s="338" t="str">
        <f>IFERROR(__xludf.DUMMYFUNCTION("""COMPUTED_VALUE"""),"Отгружен")</f>
        <v>Отгружен</v>
      </c>
      <c r="O432" s="537"/>
      <c r="P432" s="338" t="str">
        <f>IFERROR(__xludf.DUMMYFUNCTION("""COMPUTED_VALUE"""),"паспорт качества")</f>
        <v>паспорт качества</v>
      </c>
      <c r="Q432" s="338" t="str">
        <f>IFERROR(__xludf.DUMMYFUNCTION("""COMPUTED_VALUE"""),"Краснодарский край, Красноармейский р-н, Протичка х, 2000 метров на восток от хутора
Контактное лицо: Мурзинов Дмитрий, 8-989-267-19-51")</f>
        <v>Краснодарский край, Красноармейский р-н, Протичка х, 2000 метров на восток от хутора
Контактное лицо: Мурзинов Дмитрий, 8-989-267-19-51</v>
      </c>
      <c r="R432" s="338"/>
      <c r="S432" s="338"/>
      <c r="T432" s="338"/>
      <c r="U432" s="338"/>
      <c r="V432" s="338"/>
      <c r="W432" s="338"/>
      <c r="X432" s="338"/>
      <c r="Y432" s="338"/>
      <c r="Z432" s="338"/>
    </row>
    <row r="433" ht="22.5" customHeight="1">
      <c r="A433" s="528" t="str">
        <f>IFERROR(__xludf.DUMMYFUNCTION("""COMPUTED_VALUE"""),"Ангстрем/Националь")</f>
        <v>Ангстрем/Националь</v>
      </c>
      <c r="B433" s="528"/>
      <c r="C433" s="528" t="str">
        <f>IFERROR(__xludf.DUMMYFUNCTION("""COMPUTED_VALUE"""),"И/Э 100*70 ИЗ ЛАВКИ Т/П Рис круглозерный 12х900г")</f>
        <v>И/Э 100*70 ИЗ ЛАВКИ Т/П Рис круглозерный 12х900г</v>
      </c>
      <c r="D433" s="528">
        <f>IFERROR(__xludf.DUMMYFUNCTION("""COMPUTED_VALUE"""),3151.0)</f>
        <v>3151</v>
      </c>
      <c r="E433" s="528" t="str">
        <f>IFERROR(__xludf.DUMMYFUNCTION("""COMPUTED_VALUE"""),"Шаповалова Юлия")</f>
        <v>Шаповалова Юлия</v>
      </c>
      <c r="F433" s="535" t="str">
        <f>IFERROR(__xludf.DUMMYFUNCTION("""COMPUTED_VALUE"""),"Повтор с изменениями")</f>
        <v>Повтор с изменениями</v>
      </c>
      <c r="G433" s="536" t="str">
        <f>IFERROR(__xludf.DUMMYFUNCTION("""COMPUTED_VALUE"""),"70*100")</f>
        <v>70*100</v>
      </c>
      <c r="H433" s="338" t="str">
        <f>IFERROR(__xludf.DUMMYFUNCTION("""COMPUTED_VALUE"""),"Флексопечать")</f>
        <v>Флексопечать</v>
      </c>
      <c r="I433" s="338" t="str">
        <f>IFERROR(__xludf.DUMMYFUNCTION("""COMPUTED_VALUE"""),"Bg-330")</f>
        <v>Bg-330</v>
      </c>
      <c r="J433" s="536" t="str">
        <f>IFERROR(__xludf.DUMMYFUNCTION("""COMPUTED_VALUE"""),"15 000")</f>
        <v>15 000</v>
      </c>
      <c r="K433" s="537">
        <f>IFERROR(__xludf.DUMMYFUNCTION("""COMPUTED_VALUE"""),46190.0)</f>
        <v>46190</v>
      </c>
      <c r="L433" s="537"/>
      <c r="M433" s="338" t="str">
        <f>IFERROR(__xludf.DUMMYFUNCTION("""COMPUTED_VALUE"""),"Бумага полуглянец акрил")</f>
        <v>Бумага полуглянец акрил</v>
      </c>
      <c r="N433" s="338" t="str">
        <f>IFERROR(__xludf.DUMMYFUNCTION("""COMPUTED_VALUE"""),"Отгружен")</f>
        <v>Отгружен</v>
      </c>
      <c r="O433" s="537"/>
      <c r="P433" s="338" t="str">
        <f>IFERROR(__xludf.DUMMYFUNCTION("""COMPUTED_VALUE"""),"паспорт качества")</f>
        <v>паспорт качества</v>
      </c>
      <c r="Q433" s="338" t="str">
        <f>IFERROR(__xludf.DUMMYFUNCTION("""COMPUTED_VALUE"""),"Краснодарский край, Красноармейский р-н, Протичка х, 2000 метров на восток от хутора
Контактное лицо: Мурзинов Дмитрий, 8-989-267-19-51")</f>
        <v>Краснодарский край, Красноармейский р-н, Протичка х, 2000 метров на восток от хутора
Контактное лицо: Мурзинов Дмитрий, 8-989-267-19-51</v>
      </c>
      <c r="R433" s="338"/>
      <c r="S433" s="338"/>
      <c r="T433" s="338"/>
      <c r="U433" s="338"/>
      <c r="V433" s="338"/>
      <c r="W433" s="338"/>
      <c r="X433" s="338"/>
      <c r="Y433" s="338"/>
      <c r="Z433" s="338"/>
    </row>
    <row r="434" ht="22.5" customHeight="1">
      <c r="A434" s="528" t="str">
        <f>IFERROR(__xludf.DUMMYFUNCTION("""COMPUTED_VALUE"""),"Ангстрем/Националь")</f>
        <v>Ангстрем/Националь</v>
      </c>
      <c r="B434" s="528"/>
      <c r="C434" s="528" t="str">
        <f>IFERROR(__xludf.DUMMYFUNCTION("""COMPUTED_VALUE"""),"И/Э 100*70 ИЗ ЛАВКИ Т/П Пшено 12х900г")</f>
        <v>И/Э 100*70 ИЗ ЛАВКИ Т/П Пшено 12х900г</v>
      </c>
      <c r="D434" s="528">
        <f>IFERROR(__xludf.DUMMYFUNCTION("""COMPUTED_VALUE"""),3152.0)</f>
        <v>3152</v>
      </c>
      <c r="E434" s="528" t="str">
        <f>IFERROR(__xludf.DUMMYFUNCTION("""COMPUTED_VALUE"""),"Шаповалова Юлия")</f>
        <v>Шаповалова Юлия</v>
      </c>
      <c r="F434" s="535" t="str">
        <f>IFERROR(__xludf.DUMMYFUNCTION("""COMPUTED_VALUE"""),"Повтор с изменениями")</f>
        <v>Повтор с изменениями</v>
      </c>
      <c r="G434" s="536" t="str">
        <f>IFERROR(__xludf.DUMMYFUNCTION("""COMPUTED_VALUE"""),"70*100")</f>
        <v>70*100</v>
      </c>
      <c r="H434" s="338" t="str">
        <f>IFERROR(__xludf.DUMMYFUNCTION("""COMPUTED_VALUE"""),"Флексопечать")</f>
        <v>Флексопечать</v>
      </c>
      <c r="I434" s="338" t="str">
        <f>IFERROR(__xludf.DUMMYFUNCTION("""COMPUTED_VALUE"""),"Bg-330")</f>
        <v>Bg-330</v>
      </c>
      <c r="J434" s="536" t="str">
        <f>IFERROR(__xludf.DUMMYFUNCTION("""COMPUTED_VALUE"""),"5 000")</f>
        <v>5 000</v>
      </c>
      <c r="K434" s="537">
        <f>IFERROR(__xludf.DUMMYFUNCTION("""COMPUTED_VALUE"""),46190.0)</f>
        <v>46190</v>
      </c>
      <c r="L434" s="537"/>
      <c r="M434" s="338" t="str">
        <f>IFERROR(__xludf.DUMMYFUNCTION("""COMPUTED_VALUE"""),"Бумага полуглянец акрил")</f>
        <v>Бумага полуглянец акрил</v>
      </c>
      <c r="N434" s="338" t="str">
        <f>IFERROR(__xludf.DUMMYFUNCTION("""COMPUTED_VALUE"""),"Отгружен")</f>
        <v>Отгружен</v>
      </c>
      <c r="O434" s="537"/>
      <c r="P434" s="338" t="str">
        <f>IFERROR(__xludf.DUMMYFUNCTION("""COMPUTED_VALUE"""),"паспорт качества")</f>
        <v>паспорт качества</v>
      </c>
      <c r="Q434" s="338" t="str">
        <f>IFERROR(__xludf.DUMMYFUNCTION("""COMPUTED_VALUE"""),"Краснодарский край, Красноармейский р-н, Протичка х, 2000 метров на восток от хутора
Контактное лицо: Мурзинов Дмитрий, 8-989-267-19-51")</f>
        <v>Краснодарский край, Красноармейский р-н, Протичка х, 2000 метров на восток от хутора
Контактное лицо: Мурзинов Дмитрий, 8-989-267-19-51</v>
      </c>
      <c r="R434" s="338"/>
      <c r="S434" s="338"/>
      <c r="T434" s="338"/>
      <c r="U434" s="338"/>
      <c r="V434" s="338"/>
      <c r="W434" s="338"/>
      <c r="X434" s="338"/>
      <c r="Y434" s="338"/>
      <c r="Z434" s="338"/>
    </row>
    <row r="435" ht="22.5" customHeight="1">
      <c r="A435" s="528" t="str">
        <f>IFERROR(__xludf.DUMMYFUNCTION("""COMPUTED_VALUE"""),"Альянс Транзит")</f>
        <v>Альянс Транзит</v>
      </c>
      <c r="B435" s="528"/>
      <c r="C435" s="528" t="str">
        <f>IFERROR(__xludf.DUMMYFUNCTION("""COMPUTED_VALUE"""),"Этикетка ""Не вскрывать Термогруз""")</f>
        <v>Этикетка "Не вскрывать Термогруз"</v>
      </c>
      <c r="D435" s="528">
        <f>IFERROR(__xludf.DUMMYFUNCTION("""COMPUTED_VALUE"""),3153.0)</f>
        <v>3153</v>
      </c>
      <c r="E435" s="528" t="str">
        <f>IFERROR(__xludf.DUMMYFUNCTION("""COMPUTED_VALUE"""),"Татьяна Денисова")</f>
        <v>Татьяна Денисова</v>
      </c>
      <c r="F435" s="535" t="str">
        <f>IFERROR(__xludf.DUMMYFUNCTION("""COMPUTED_VALUE"""),"Новая")</f>
        <v>Новая</v>
      </c>
      <c r="G435" s="536" t="str">
        <f>IFERROR(__xludf.DUMMYFUNCTION("""COMPUTED_VALUE"""),"80*130")</f>
        <v>80*130</v>
      </c>
      <c r="H435" s="338" t="str">
        <f>IFERROR(__xludf.DUMMYFUNCTION("""COMPUTED_VALUE"""),"Флексопечать")</f>
        <v>Флексопечать</v>
      </c>
      <c r="I435" s="338" t="str">
        <f>IFERROR(__xludf.DUMMYFUNCTION("""COMPUTED_VALUE"""),"G-200")</f>
        <v>G-200</v>
      </c>
      <c r="J435" s="536">
        <f>IFERROR(__xludf.DUMMYFUNCTION("""COMPUTED_VALUE"""),20000.0)</f>
        <v>20000</v>
      </c>
      <c r="K435" s="537">
        <f>IFERROR(__xludf.DUMMYFUNCTION("""COMPUTED_VALUE"""),46190.0)</f>
        <v>46190</v>
      </c>
      <c r="L435" s="537"/>
      <c r="M435" s="338" t="str">
        <f>IFERROR(__xludf.DUMMYFUNCTION("""COMPUTED_VALUE"""),"Бумага полуглянец каучук")</f>
        <v>Бумага полуглянец каучук</v>
      </c>
      <c r="N435" s="338" t="str">
        <f>IFERROR(__xludf.DUMMYFUNCTION("""COMPUTED_VALUE"""),"Отгружен")</f>
        <v>Отгружен</v>
      </c>
      <c r="O435" s="537"/>
      <c r="P435" s="338"/>
      <c r="Q435" s="338"/>
      <c r="R435" s="338"/>
      <c r="S435" s="338"/>
      <c r="T435" s="338"/>
      <c r="U435" s="338"/>
      <c r="V435" s="338"/>
      <c r="W435" s="338"/>
      <c r="X435" s="338"/>
      <c r="Y435" s="338"/>
      <c r="Z435" s="338"/>
    </row>
    <row r="436" ht="22.5" customHeight="1">
      <c r="A436" s="528" t="str">
        <f>IFERROR(__xludf.DUMMYFUNCTION("""COMPUTED_VALUE"""),"Альянс Транзит")</f>
        <v>Альянс Транзит</v>
      </c>
      <c r="B436" s="528"/>
      <c r="C436" s="528" t="str">
        <f>IFERROR(__xludf.DUMMYFUNCTION("""COMPUTED_VALUE"""),"Этикетка температурный режим")</f>
        <v>Этикетка температурный режим</v>
      </c>
      <c r="D436" s="528">
        <f>IFERROR(__xludf.DUMMYFUNCTION("""COMPUTED_VALUE"""),3154.0)</f>
        <v>3154</v>
      </c>
      <c r="E436" s="528" t="str">
        <f>IFERROR(__xludf.DUMMYFUNCTION("""COMPUTED_VALUE"""),"Татьяна Денисова")</f>
        <v>Татьяна Денисова</v>
      </c>
      <c r="F436" s="535" t="str">
        <f>IFERROR(__xludf.DUMMYFUNCTION("""COMPUTED_VALUE"""),"Новая")</f>
        <v>Новая</v>
      </c>
      <c r="G436" s="536" t="str">
        <f>IFERROR(__xludf.DUMMYFUNCTION("""COMPUTED_VALUE"""),"99*99")</f>
        <v>99*99</v>
      </c>
      <c r="H436" s="338" t="str">
        <f>IFERROR(__xludf.DUMMYFUNCTION("""COMPUTED_VALUE"""),"Флексопечать")</f>
        <v>Флексопечать</v>
      </c>
      <c r="I436" s="338" t="str">
        <f>IFERROR(__xludf.DUMMYFUNCTION("""COMPUTED_VALUE"""),"G-200")</f>
        <v>G-200</v>
      </c>
      <c r="J436" s="536">
        <f>IFERROR(__xludf.DUMMYFUNCTION("""COMPUTED_VALUE"""),20000.0)</f>
        <v>20000</v>
      </c>
      <c r="K436" s="537">
        <f>IFERROR(__xludf.DUMMYFUNCTION("""COMPUTED_VALUE"""),46190.0)</f>
        <v>46190</v>
      </c>
      <c r="L436" s="537"/>
      <c r="M436" s="338" t="str">
        <f>IFERROR(__xludf.DUMMYFUNCTION("""COMPUTED_VALUE"""),"Бумага полуглянец каучук")</f>
        <v>Бумага полуглянец каучук</v>
      </c>
      <c r="N436" s="338" t="str">
        <f>IFERROR(__xludf.DUMMYFUNCTION("""COMPUTED_VALUE"""),"Отгружен")</f>
        <v>Отгружен</v>
      </c>
      <c r="O436" s="537"/>
      <c r="P436" s="338"/>
      <c r="Q436" s="338"/>
      <c r="R436" s="338"/>
      <c r="S436" s="338"/>
      <c r="T436" s="338"/>
      <c r="U436" s="338"/>
      <c r="V436" s="338"/>
      <c r="W436" s="338"/>
      <c r="X436" s="338"/>
      <c r="Y436" s="338"/>
      <c r="Z436" s="338"/>
    </row>
    <row r="437" ht="22.5" customHeight="1">
      <c r="A437" s="528" t="str">
        <f>IFERROR(__xludf.DUMMYFUNCTION("""COMPUTED_VALUE"""),"ИП Свешникова")</f>
        <v>ИП Свешникова</v>
      </c>
      <c r="B437" s="528"/>
      <c r="C437" s="528" t="str">
        <f>IFERROR(__xludf.DUMMYFUNCTION("""COMPUTED_VALUE"""),"Этикетка пустышка d40")</f>
        <v>Этикетка пустышка d40</v>
      </c>
      <c r="D437" s="528">
        <f>IFERROR(__xludf.DUMMYFUNCTION("""COMPUTED_VALUE"""),3158.0)</f>
        <v>3158</v>
      </c>
      <c r="E437" s="528" t="str">
        <f>IFERROR(__xludf.DUMMYFUNCTION("""COMPUTED_VALUE"""),"Шаповалова Юлия")</f>
        <v>Шаповалова Юлия</v>
      </c>
      <c r="F437" s="535" t="str">
        <f>IFERROR(__xludf.DUMMYFUNCTION("""COMPUTED_VALUE"""),"Новая")</f>
        <v>Новая</v>
      </c>
      <c r="G437" s="536" t="str">
        <f>IFERROR(__xludf.DUMMYFUNCTION("""COMPUTED_VALUE"""),"d 40")</f>
        <v>d 40</v>
      </c>
      <c r="H437" s="338" t="str">
        <f>IFERROR(__xludf.DUMMYFUNCTION("""COMPUTED_VALUE"""),"Флексопечать")</f>
        <v>Флексопечать</v>
      </c>
      <c r="I437" s="338" t="str">
        <f>IFERROR(__xludf.DUMMYFUNCTION("""COMPUTED_VALUE"""),"Montax")</f>
        <v>Montax</v>
      </c>
      <c r="J437" s="536" t="str">
        <f>IFERROR(__xludf.DUMMYFUNCTION("""COMPUTED_VALUE"""),"10 000")</f>
        <v>10 000</v>
      </c>
      <c r="K437" s="537">
        <f>IFERROR(__xludf.DUMMYFUNCTION("""COMPUTED_VALUE"""),46190.0)</f>
        <v>46190</v>
      </c>
      <c r="L437" s="537"/>
      <c r="M437" s="338" t="str">
        <f>IFERROR(__xludf.DUMMYFUNCTION("""COMPUTED_VALUE"""),"Бумага полуглянец акрил")</f>
        <v>Бумага полуглянец акрил</v>
      </c>
      <c r="N437" s="338" t="str">
        <f>IFERROR(__xludf.DUMMYFUNCTION("""COMPUTED_VALUE"""),"Отгружен")</f>
        <v>Отгружен</v>
      </c>
      <c r="O437" s="537"/>
      <c r="P437" s="338"/>
      <c r="Q437" s="338" t="str">
        <f>IFERROR(__xludf.DUMMYFUNCTION("""COMPUTED_VALUE"""),"Город Липецк улица Московская 93 кв16  тел. 89513061399 Руслан
")</f>
        <v>Город Липецк улица Московская 93 кв16  тел. 89513061399 Руслан
</v>
      </c>
      <c r="R437" s="338"/>
      <c r="S437" s="338"/>
      <c r="T437" s="338"/>
      <c r="U437" s="338"/>
      <c r="V437" s="338"/>
      <c r="W437" s="338"/>
      <c r="X437" s="338"/>
      <c r="Y437" s="338"/>
      <c r="Z437" s="338"/>
    </row>
    <row r="438" ht="22.5" customHeight="1">
      <c r="A438" s="528" t="str">
        <f>IFERROR(__xludf.DUMMYFUNCTION("""COMPUTED_VALUE"""),"Кейтеринг Технолоджи")</f>
        <v>Кейтеринг Технолоджи</v>
      </c>
      <c r="B438" s="528"/>
      <c r="C438" s="528" t="str">
        <f>IFERROR(__xludf.DUMMYFUNCTION("""COMPUTED_VALUE"""),"Голубые образцы 3 вида")</f>
        <v>Голубые образцы 3 вида</v>
      </c>
      <c r="D438" s="528">
        <f>IFERROR(__xludf.DUMMYFUNCTION("""COMPUTED_VALUE"""),3161.0)</f>
        <v>3161</v>
      </c>
      <c r="E438" s="528" t="str">
        <f>IFERROR(__xludf.DUMMYFUNCTION("""COMPUTED_VALUE"""),"Татьяна Денисова")</f>
        <v>Татьяна Денисова</v>
      </c>
      <c r="F438" s="535" t="str">
        <f>IFERROR(__xludf.DUMMYFUNCTION("""COMPUTED_VALUE"""),"ТЕСТ")</f>
        <v>ТЕСТ</v>
      </c>
      <c r="G438" s="536" t="str">
        <f>IFERROR(__xludf.DUMMYFUNCTION("""COMPUTED_VALUE"""),"70*80")</f>
        <v>70*80</v>
      </c>
      <c r="H438" s="338" t="str">
        <f>IFERROR(__xludf.DUMMYFUNCTION("""COMPUTED_VALUE"""),"Цифра+Полуротация")</f>
        <v>Цифра+Полуротация</v>
      </c>
      <c r="I438" s="338" t="str">
        <f>IFERROR(__xludf.DUMMYFUNCTION("""COMPUTED_VALUE"""),"LS(ЦПМ)")</f>
        <v>LS(ЦПМ)</v>
      </c>
      <c r="J438" s="536" t="str">
        <f>IFERROR(__xludf.DUMMYFUNCTION("""COMPUTED_VALUE"""),"3*50-100")</f>
        <v>3*50-100</v>
      </c>
      <c r="K438" s="537">
        <f>IFERROR(__xludf.DUMMYFUNCTION("""COMPUTED_VALUE"""),46190.0)</f>
        <v>46190</v>
      </c>
      <c r="L438" s="537"/>
      <c r="M438" s="338" t="str">
        <f>IFERROR(__xludf.DUMMYFUNCTION("""COMPUTED_VALUE"""),"Термо Топ")</f>
        <v>Термо Топ</v>
      </c>
      <c r="N438" s="338" t="str">
        <f>IFERROR(__xludf.DUMMYFUNCTION("""COMPUTED_VALUE"""),"Отгружен")</f>
        <v>Отгружен</v>
      </c>
      <c r="O438" s="537"/>
      <c r="P438" s="338" t="str">
        <f>IFERROR(__xludf.DUMMYFUNCTION("""COMPUTED_VALUE"""),"Доставка 18.06 вместе с Гаспачо ""по-Андалусски""")</f>
        <v>Доставка 18.06 вместе с Гаспачо "по-Андалусски"</v>
      </c>
      <c r="Q438" s="338" t="str">
        <f>IFERROR(__xludf.DUMMYFUNCTION("""COMPUTED_VALUE"""),"Проезд Фрезер , дом 2, Стр 13
Позвонить за 30 мин по тел 8(925)724-74-37 заказать пропуск на въезд")</f>
        <v>Проезд Фрезер , дом 2, Стр 13
Позвонить за 30 мин по тел 8(925)724-74-37 заказать пропуск на въезд</v>
      </c>
      <c r="R438" s="338"/>
      <c r="S438" s="338"/>
      <c r="T438" s="338"/>
      <c r="U438" s="338"/>
      <c r="V438" s="338"/>
      <c r="W438" s="338"/>
      <c r="X438" s="338"/>
      <c r="Y438" s="338"/>
      <c r="Z438" s="338"/>
    </row>
    <row r="439" ht="22.5" customHeight="1">
      <c r="A439" s="528" t="str">
        <f>IFERROR(__xludf.DUMMYFUNCTION("""COMPUTED_VALUE"""),"ООО ТУАН")</f>
        <v>ООО ТУАН</v>
      </c>
      <c r="B439" s="528"/>
      <c r="C439" s="528" t="str">
        <f>IFERROR(__xludf.DUMMYFUNCTION("""COMPUTED_VALUE"""),"Этикетка Эфиопия Йяйе")</f>
        <v>Этикетка Эфиопия Йяйе</v>
      </c>
      <c r="D439" s="528">
        <f>IFERROR(__xludf.DUMMYFUNCTION("""COMPUTED_VALUE"""),3162.0)</f>
        <v>3162</v>
      </c>
      <c r="E439" s="528" t="str">
        <f>IFERROR(__xludf.DUMMYFUNCTION("""COMPUTED_VALUE"""),"Шаповалова Юлия")</f>
        <v>Шаповалова Юлия</v>
      </c>
      <c r="F439" s="535" t="str">
        <f>IFERROR(__xludf.DUMMYFUNCTION("""COMPUTED_VALUE"""),"Повтор")</f>
        <v>Повтор</v>
      </c>
      <c r="G439" s="536" t="str">
        <f>IFERROR(__xludf.DUMMYFUNCTION("""COMPUTED_VALUE"""),"45*110")</f>
        <v>45*110</v>
      </c>
      <c r="H439" s="338" t="str">
        <f>IFERROR(__xludf.DUMMYFUNCTION("""COMPUTED_VALUE"""),"Флексопечать")</f>
        <v>Флексопечать</v>
      </c>
      <c r="I439" s="338" t="str">
        <f>IFERROR(__xludf.DUMMYFUNCTION("""COMPUTED_VALUE"""),"Bg-330")</f>
        <v>Bg-330</v>
      </c>
      <c r="J439" s="536" t="str">
        <f>IFERROR(__xludf.DUMMYFUNCTION("""COMPUTED_VALUE"""),"1 500")</f>
        <v>1 500</v>
      </c>
      <c r="K439" s="537">
        <f>IFERROR(__xludf.DUMMYFUNCTION("""COMPUTED_VALUE"""),46190.0)</f>
        <v>46190</v>
      </c>
      <c r="L439" s="537"/>
      <c r="M439" s="338" t="str">
        <f>IFERROR(__xludf.DUMMYFUNCTION("""COMPUTED_VALUE"""),"Пленка PP белая каучук")</f>
        <v>Пленка PP белая каучук</v>
      </c>
      <c r="N439" s="338" t="str">
        <f>IFERROR(__xludf.DUMMYFUNCTION("""COMPUTED_VALUE"""),"Отгружен")</f>
        <v>Отгружен</v>
      </c>
      <c r="O439" s="537"/>
      <c r="P439" s="338" t="str">
        <f>IFERROR(__xludf.DUMMYFUNCTION("""COMPUTED_VALUE"""),"приладка по образцу")</f>
        <v>приладка по образцу</v>
      </c>
      <c r="Q439" s="338" t="str">
        <f>IFERROR(__xludf.DUMMYFUNCTION("""COMPUTED_VALUE"""),"г. Москва, 63-й км. МКАД, р-н Строгино, ул. Маршала Прошлякова, д. 26, корп. 3, стр. 6. тел.+7(926) 554-87-33 Екатерина с 9.00 до 16.00")</f>
        <v>г. Москва, 63-й км. МКАД, р-н Строгино, ул. Маршала Прошлякова, д. 26, корп. 3, стр. 6. тел.+7(926) 554-87-33 Екатерина с 9.00 до 16.00</v>
      </c>
      <c r="R439" s="338"/>
      <c r="S439" s="338"/>
      <c r="T439" s="338"/>
      <c r="U439" s="338"/>
      <c r="V439" s="338"/>
      <c r="W439" s="338"/>
      <c r="X439" s="338"/>
      <c r="Y439" s="338"/>
      <c r="Z439" s="338"/>
    </row>
    <row r="440" ht="22.5" customHeight="1">
      <c r="A440" s="528" t="str">
        <f>IFERROR(__xludf.DUMMYFUNCTION("""COMPUTED_VALUE"""),"ООО ТУАН")</f>
        <v>ООО ТУАН</v>
      </c>
      <c r="B440" s="528"/>
      <c r="C440" s="528" t="str">
        <f>IFERROR(__xludf.DUMMYFUNCTION("""COMPUTED_VALUE"""),"Этикетка Декаф Колумбия")</f>
        <v>Этикетка Декаф Колумбия</v>
      </c>
      <c r="D440" s="528">
        <f>IFERROR(__xludf.DUMMYFUNCTION("""COMPUTED_VALUE"""),3163.0)</f>
        <v>3163</v>
      </c>
      <c r="E440" s="528" t="str">
        <f>IFERROR(__xludf.DUMMYFUNCTION("""COMPUTED_VALUE"""),"Шаповалова Юлия")</f>
        <v>Шаповалова Юлия</v>
      </c>
      <c r="F440" s="535" t="str">
        <f>IFERROR(__xludf.DUMMYFUNCTION("""COMPUTED_VALUE"""),"Повтор")</f>
        <v>Повтор</v>
      </c>
      <c r="G440" s="536" t="str">
        <f>IFERROR(__xludf.DUMMYFUNCTION("""COMPUTED_VALUE"""),"45*110")</f>
        <v>45*110</v>
      </c>
      <c r="H440" s="338" t="str">
        <f>IFERROR(__xludf.DUMMYFUNCTION("""COMPUTED_VALUE"""),"Флексопечать")</f>
        <v>Флексопечать</v>
      </c>
      <c r="I440" s="338" t="str">
        <f>IFERROR(__xludf.DUMMYFUNCTION("""COMPUTED_VALUE"""),"Bg-330")</f>
        <v>Bg-330</v>
      </c>
      <c r="J440" s="536" t="str">
        <f>IFERROR(__xludf.DUMMYFUNCTION("""COMPUTED_VALUE"""),"5 000")</f>
        <v>5 000</v>
      </c>
      <c r="K440" s="537">
        <f>IFERROR(__xludf.DUMMYFUNCTION("""COMPUTED_VALUE"""),46190.0)</f>
        <v>46190</v>
      </c>
      <c r="L440" s="537"/>
      <c r="M440" s="338" t="str">
        <f>IFERROR(__xludf.DUMMYFUNCTION("""COMPUTED_VALUE"""),"Пленка PP белая каучук")</f>
        <v>Пленка PP белая каучук</v>
      </c>
      <c r="N440" s="338" t="str">
        <f>IFERROR(__xludf.DUMMYFUNCTION("""COMPUTED_VALUE"""),"Отгружен")</f>
        <v>Отгружен</v>
      </c>
      <c r="O440" s="537"/>
      <c r="P440" s="338" t="str">
        <f>IFERROR(__xludf.DUMMYFUNCTION("""COMPUTED_VALUE"""),"приладка по образцу")</f>
        <v>приладка по образцу</v>
      </c>
      <c r="Q440" s="338" t="str">
        <f>IFERROR(__xludf.DUMMYFUNCTION("""COMPUTED_VALUE"""),"г. Москва, 63-й км. МКАД, р-н Строгино, ул. Маршала Прошлякова, д. 26, корп. 3, стр. 6. тел.+7(926) 554-87-33 Екатерина с 9.00 до 16.00")</f>
        <v>г. Москва, 63-й км. МКАД, р-н Строгино, ул. Маршала Прошлякова, д. 26, корп. 3, стр. 6. тел.+7(926) 554-87-33 Екатерина с 9.00 до 16.00</v>
      </c>
      <c r="R440" s="338"/>
      <c r="S440" s="338"/>
      <c r="T440" s="338"/>
      <c r="U440" s="338"/>
      <c r="V440" s="338"/>
      <c r="W440" s="338"/>
      <c r="X440" s="338"/>
      <c r="Y440" s="338"/>
      <c r="Z440" s="338"/>
    </row>
    <row r="441" ht="22.5" customHeight="1">
      <c r="A441" s="528" t="str">
        <f>IFERROR(__xludf.DUMMYFUNCTION("""COMPUTED_VALUE"""),"ООО""ФерЭльГам""")</f>
        <v>ООО"ФерЭльГам"</v>
      </c>
      <c r="B441" s="528"/>
      <c r="C441" s="528" t="str">
        <f>IFERROR(__xludf.DUMMYFUNCTION("""COMPUTED_VALUE"""),"470255 Капуста с морковью и хреном 500 г (Глобус) этик.")</f>
        <v>470255 Капуста с морковью и хреном 500 г (Глобус) этик.</v>
      </c>
      <c r="D441" s="528">
        <f>IFERROR(__xludf.DUMMYFUNCTION("""COMPUTED_VALUE"""),3185.0)</f>
        <v>3185</v>
      </c>
      <c r="E441" s="528" t="str">
        <f>IFERROR(__xludf.DUMMYFUNCTION("""COMPUTED_VALUE"""),"Баранов Александр")</f>
        <v>Баранов Александр</v>
      </c>
      <c r="F441" s="535" t="str">
        <f>IFERROR(__xludf.DUMMYFUNCTION("""COMPUTED_VALUE"""),"Новая")</f>
        <v>Новая</v>
      </c>
      <c r="G441" s="536" t="str">
        <f>IFERROR(__xludf.DUMMYFUNCTION("""COMPUTED_VALUE"""),"д108")</f>
        <v>д108</v>
      </c>
      <c r="H441" s="338" t="str">
        <f>IFERROR(__xludf.DUMMYFUNCTION("""COMPUTED_VALUE"""),"Флексопечать")</f>
        <v>Флексопечать</v>
      </c>
      <c r="I441" s="338" t="str">
        <f>IFERROR(__xludf.DUMMYFUNCTION("""COMPUTED_VALUE"""),"Bg-330")</f>
        <v>Bg-330</v>
      </c>
      <c r="J441" s="536">
        <f>IFERROR(__xludf.DUMMYFUNCTION("""COMPUTED_VALUE"""),10000.0)</f>
        <v>10000</v>
      </c>
      <c r="K441" s="537">
        <f>IFERROR(__xludf.DUMMYFUNCTION("""COMPUTED_VALUE"""),46185.0)</f>
        <v>46185</v>
      </c>
      <c r="L441" s="537"/>
      <c r="M441" s="338" t="str">
        <f>IFERROR(__xludf.DUMMYFUNCTION("""COMPUTED_VALUE"""),"Пленка PP белая акрил")</f>
        <v>Пленка PP белая акрил</v>
      </c>
      <c r="N441" s="338" t="str">
        <f>IFERROR(__xludf.DUMMYFUNCTION("""COMPUTED_VALUE"""),"Отгружен")</f>
        <v>Отгружен</v>
      </c>
      <c r="O441" s="537"/>
      <c r="P441" s="338"/>
      <c r="Q441" s="338"/>
      <c r="R441" s="338"/>
      <c r="S441" s="338"/>
      <c r="T441" s="338"/>
      <c r="U441" s="338"/>
      <c r="V441" s="338"/>
      <c r="W441" s="338"/>
      <c r="X441" s="338"/>
      <c r="Y441" s="338"/>
      <c r="Z441" s="338"/>
    </row>
    <row r="442" ht="22.5" customHeight="1">
      <c r="A442" s="528" t="str">
        <f>IFERROR(__xludf.DUMMYFUNCTION("""COMPUTED_VALUE"""),"Кофемания")</f>
        <v>Кофемания</v>
      </c>
      <c r="B442" s="528"/>
      <c r="C442" s="528" t="str">
        <f>IFERROR(__xludf.DUMMYFUNCTION("""COMPUTED_VALUE"""),"Этикетка Моя Кофемания")</f>
        <v>Этикетка Моя Кофемания</v>
      </c>
      <c r="D442" s="528">
        <f>IFERROR(__xludf.DUMMYFUNCTION("""COMPUTED_VALUE"""),3186.0)</f>
        <v>3186</v>
      </c>
      <c r="E442" s="528" t="str">
        <f>IFERROR(__xludf.DUMMYFUNCTION("""COMPUTED_VALUE"""),"Шаповалова Юлия")</f>
        <v>Шаповалова Юлия</v>
      </c>
      <c r="F442" s="535" t="str">
        <f>IFERROR(__xludf.DUMMYFUNCTION("""COMPUTED_VALUE"""),"Повтор")</f>
        <v>Повтор</v>
      </c>
      <c r="G442" s="536" t="str">
        <f>IFERROR(__xludf.DUMMYFUNCTION("""COMPUTED_VALUE"""),"13*50")</f>
        <v>13*50</v>
      </c>
      <c r="H442" s="338" t="str">
        <f>IFERROR(__xludf.DUMMYFUNCTION("""COMPUTED_VALUE"""),"Флексопечать")</f>
        <v>Флексопечать</v>
      </c>
      <c r="I442" s="338" t="str">
        <f>IFERROR(__xludf.DUMMYFUNCTION("""COMPUTED_VALUE"""),"G-160")</f>
        <v>G-160</v>
      </c>
      <c r="J442" s="536" t="str">
        <f>IFERROR(__xludf.DUMMYFUNCTION("""COMPUTED_VALUE"""),"100 000")</f>
        <v>100 000</v>
      </c>
      <c r="K442" s="537">
        <f>IFERROR(__xludf.DUMMYFUNCTION("""COMPUTED_VALUE"""),46191.0)</f>
        <v>46191</v>
      </c>
      <c r="L442" s="537"/>
      <c r="M442" s="338" t="str">
        <f>IFERROR(__xludf.DUMMYFUNCTION("""COMPUTED_VALUE"""),"Пленка PP белая акрил")</f>
        <v>Пленка PP белая акрил</v>
      </c>
      <c r="N442" s="338" t="str">
        <f>IFERROR(__xludf.DUMMYFUNCTION("""COMPUTED_VALUE"""),"Отгружен")</f>
        <v>Отгружен</v>
      </c>
      <c r="O442" s="537">
        <f>IFERROR(__xludf.DUMMYFUNCTION("""COMPUTED_VALUE"""),46195.0)</f>
        <v>46195</v>
      </c>
      <c r="P442" s="338"/>
      <c r="Q442" s="338" t="str">
        <f>IFERROR(__xludf.DUMMYFUNCTION("""COMPUTED_VALUE"""),"г. Москва, 63-й км. МКАД, р-н Строгино, ул. Маршала Прошлякова, д. 26, корп. 3, стр. 6. тел.+7(926) 554-87-33 Екатерина с 9.00 до 16.00")</f>
        <v>г. Москва, 63-й км. МКАД, р-н Строгино, ул. Маршала Прошлякова, д. 26, корп. 3, стр. 6. тел.+7(926) 554-87-33 Екатерина с 9.00 до 16.00</v>
      </c>
      <c r="R442" s="338"/>
      <c r="S442" s="338"/>
      <c r="T442" s="338"/>
      <c r="U442" s="338"/>
      <c r="V442" s="338"/>
      <c r="W442" s="338"/>
      <c r="X442" s="338"/>
      <c r="Y442" s="338"/>
      <c r="Z442" s="338"/>
    </row>
    <row r="443" ht="22.5" customHeight="1">
      <c r="A443" s="528" t="str">
        <f>IFERROR(__xludf.DUMMYFUNCTION("""COMPUTED_VALUE"""),"Калье")</f>
        <v>Калье</v>
      </c>
      <c r="B443" s="528"/>
      <c r="C443" s="528" t="str">
        <f>IFERROR(__xludf.DUMMYFUNCTION("""COMPUTED_VALUE"""),"SOS-спрей WEEL 200 мл")</f>
        <v>SOS-спрей WEEL 200 мл</v>
      </c>
      <c r="D443" s="528">
        <f>IFERROR(__xludf.DUMMYFUNCTION("""COMPUTED_VALUE"""),3192.0)</f>
        <v>3192</v>
      </c>
      <c r="E443" s="528" t="str">
        <f>IFERROR(__xludf.DUMMYFUNCTION("""COMPUTED_VALUE"""),"Татьяна Денисова")</f>
        <v>Татьяна Денисова</v>
      </c>
      <c r="F443" s="535" t="str">
        <f>IFERROR(__xludf.DUMMYFUNCTION("""COMPUTED_VALUE"""),"Повтор с изменениями")</f>
        <v>Повтор с изменениями</v>
      </c>
      <c r="G443" s="536" t="str">
        <f>IFERROR(__xludf.DUMMYFUNCTION("""COMPUTED_VALUE"""),"105*140")</f>
        <v>105*140</v>
      </c>
      <c r="H443" s="338" t="str">
        <f>IFERROR(__xludf.DUMMYFUNCTION("""COMPUTED_VALUE"""),"Флексопечать")</f>
        <v>Флексопечать</v>
      </c>
      <c r="I443" s="338" t="str">
        <f>IFERROR(__xludf.DUMMYFUNCTION("""COMPUTED_VALUE"""),"Bg-330")</f>
        <v>Bg-330</v>
      </c>
      <c r="J443" s="536">
        <f>IFERROR(__xludf.DUMMYFUNCTION("""COMPUTED_VALUE"""),20000.0)</f>
        <v>20000</v>
      </c>
      <c r="K443" s="537">
        <f>IFERROR(__xludf.DUMMYFUNCTION("""COMPUTED_VALUE"""),46191.0)</f>
        <v>46191</v>
      </c>
      <c r="L443" s="537"/>
      <c r="M443" s="338" t="str">
        <f>IFERROR(__xludf.DUMMYFUNCTION("""COMPUTED_VALUE"""),"Пленка PP белая акрил")</f>
        <v>Пленка PP белая акрил</v>
      </c>
      <c r="N443" s="338" t="str">
        <f>IFERROR(__xludf.DUMMYFUNCTION("""COMPUTED_VALUE"""),"Отгружен")</f>
        <v>Отгружен</v>
      </c>
      <c r="O443" s="537"/>
      <c r="P443" s="338" t="str">
        <f>IFERROR(__xludf.DUMMYFUNCTION("""COMPUTED_VALUE"""),"Приладка как обычно в раб дни до 17:30 ")</f>
        <v>Приладка как обычно в раб дни до 17:30 </v>
      </c>
      <c r="Q443" s="338" t="str">
        <f>IFERROR(__xludf.DUMMYFUNCTION("""COMPUTED_VALUE"""),"Сама заказываю ТК")</f>
        <v>Сама заказываю ТК</v>
      </c>
      <c r="R443" s="338"/>
      <c r="S443" s="338"/>
      <c r="T443" s="338"/>
      <c r="U443" s="338"/>
      <c r="V443" s="338"/>
      <c r="W443" s="338"/>
      <c r="X443" s="338"/>
      <c r="Y443" s="338"/>
      <c r="Z443" s="338"/>
    </row>
    <row r="444" ht="22.5" customHeight="1">
      <c r="A444" s="528" t="str">
        <f>IFERROR(__xludf.DUMMYFUNCTION("""COMPUTED_VALUE"""),"Калье")</f>
        <v>Калье</v>
      </c>
      <c r="B444" s="528"/>
      <c r="C444" s="528" t="str">
        <f>IFERROR(__xludf.DUMMYFUNCTION("""COMPUTED_VALUE"""),"SOS-спрей WEEL 100 мл")</f>
        <v>SOS-спрей WEEL 100 мл</v>
      </c>
      <c r="D444" s="528">
        <f>IFERROR(__xludf.DUMMYFUNCTION("""COMPUTED_VALUE"""),3194.0)</f>
        <v>3194</v>
      </c>
      <c r="E444" s="528" t="str">
        <f>IFERROR(__xludf.DUMMYFUNCTION("""COMPUTED_VALUE"""),"Татьяна Денисова")</f>
        <v>Татьяна Денисова</v>
      </c>
      <c r="F444" s="535" t="str">
        <f>IFERROR(__xludf.DUMMYFUNCTION("""COMPUTED_VALUE"""),"Новая")</f>
        <v>Новая</v>
      </c>
      <c r="G444" s="536" t="str">
        <f>IFERROR(__xludf.DUMMYFUNCTION("""COMPUTED_VALUE"""),"80*115")</f>
        <v>80*115</v>
      </c>
      <c r="H444" s="338" t="str">
        <f>IFERROR(__xludf.DUMMYFUNCTION("""COMPUTED_VALUE"""),"Флексопечать")</f>
        <v>Флексопечать</v>
      </c>
      <c r="I444" s="338" t="str">
        <f>IFERROR(__xludf.DUMMYFUNCTION("""COMPUTED_VALUE"""),"Bg-330")</f>
        <v>Bg-330</v>
      </c>
      <c r="J444" s="536">
        <f>IFERROR(__xludf.DUMMYFUNCTION("""COMPUTED_VALUE"""),7000.0)</f>
        <v>7000</v>
      </c>
      <c r="K444" s="537">
        <f>IFERROR(__xludf.DUMMYFUNCTION("""COMPUTED_VALUE"""),46191.0)</f>
        <v>46191</v>
      </c>
      <c r="L444" s="537"/>
      <c r="M444" s="338" t="str">
        <f>IFERROR(__xludf.DUMMYFUNCTION("""COMPUTED_VALUE"""),"Пленка PP белая акрил")</f>
        <v>Пленка PP белая акрил</v>
      </c>
      <c r="N444" s="338" t="str">
        <f>IFERROR(__xludf.DUMMYFUNCTION("""COMPUTED_VALUE"""),"Отгружен")</f>
        <v>Отгружен</v>
      </c>
      <c r="O444" s="537"/>
      <c r="P444" s="338" t="str">
        <f>IFERROR(__xludf.DUMMYFUNCTION("""COMPUTED_VALUE"""),"Приладка как обычно в раб дни до 17:30 ")</f>
        <v>Приладка как обычно в раб дни до 17:30 </v>
      </c>
      <c r="Q444" s="338" t="str">
        <f>IFERROR(__xludf.DUMMYFUNCTION("""COMPUTED_VALUE"""),"Сама заказываю ТК")</f>
        <v>Сама заказываю ТК</v>
      </c>
      <c r="R444" s="338"/>
      <c r="S444" s="338"/>
      <c r="T444" s="338"/>
      <c r="U444" s="338"/>
      <c r="V444" s="338"/>
      <c r="W444" s="338"/>
      <c r="X444" s="338"/>
      <c r="Y444" s="338"/>
      <c r="Z444" s="338"/>
    </row>
    <row r="445" ht="22.5" customHeight="1">
      <c r="A445" s="528" t="str">
        <f>IFERROR(__xludf.DUMMYFUNCTION("""COMPUTED_VALUE"""),"Калье")</f>
        <v>Калье</v>
      </c>
      <c r="B445" s="528"/>
      <c r="C445" s="528" t="str">
        <f>IFERROR(__xludf.DUMMYFUNCTION("""COMPUTED_VALUE"""),"Мульти-пенка 5в1 Garden Bloom 150 мл")</f>
        <v>Мульти-пенка 5в1 Garden Bloom 150 мл</v>
      </c>
      <c r="D445" s="528">
        <f>IFERROR(__xludf.DUMMYFUNCTION("""COMPUTED_VALUE"""),3195.0)</f>
        <v>3195</v>
      </c>
      <c r="E445" s="528" t="str">
        <f>IFERROR(__xludf.DUMMYFUNCTION("""COMPUTED_VALUE"""),"Татьяна Денисова")</f>
        <v>Татьяна Денисова</v>
      </c>
      <c r="F445" s="535" t="str">
        <f>IFERROR(__xludf.DUMMYFUNCTION("""COMPUTED_VALUE"""),"Новая")</f>
        <v>Новая</v>
      </c>
      <c r="G445" s="536" t="str">
        <f>IFERROR(__xludf.DUMMYFUNCTION("""COMPUTED_VALUE"""),"105*140")</f>
        <v>105*140</v>
      </c>
      <c r="H445" s="338" t="str">
        <f>IFERROR(__xludf.DUMMYFUNCTION("""COMPUTED_VALUE"""),"Флексопечать")</f>
        <v>Флексопечать</v>
      </c>
      <c r="I445" s="338" t="str">
        <f>IFERROR(__xludf.DUMMYFUNCTION("""COMPUTED_VALUE"""),"Bg-330")</f>
        <v>Bg-330</v>
      </c>
      <c r="J445" s="536">
        <f>IFERROR(__xludf.DUMMYFUNCTION("""COMPUTED_VALUE"""),10000.0)</f>
        <v>10000</v>
      </c>
      <c r="K445" s="537">
        <f>IFERROR(__xludf.DUMMYFUNCTION("""COMPUTED_VALUE"""),46191.0)</f>
        <v>46191</v>
      </c>
      <c r="L445" s="537"/>
      <c r="M445" s="338" t="str">
        <f>IFERROR(__xludf.DUMMYFUNCTION("""COMPUTED_VALUE"""),"Пленка PP белая акрил")</f>
        <v>Пленка PP белая акрил</v>
      </c>
      <c r="N445" s="338" t="str">
        <f>IFERROR(__xludf.DUMMYFUNCTION("""COMPUTED_VALUE"""),"Отгружен")</f>
        <v>Отгружен</v>
      </c>
      <c r="O445" s="537"/>
      <c r="P445" s="338" t="str">
        <f>IFERROR(__xludf.DUMMYFUNCTION("""COMPUTED_VALUE"""),"Приладка как обычно в раб дни до 17:30 ")</f>
        <v>Приладка как обычно в раб дни до 17:30 </v>
      </c>
      <c r="Q445" s="338" t="str">
        <f>IFERROR(__xludf.DUMMYFUNCTION("""COMPUTED_VALUE"""),"Сама заказываю ТК")</f>
        <v>Сама заказываю ТК</v>
      </c>
      <c r="R445" s="338"/>
      <c r="S445" s="338"/>
      <c r="T445" s="338"/>
      <c r="U445" s="338"/>
      <c r="V445" s="338"/>
      <c r="W445" s="338"/>
      <c r="X445" s="338"/>
      <c r="Y445" s="338"/>
      <c r="Z445" s="338"/>
    </row>
    <row r="446" ht="22.5" customHeight="1">
      <c r="A446" s="528" t="str">
        <f>IFERROR(__xludf.DUMMYFUNCTION("""COMPUTED_VALUE"""),"RePart")</f>
        <v>RePart</v>
      </c>
      <c r="B446" s="528"/>
      <c r="C446" s="528" t="str">
        <f>IFERROR(__xludf.DUMMYFUNCTION("""COMPUTED_VALUE"""),"Лого синий")</f>
        <v>Лого синий</v>
      </c>
      <c r="D446" s="528">
        <f>IFERROR(__xludf.DUMMYFUNCTION("""COMPUTED_VALUE"""),3207.0)</f>
        <v>3207</v>
      </c>
      <c r="E446" s="528" t="str">
        <f>IFERROR(__xludf.DUMMYFUNCTION("""COMPUTED_VALUE"""),"Татьяна Денисова")</f>
        <v>Татьяна Денисова</v>
      </c>
      <c r="F446" s="535" t="str">
        <f>IFERROR(__xludf.DUMMYFUNCTION("""COMPUTED_VALUE"""),"Повтор")</f>
        <v>Повтор</v>
      </c>
      <c r="G446" s="536" t="str">
        <f>IFERROR(__xludf.DUMMYFUNCTION("""COMPUTED_VALUE"""),"58*40")</f>
        <v>58*40</v>
      </c>
      <c r="H446" s="338" t="str">
        <f>IFERROR(__xludf.DUMMYFUNCTION("""COMPUTED_VALUE"""),"Флексопечать")</f>
        <v>Флексопечать</v>
      </c>
      <c r="I446" s="338" t="str">
        <f>IFERROR(__xludf.DUMMYFUNCTION("""COMPUTED_VALUE"""),"G-200")</f>
        <v>G-200</v>
      </c>
      <c r="J446" s="536">
        <f>IFERROR(__xludf.DUMMYFUNCTION("""COMPUTED_VALUE"""),15000.0)</f>
        <v>15000</v>
      </c>
      <c r="K446" s="537">
        <f>IFERROR(__xludf.DUMMYFUNCTION("""COMPUTED_VALUE"""),46192.0)</f>
        <v>46192</v>
      </c>
      <c r="L446" s="537"/>
      <c r="M446" s="338" t="str">
        <f>IFERROR(__xludf.DUMMYFUNCTION("""COMPUTED_VALUE"""),"Бумага полуглянец акрил")</f>
        <v>Бумага полуглянец акрил</v>
      </c>
      <c r="N446" s="338" t="str">
        <f>IFERROR(__xludf.DUMMYFUNCTION("""COMPUTED_VALUE"""),"Отгружен")</f>
        <v>Отгружен</v>
      </c>
      <c r="O446" s="537"/>
      <c r="P446" s="338"/>
      <c r="Q446" s="338" t="str">
        <f>IFERROR(__xludf.DUMMYFUNCTION("""COMPUTED_VALUE"""),"Автомобильный проезд 10с14, 89250465031 Эдуард (схема проезда в телеге) ")</f>
        <v>Автомобильный проезд 10с14, 89250465031 Эдуард (схема проезда в телеге) </v>
      </c>
      <c r="R446" s="338"/>
      <c r="S446" s="338"/>
      <c r="T446" s="338"/>
      <c r="U446" s="338"/>
      <c r="V446" s="338"/>
      <c r="W446" s="338"/>
      <c r="X446" s="338"/>
      <c r="Y446" s="338"/>
      <c r="Z446" s="338"/>
    </row>
    <row r="447" ht="22.5" customHeight="1">
      <c r="A447" s="528" t="str">
        <f>IFERROR(__xludf.DUMMYFUNCTION("""COMPUTED_VALUE"""),"ООО ОЗОН ВКУС")</f>
        <v>ООО ОЗОН ВКУС</v>
      </c>
      <c r="B447" s="528"/>
      <c r="C447" s="528" t="str">
        <f>IFERROR(__xludf.DUMMYFUNCTION("""COMPUTED_VALUE"""),"Термоэтикетка 58*60 Эко")</f>
        <v>Термоэтикетка 58*60 Эко</v>
      </c>
      <c r="D447" s="528">
        <f>IFERROR(__xludf.DUMMYFUNCTION("""COMPUTED_VALUE"""),3215.0)</f>
        <v>3215</v>
      </c>
      <c r="E447" s="528" t="str">
        <f>IFERROR(__xludf.DUMMYFUNCTION("""COMPUTED_VALUE"""),"Римма Лукина")</f>
        <v>Римма Лукина</v>
      </c>
      <c r="F447" s="535" t="str">
        <f>IFERROR(__xludf.DUMMYFUNCTION("""COMPUTED_VALUE"""),"Повтор")</f>
        <v>Повтор</v>
      </c>
      <c r="G447" s="536" t="str">
        <f>IFERROR(__xludf.DUMMYFUNCTION("""COMPUTED_VALUE"""),"58*60")</f>
        <v>58*60</v>
      </c>
      <c r="H447" s="338" t="str">
        <f>IFERROR(__xludf.DUMMYFUNCTION("""COMPUTED_VALUE"""),"Полуротация")</f>
        <v>Полуротация</v>
      </c>
      <c r="I447" s="338" t="str">
        <f>IFERROR(__xludf.DUMMYFUNCTION("""COMPUTED_VALUE"""),"Montax")</f>
        <v>Montax</v>
      </c>
      <c r="J447" s="536">
        <f>IFERROR(__xludf.DUMMYFUNCTION("""COMPUTED_VALUE"""),100000.0)</f>
        <v>100000</v>
      </c>
      <c r="K447" s="537">
        <f>IFERROR(__xludf.DUMMYFUNCTION("""COMPUTED_VALUE"""),46191.0)</f>
        <v>46191</v>
      </c>
      <c r="L447" s="537"/>
      <c r="M447" s="338" t="str">
        <f>IFERROR(__xludf.DUMMYFUNCTION("""COMPUTED_VALUE"""),"Термоэко")</f>
        <v>Термоэко</v>
      </c>
      <c r="N447" s="338" t="str">
        <f>IFERROR(__xludf.DUMMYFUNCTION("""COMPUTED_VALUE"""),"Отгружен")</f>
        <v>Отгружен</v>
      </c>
      <c r="O447" s="537">
        <f>IFERROR(__xludf.DUMMYFUNCTION("""COMPUTED_VALUE"""),46194.0)</f>
        <v>46194</v>
      </c>
      <c r="P447" s="338"/>
      <c r="Q447" s="338"/>
      <c r="R447" s="338"/>
      <c r="S447" s="338"/>
      <c r="T447" s="338"/>
      <c r="U447" s="338"/>
      <c r="V447" s="338"/>
      <c r="W447" s="338"/>
      <c r="X447" s="338"/>
      <c r="Y447" s="338"/>
      <c r="Z447" s="338"/>
    </row>
    <row r="448" ht="22.5" customHeight="1">
      <c r="A448" s="528" t="str">
        <f>IFERROR(__xludf.DUMMYFUNCTION("""COMPUTED_VALUE"""),"ООО ОЗОН ВКУС")</f>
        <v>ООО ОЗОН ВКУС</v>
      </c>
      <c r="B448" s="528"/>
      <c r="C448" s="528" t="str">
        <f>IFERROR(__xludf.DUMMYFUNCTION("""COMPUTED_VALUE"""),"Термоэтикетка 58*100 Топ")</f>
        <v>Термоэтикетка 58*100 Топ</v>
      </c>
      <c r="D448" s="528">
        <f>IFERROR(__xludf.DUMMYFUNCTION("""COMPUTED_VALUE"""),3216.0)</f>
        <v>3216</v>
      </c>
      <c r="E448" s="528" t="str">
        <f>IFERROR(__xludf.DUMMYFUNCTION("""COMPUTED_VALUE"""),"Римма Лукина")</f>
        <v>Римма Лукина</v>
      </c>
      <c r="F448" s="535" t="str">
        <f>IFERROR(__xludf.DUMMYFUNCTION("""COMPUTED_VALUE"""),"Повтор")</f>
        <v>Повтор</v>
      </c>
      <c r="G448" s="536" t="str">
        <f>IFERROR(__xludf.DUMMYFUNCTION("""COMPUTED_VALUE"""),"58*99")</f>
        <v>58*99</v>
      </c>
      <c r="H448" s="338" t="str">
        <f>IFERROR(__xludf.DUMMYFUNCTION("""COMPUTED_VALUE"""),"Полуротация")</f>
        <v>Полуротация</v>
      </c>
      <c r="I448" s="338" t="str">
        <f>IFERROR(__xludf.DUMMYFUNCTION("""COMPUTED_VALUE"""),"Montax")</f>
        <v>Montax</v>
      </c>
      <c r="J448" s="536">
        <f>IFERROR(__xludf.DUMMYFUNCTION("""COMPUTED_VALUE"""),50000.0)</f>
        <v>50000</v>
      </c>
      <c r="K448" s="537">
        <f>IFERROR(__xludf.DUMMYFUNCTION("""COMPUTED_VALUE"""),46191.0)</f>
        <v>46191</v>
      </c>
      <c r="L448" s="537"/>
      <c r="M448" s="338" t="str">
        <f>IFERROR(__xludf.DUMMYFUNCTION("""COMPUTED_VALUE"""),"Термо Топ")</f>
        <v>Термо Топ</v>
      </c>
      <c r="N448" s="338" t="str">
        <f>IFERROR(__xludf.DUMMYFUNCTION("""COMPUTED_VALUE"""),"Отгружен")</f>
        <v>Отгружен</v>
      </c>
      <c r="O448" s="537">
        <f>IFERROR(__xludf.DUMMYFUNCTION("""COMPUTED_VALUE"""),46194.0)</f>
        <v>46194</v>
      </c>
      <c r="P448" s="338"/>
      <c r="Q448" s="338"/>
      <c r="R448" s="338"/>
      <c r="S448" s="338"/>
      <c r="T448" s="338"/>
      <c r="U448" s="338"/>
      <c r="V448" s="338"/>
      <c r="W448" s="338"/>
      <c r="X448" s="338"/>
      <c r="Y448" s="338"/>
      <c r="Z448" s="338"/>
    </row>
    <row r="449" ht="22.5" customHeight="1">
      <c r="A449" s="528" t="str">
        <f>IFERROR(__xludf.DUMMYFUNCTION("""COMPUTED_VALUE"""),"Калье")</f>
        <v>Калье</v>
      </c>
      <c r="B449" s="528"/>
      <c r="C449" s="528" t="str">
        <f>IFERROR(__xludf.DUMMYFUNCTION("""COMPUTED_VALUE"""),"Мультифункциональный спрей Prof Adri K-Mist ADRICOCO, 200 мл")</f>
        <v>Мультифункциональный спрей Prof Adri K-Mist ADRICOCO, 200 мл</v>
      </c>
      <c r="D449" s="528">
        <f>IFERROR(__xludf.DUMMYFUNCTION("""COMPUTED_VALUE"""),3236.0)</f>
        <v>3236</v>
      </c>
      <c r="E449" s="528" t="str">
        <f>IFERROR(__xludf.DUMMYFUNCTION("""COMPUTED_VALUE"""),"Татьяна Денисова")</f>
        <v>Татьяна Денисова</v>
      </c>
      <c r="F449" s="535" t="str">
        <f>IFERROR(__xludf.DUMMYFUNCTION("""COMPUTED_VALUE"""),"Повтор")</f>
        <v>Повтор</v>
      </c>
      <c r="G449" s="536" t="str">
        <f>IFERROR(__xludf.DUMMYFUNCTION("""COMPUTED_VALUE"""),"112*145")</f>
        <v>112*145</v>
      </c>
      <c r="H449" s="338" t="str">
        <f>IFERROR(__xludf.DUMMYFUNCTION("""COMPUTED_VALUE"""),"Флексопечать")</f>
        <v>Флексопечать</v>
      </c>
      <c r="I449" s="338" t="str">
        <f>IFERROR(__xludf.DUMMYFUNCTION("""COMPUTED_VALUE"""),"Bg-330")</f>
        <v>Bg-330</v>
      </c>
      <c r="J449" s="536">
        <f>IFERROR(__xludf.DUMMYFUNCTION("""COMPUTED_VALUE"""),10000.0)</f>
        <v>10000</v>
      </c>
      <c r="K449" s="537">
        <f>IFERROR(__xludf.DUMMYFUNCTION("""COMPUTED_VALUE"""),46191.0)</f>
        <v>46191</v>
      </c>
      <c r="L449" s="537"/>
      <c r="M449" s="338" t="str">
        <f>IFERROR(__xludf.DUMMYFUNCTION("""COMPUTED_VALUE"""),"Пленка PP белая акрил")</f>
        <v>Пленка PP белая акрил</v>
      </c>
      <c r="N449" s="338" t="str">
        <f>IFERROR(__xludf.DUMMYFUNCTION("""COMPUTED_VALUE"""),"Отгружен")</f>
        <v>Отгружен</v>
      </c>
      <c r="O449" s="537"/>
      <c r="P449" s="338" t="str">
        <f>IFERROR(__xludf.DUMMYFUNCTION("""COMPUTED_VALUE"""),"Приладка как обычно в раб дни до 17:30 ")</f>
        <v>Приладка как обычно в раб дни до 17:30 </v>
      </c>
      <c r="Q449" s="338" t="str">
        <f>IFERROR(__xludf.DUMMYFUNCTION("""COMPUTED_VALUE"""),"Сама заказываю ТК")</f>
        <v>Сама заказываю ТК</v>
      </c>
      <c r="R449" s="338"/>
      <c r="S449" s="338"/>
      <c r="T449" s="338"/>
      <c r="U449" s="338"/>
      <c r="V449" s="338"/>
      <c r="W449" s="338"/>
      <c r="X449" s="338"/>
      <c r="Y449" s="338"/>
      <c r="Z449" s="338"/>
    </row>
    <row r="450" ht="22.5" customHeight="1">
      <c r="A450" s="528" t="str">
        <f>IFERROR(__xludf.DUMMYFUNCTION("""COMPUTED_VALUE"""),"Калье")</f>
        <v>Калье</v>
      </c>
      <c r="B450" s="528"/>
      <c r="C450" s="528" t="str">
        <f>IFERROR(__xludf.DUMMYFUNCTION("""COMPUTED_VALUE"""),"Оттеночный шампунь TNL Color Boom Flash Copper, 250 мл")</f>
        <v>Оттеночный шампунь TNL Color Boom Flash Copper, 250 мл</v>
      </c>
      <c r="D450" s="528">
        <f>IFERROR(__xludf.DUMMYFUNCTION("""COMPUTED_VALUE"""),3237.0)</f>
        <v>3237</v>
      </c>
      <c r="E450" s="528" t="str">
        <f>IFERROR(__xludf.DUMMYFUNCTION("""COMPUTED_VALUE"""),"Татьяна Денисова")</f>
        <v>Татьяна Денисова</v>
      </c>
      <c r="F450" s="535" t="str">
        <f>IFERROR(__xludf.DUMMYFUNCTION("""COMPUTED_VALUE"""),"Новая")</f>
        <v>Новая</v>
      </c>
      <c r="G450" s="536" t="str">
        <f>IFERROR(__xludf.DUMMYFUNCTION("""COMPUTED_VALUE"""),"95*145")</f>
        <v>95*145</v>
      </c>
      <c r="H450" s="338" t="str">
        <f>IFERROR(__xludf.DUMMYFUNCTION("""COMPUTED_VALUE"""),"Флексопечать")</f>
        <v>Флексопечать</v>
      </c>
      <c r="I450" s="338" t="str">
        <f>IFERROR(__xludf.DUMMYFUNCTION("""COMPUTED_VALUE"""),"Bg-330")</f>
        <v>Bg-330</v>
      </c>
      <c r="J450" s="536">
        <f>IFERROR(__xludf.DUMMYFUNCTION("""COMPUTED_VALUE"""),3000.0)</f>
        <v>3000</v>
      </c>
      <c r="K450" s="537">
        <f>IFERROR(__xludf.DUMMYFUNCTION("""COMPUTED_VALUE"""),46191.0)</f>
        <v>46191</v>
      </c>
      <c r="L450" s="537"/>
      <c r="M450" s="338" t="str">
        <f>IFERROR(__xludf.DUMMYFUNCTION("""COMPUTED_VALUE"""),"Пленка метализированная акрил")</f>
        <v>Пленка метализированная акрил</v>
      </c>
      <c r="N450" s="338" t="str">
        <f>IFERROR(__xludf.DUMMYFUNCTION("""COMPUTED_VALUE"""),"Отгружен")</f>
        <v>Отгружен</v>
      </c>
      <c r="O450" s="338"/>
      <c r="P450" s="338" t="str">
        <f>IFERROR(__xludf.DUMMYFUNCTION("""COMPUTED_VALUE"""),"Приладка как обычно в раб дни до 17:30 ")</f>
        <v>Приладка как обычно в раб дни до 17:30 </v>
      </c>
      <c r="Q450" s="338" t="str">
        <f>IFERROR(__xludf.DUMMYFUNCTION("""COMPUTED_VALUE"""),"Сама заказываю ТК")</f>
        <v>Сама заказываю ТК</v>
      </c>
      <c r="R450" s="338"/>
      <c r="S450" s="338"/>
      <c r="T450" s="338"/>
      <c r="U450" s="338"/>
      <c r="V450" s="338"/>
      <c r="W450" s="338"/>
      <c r="X450" s="338"/>
      <c r="Y450" s="338"/>
      <c r="Z450" s="338"/>
    </row>
    <row r="451" ht="22.5" customHeight="1">
      <c r="A451" s="528" t="str">
        <f>IFERROR(__xludf.DUMMYFUNCTION("""COMPUTED_VALUE"""),"ООО Озон вкус")</f>
        <v>ООО Озон вкус</v>
      </c>
      <c r="B451" s="528"/>
      <c r="C451" s="528" t="str">
        <f>IFERROR(__xludf.DUMMYFUNCTION("""COMPUTED_VALUE"""),"Стикер ""Важно, что ешь"" D 70мм")</f>
        <v>Стикер "Важно, что ешь" D 70мм</v>
      </c>
      <c r="D451" s="528">
        <f>IFERROR(__xludf.DUMMYFUNCTION("""COMPUTED_VALUE"""),3242.0)</f>
        <v>3242</v>
      </c>
      <c r="E451" s="528" t="str">
        <f>IFERROR(__xludf.DUMMYFUNCTION("""COMPUTED_VALUE"""),"Римма Лукина")</f>
        <v>Римма Лукина</v>
      </c>
      <c r="F451" s="535" t="str">
        <f>IFERROR(__xludf.DUMMYFUNCTION("""COMPUTED_VALUE"""),"Повтор")</f>
        <v>Повтор</v>
      </c>
      <c r="G451" s="536" t="str">
        <f>IFERROR(__xludf.DUMMYFUNCTION("""COMPUTED_VALUE"""),"D 70")</f>
        <v>D 70</v>
      </c>
      <c r="H451" s="338" t="str">
        <f>IFERROR(__xludf.DUMMYFUNCTION("""COMPUTED_VALUE"""),"Флексопечать")</f>
        <v>Флексопечать</v>
      </c>
      <c r="I451" s="338" t="str">
        <f>IFERROR(__xludf.DUMMYFUNCTION("""COMPUTED_VALUE"""),"Bg-330")</f>
        <v>Bg-330</v>
      </c>
      <c r="J451" s="536">
        <f>IFERROR(__xludf.DUMMYFUNCTION("""COMPUTED_VALUE"""),100000.0)</f>
        <v>100000</v>
      </c>
      <c r="K451" s="537">
        <f>IFERROR(__xludf.DUMMYFUNCTION("""COMPUTED_VALUE"""),46195.0)</f>
        <v>46195</v>
      </c>
      <c r="L451" s="537"/>
      <c r="M451" s="338" t="str">
        <f>IFERROR(__xludf.DUMMYFUNCTION("""COMPUTED_VALUE"""),"Бумага полуглянец акрил")</f>
        <v>Бумага полуглянец акрил</v>
      </c>
      <c r="N451" s="338" t="str">
        <f>IFERROR(__xludf.DUMMYFUNCTION("""COMPUTED_VALUE"""),"Отгружен")</f>
        <v>Отгружен</v>
      </c>
      <c r="O451" s="537"/>
      <c r="P451" s="338" t="str">
        <f>IFERROR(__xludf.DUMMYFUNCTION("""COMPUTED_VALUE"""),"обязательно паспорта качества и маркировка каждой бобины и групповой упаковки")</f>
        <v>обязательно паспорта качества и маркировка каждой бобины и групповой упаковки</v>
      </c>
      <c r="Q451" s="338"/>
      <c r="R451" s="338"/>
      <c r="S451" s="338"/>
      <c r="T451" s="338"/>
      <c r="U451" s="338"/>
      <c r="V451" s="338"/>
      <c r="W451" s="338"/>
      <c r="X451" s="338"/>
      <c r="Y451" s="338"/>
      <c r="Z451" s="338"/>
    </row>
    <row r="452" ht="22.5" customHeight="1">
      <c r="A452" s="528" t="str">
        <f>IFERROR(__xludf.DUMMYFUNCTION("""COMPUTED_VALUE"""),"ООО Озон Вкус")</f>
        <v>ООО Озон Вкус</v>
      </c>
      <c r="B452" s="528"/>
      <c r="C452" s="528" t="str">
        <f>IFERROR(__xludf.DUMMYFUNCTION("""COMPUTED_VALUE"""),"Термоэтикетка 75*120 Эко ")</f>
        <v>Термоэтикетка 75*120 Эко </v>
      </c>
      <c r="D452" s="528">
        <f>IFERROR(__xludf.DUMMYFUNCTION("""COMPUTED_VALUE"""),3243.0)</f>
        <v>3243</v>
      </c>
      <c r="E452" s="528" t="str">
        <f>IFERROR(__xludf.DUMMYFUNCTION("""COMPUTED_VALUE"""),"Римма Лукина")</f>
        <v>Римма Лукина</v>
      </c>
      <c r="F452" s="535" t="str">
        <f>IFERROR(__xludf.DUMMYFUNCTION("""COMPUTED_VALUE"""),"Новая")</f>
        <v>Новая</v>
      </c>
      <c r="G452" s="536" t="str">
        <f>IFERROR(__xludf.DUMMYFUNCTION("""COMPUTED_VALUE"""),"75*120")</f>
        <v>75*120</v>
      </c>
      <c r="H452" s="338"/>
      <c r="I452" s="338" t="str">
        <f>IFERROR(__xludf.DUMMYFUNCTION("""COMPUTED_VALUE"""),"Montax")</f>
        <v>Montax</v>
      </c>
      <c r="J452" s="536">
        <f>IFERROR(__xludf.DUMMYFUNCTION("""COMPUTED_VALUE"""),100000.0)</f>
        <v>100000</v>
      </c>
      <c r="K452" s="537">
        <f>IFERROR(__xludf.DUMMYFUNCTION("""COMPUTED_VALUE"""),46195.0)</f>
        <v>46195</v>
      </c>
      <c r="L452" s="537"/>
      <c r="M452" s="338" t="str">
        <f>IFERROR(__xludf.DUMMYFUNCTION("""COMPUTED_VALUE"""),"Термоэко")</f>
        <v>Термоэко</v>
      </c>
      <c r="N452" s="338" t="str">
        <f>IFERROR(__xludf.DUMMYFUNCTION("""COMPUTED_VALUE"""),"Отгружен")</f>
        <v>Отгружен</v>
      </c>
      <c r="O452" s="537"/>
      <c r="P452" s="338" t="str">
        <f>IFERROR(__xludf.DUMMYFUNCTION("""COMPUTED_VALUE"""),"обязательно паспорта качества и маркировка каждой бобины и групповой упаковки")</f>
        <v>обязательно паспорта качества и маркировка каждой бобины и групповой упаковки</v>
      </c>
      <c r="Q452" s="338"/>
      <c r="R452" s="338"/>
      <c r="S452" s="338"/>
      <c r="T452" s="338"/>
      <c r="U452" s="338"/>
      <c r="V452" s="338"/>
      <c r="W452" s="338"/>
      <c r="X452" s="338"/>
      <c r="Y452" s="338"/>
      <c r="Z452" s="338"/>
    </row>
    <row r="453" ht="22.5" customHeight="1">
      <c r="A453" s="528" t="str">
        <f>IFERROR(__xludf.DUMMYFUNCTION("""COMPUTED_VALUE"""),"ООО""ФерЭльГам""")</f>
        <v>ООО"ФерЭльГам"</v>
      </c>
      <c r="B453" s="528"/>
      <c r="C453" s="528" t="str">
        <f>IFERROR(__xludf.DUMMYFUNCTION("""COMPUTED_VALUE"""),"471032 Капуста ЛЕНТА квашеная с сахаром (Россия) 500г. этик.")</f>
        <v>471032 Капуста ЛЕНТА квашеная с сахаром (Россия) 500г. этик.</v>
      </c>
      <c r="D453" s="528">
        <f>IFERROR(__xludf.DUMMYFUNCTION("""COMPUTED_VALUE"""),3244.0)</f>
        <v>3244</v>
      </c>
      <c r="E453" s="528" t="str">
        <f>IFERROR(__xludf.DUMMYFUNCTION("""COMPUTED_VALUE"""),"Баранов Александр")</f>
        <v>Баранов Александр</v>
      </c>
      <c r="F453" s="535" t="str">
        <f>IFERROR(__xludf.DUMMYFUNCTION("""COMPUTED_VALUE"""),"Новая")</f>
        <v>Новая</v>
      </c>
      <c r="G453" s="536" t="str">
        <f>IFERROR(__xludf.DUMMYFUNCTION("""COMPUTED_VALUE"""),"д110")</f>
        <v>д110</v>
      </c>
      <c r="H453" s="338" t="str">
        <f>IFERROR(__xludf.DUMMYFUNCTION("""COMPUTED_VALUE"""),"Флексопечать")</f>
        <v>Флексопечать</v>
      </c>
      <c r="I453" s="338" t="str">
        <f>IFERROR(__xludf.DUMMYFUNCTION("""COMPUTED_VALUE"""),"Wg-450")</f>
        <v>Wg-450</v>
      </c>
      <c r="J453" s="536">
        <f>IFERROR(__xludf.DUMMYFUNCTION("""COMPUTED_VALUE"""),10000.0)</f>
        <v>10000</v>
      </c>
      <c r="K453" s="537">
        <f>IFERROR(__xludf.DUMMYFUNCTION("""COMPUTED_VALUE"""),46185.0)</f>
        <v>46185</v>
      </c>
      <c r="L453" s="537"/>
      <c r="M453" s="338" t="str">
        <f>IFERROR(__xludf.DUMMYFUNCTION("""COMPUTED_VALUE"""),"Пленка PP белая акрил")</f>
        <v>Пленка PP белая акрил</v>
      </c>
      <c r="N453" s="338" t="str">
        <f>IFERROR(__xludf.DUMMYFUNCTION("""COMPUTED_VALUE"""),"Отгружен")</f>
        <v>Отгружен</v>
      </c>
      <c r="O453" s="537"/>
      <c r="P453" s="338"/>
      <c r="Q453" s="338"/>
      <c r="R453" s="338"/>
      <c r="S453" s="338"/>
      <c r="T453" s="338"/>
      <c r="U453" s="338"/>
      <c r="V453" s="338"/>
      <c r="W453" s="338"/>
      <c r="X453" s="338"/>
      <c r="Y453" s="338"/>
      <c r="Z453" s="338"/>
    </row>
    <row r="454" ht="22.5" customHeight="1">
      <c r="A454" s="528" t="str">
        <f>IFERROR(__xludf.DUMMYFUNCTION("""COMPUTED_VALUE"""),"ООО""ФерЭльГам""")</f>
        <v>ООО"ФерЭльГам"</v>
      </c>
      <c r="B454" s="528"/>
      <c r="C454" s="528" t="str">
        <f>IFERROR(__xludf.DUMMYFUNCTION("""COMPUTED_VALUE"""),"471034 Перец ЛЕНТА соленый острый 500г . этик.")</f>
        <v>471034 Перец ЛЕНТА соленый острый 500г . этик.</v>
      </c>
      <c r="D454" s="528">
        <f>IFERROR(__xludf.DUMMYFUNCTION("""COMPUTED_VALUE"""),3245.0)</f>
        <v>3245</v>
      </c>
      <c r="E454" s="528" t="str">
        <f>IFERROR(__xludf.DUMMYFUNCTION("""COMPUTED_VALUE"""),"Баранов Александр")</f>
        <v>Баранов Александр</v>
      </c>
      <c r="F454" s="535" t="str">
        <f>IFERROR(__xludf.DUMMYFUNCTION("""COMPUTED_VALUE"""),"Новая")</f>
        <v>Новая</v>
      </c>
      <c r="G454" s="536" t="str">
        <f>IFERROR(__xludf.DUMMYFUNCTION("""COMPUTED_VALUE"""),"д110")</f>
        <v>д110</v>
      </c>
      <c r="H454" s="338" t="str">
        <f>IFERROR(__xludf.DUMMYFUNCTION("""COMPUTED_VALUE"""),"Флексопечать")</f>
        <v>Флексопечать</v>
      </c>
      <c r="I454" s="338" t="str">
        <f>IFERROR(__xludf.DUMMYFUNCTION("""COMPUTED_VALUE"""),"Wg-450")</f>
        <v>Wg-450</v>
      </c>
      <c r="J454" s="536">
        <f>IFERROR(__xludf.DUMMYFUNCTION("""COMPUTED_VALUE"""),10000.0)</f>
        <v>10000</v>
      </c>
      <c r="K454" s="537">
        <f>IFERROR(__xludf.DUMMYFUNCTION("""COMPUTED_VALUE"""),46185.0)</f>
        <v>46185</v>
      </c>
      <c r="L454" s="537"/>
      <c r="M454" s="338" t="str">
        <f>IFERROR(__xludf.DUMMYFUNCTION("""COMPUTED_VALUE"""),"Пленка PP белая акрил")</f>
        <v>Пленка PP белая акрил</v>
      </c>
      <c r="N454" s="338" t="str">
        <f>IFERROR(__xludf.DUMMYFUNCTION("""COMPUTED_VALUE"""),"Отгружен")</f>
        <v>Отгружен</v>
      </c>
      <c r="O454" s="537"/>
      <c r="P454" s="338"/>
      <c r="Q454" s="338"/>
      <c r="R454" s="338"/>
      <c r="S454" s="338"/>
      <c r="T454" s="338"/>
      <c r="U454" s="338"/>
      <c r="V454" s="338"/>
      <c r="W454" s="338"/>
      <c r="X454" s="338"/>
      <c r="Y454" s="338"/>
      <c r="Z454" s="338"/>
    </row>
    <row r="455" ht="22.5" customHeight="1">
      <c r="A455" s="528" t="str">
        <f>IFERROR(__xludf.DUMMYFUNCTION("""COMPUTED_VALUE"""),"Кейтеринг Технолоджи")</f>
        <v>Кейтеринг Технолоджи</v>
      </c>
      <c r="B455" s="528"/>
      <c r="C455" s="528" t="str">
        <f>IFERROR(__xludf.DUMMYFUNCTION("""COMPUTED_VALUE"""),"Салат из фасоли ""Киркаш"" Флекса")</f>
        <v>Салат из фасоли "Киркаш" Флекса</v>
      </c>
      <c r="D455" s="528">
        <f>IFERROR(__xludf.DUMMYFUNCTION("""COMPUTED_VALUE"""),3246.0)</f>
        <v>3246</v>
      </c>
      <c r="E455" s="528" t="str">
        <f>IFERROR(__xludf.DUMMYFUNCTION("""COMPUTED_VALUE"""),"Татьяна Денисова")</f>
        <v>Татьяна Денисова</v>
      </c>
      <c r="F455" s="535" t="str">
        <f>IFERROR(__xludf.DUMMYFUNCTION("""COMPUTED_VALUE"""),"Новая")</f>
        <v>Новая</v>
      </c>
      <c r="G455" s="536" t="str">
        <f>IFERROR(__xludf.DUMMYFUNCTION("""COMPUTED_VALUE"""),"50*250")</f>
        <v>50*250</v>
      </c>
      <c r="H455" s="338" t="str">
        <f>IFERROR(__xludf.DUMMYFUNCTION("""COMPUTED_VALUE"""),"Флексопечать")</f>
        <v>Флексопечать</v>
      </c>
      <c r="I455" s="338" t="str">
        <f>IFERROR(__xludf.DUMMYFUNCTION("""COMPUTED_VALUE"""),"Bg-330")</f>
        <v>Bg-330</v>
      </c>
      <c r="J455" s="536">
        <f>IFERROR(__xludf.DUMMYFUNCTION("""COMPUTED_VALUE"""),15000.0)</f>
        <v>15000</v>
      </c>
      <c r="K455" s="537">
        <f>IFERROR(__xludf.DUMMYFUNCTION("""COMPUTED_VALUE"""),46195.0)</f>
        <v>46195</v>
      </c>
      <c r="L455" s="537"/>
      <c r="M455" s="338" t="str">
        <f>IFERROR(__xludf.DUMMYFUNCTION("""COMPUTED_VALUE"""),"Термо Топ")</f>
        <v>Термо Топ</v>
      </c>
      <c r="N455" s="338" t="str">
        <f>IFERROR(__xludf.DUMMYFUNCTION("""COMPUTED_VALUE"""),"Отгружен")</f>
        <v>Отгружен</v>
      </c>
      <c r="O455" s="537"/>
      <c r="P455" s="338"/>
      <c r="Q455" s="338" t="str">
        <f>IFERROR(__xludf.DUMMYFUNCTION("""COMPUTED_VALUE"""),"Проезд Фрезер , дом 2, Стр 13
Позвонить за 30 мин по тел 8(925)724-74-37 заказать пропуск на въезд")</f>
        <v>Проезд Фрезер , дом 2, Стр 13
Позвонить за 30 мин по тел 8(925)724-74-37 заказать пропуск на въезд</v>
      </c>
      <c r="R455" s="338"/>
      <c r="S455" s="338"/>
      <c r="T455" s="338"/>
      <c r="U455" s="338"/>
      <c r="V455" s="338"/>
      <c r="W455" s="338"/>
      <c r="X455" s="338"/>
      <c r="Y455" s="338"/>
      <c r="Z455" s="338"/>
    </row>
    <row r="456" ht="22.5" customHeight="1">
      <c r="A456" s="528" t="str">
        <f>IFERROR(__xludf.DUMMYFUNCTION("""COMPUTED_VALUE"""),"Zakari")</f>
        <v>Zakari</v>
      </c>
      <c r="B456" s="528"/>
      <c r="C456" s="528" t="str">
        <f>IFERROR(__xludf.DUMMYFUNCTION("""COMPUTED_VALUE"""),"Парфюмы 10 мл")</f>
        <v>Парфюмы 10 мл</v>
      </c>
      <c r="D456" s="528">
        <f>IFERROR(__xludf.DUMMYFUNCTION("""COMPUTED_VALUE"""),3255.0)</f>
        <v>3255</v>
      </c>
      <c r="E456" s="528" t="str">
        <f>IFERROR(__xludf.DUMMYFUNCTION("""COMPUTED_VALUE"""),"Татьяна Денисова")</f>
        <v>Татьяна Денисова</v>
      </c>
      <c r="F456" s="535" t="str">
        <f>IFERROR(__xludf.DUMMYFUNCTION("""COMPUTED_VALUE"""),"Новая")</f>
        <v>Новая</v>
      </c>
      <c r="G456" s="536" t="str">
        <f>IFERROR(__xludf.DUMMYFUNCTION("""COMPUTED_VALUE"""),"30*80")</f>
        <v>30*80</v>
      </c>
      <c r="H456" s="338" t="str">
        <f>IFERROR(__xludf.DUMMYFUNCTION("""COMPUTED_VALUE"""),"Цифра+Полуротация")</f>
        <v>Цифра+Полуротация</v>
      </c>
      <c r="I456" s="338" t="str">
        <f>IFERROR(__xludf.DUMMYFUNCTION("""COMPUTED_VALUE"""),"Bg-330")</f>
        <v>Bg-330</v>
      </c>
      <c r="J456" s="536" t="str">
        <f>IFERROR(__xludf.DUMMYFUNCTION("""COMPUTED_VALUE"""),"2*1000")</f>
        <v>2*1000</v>
      </c>
      <c r="K456" s="537">
        <f>IFERROR(__xludf.DUMMYFUNCTION("""COMPUTED_VALUE"""),46195.0)</f>
        <v>46195</v>
      </c>
      <c r="L456" s="537"/>
      <c r="M456" s="338" t="str">
        <f>IFERROR(__xludf.DUMMYFUNCTION("""COMPUTED_VALUE"""),"Пленка PP белая акрил")</f>
        <v>Пленка PP белая акрил</v>
      </c>
      <c r="N456" s="338" t="str">
        <f>IFERROR(__xludf.DUMMYFUNCTION("""COMPUTED_VALUE"""),"Отгружен")</f>
        <v>Отгружен</v>
      </c>
      <c r="O456" s="537"/>
      <c r="P456" s="338"/>
      <c r="Q456" s="338" t="str">
        <f>IFERROR(__xludf.DUMMYFUNCTION("""COMPUTED_VALUE"""),"Самовывоз")</f>
        <v>Самовывоз</v>
      </c>
      <c r="R456" s="338"/>
      <c r="S456" s="338"/>
      <c r="T456" s="338"/>
      <c r="U456" s="338"/>
      <c r="V456" s="338"/>
      <c r="W456" s="338"/>
      <c r="X456" s="338"/>
      <c r="Y456" s="338"/>
      <c r="Z456" s="338"/>
    </row>
    <row r="457" ht="22.5" customHeight="1">
      <c r="A457" s="528" t="str">
        <f>IFERROR(__xludf.DUMMYFUNCTION("""COMPUTED_VALUE"""),"Кейтеринг Технолоджи")</f>
        <v>Кейтеринг Технолоджи</v>
      </c>
      <c r="B457" s="528"/>
      <c r="C457" s="528" t="str">
        <f>IFERROR(__xludf.DUMMYFUNCTION("""COMPUTED_VALUE"""),"Гаспачо огуречный с базиликом ВВ")</f>
        <v>Гаспачо огуречный с базиликом ВВ</v>
      </c>
      <c r="D457" s="528">
        <f>IFERROR(__xludf.DUMMYFUNCTION("""COMPUTED_VALUE"""),3260.0)</f>
        <v>3260</v>
      </c>
      <c r="E457" s="528" t="str">
        <f>IFERROR(__xludf.DUMMYFUNCTION("""COMPUTED_VALUE"""),"Татьяна Денисова")</f>
        <v>Татьяна Денисова</v>
      </c>
      <c r="F457" s="535" t="str">
        <f>IFERROR(__xludf.DUMMYFUNCTION("""COMPUTED_VALUE"""),"Повтор")</f>
        <v>Повтор</v>
      </c>
      <c r="G457" s="536" t="str">
        <f>IFERROR(__xludf.DUMMYFUNCTION("""COMPUTED_VALUE"""),"д90")</f>
        <v>д90</v>
      </c>
      <c r="H457" s="338" t="str">
        <f>IFERROR(__xludf.DUMMYFUNCTION("""COMPUTED_VALUE"""),"Флексопечать")</f>
        <v>Флексопечать</v>
      </c>
      <c r="I457" s="338" t="str">
        <f>IFERROR(__xludf.DUMMYFUNCTION("""COMPUTED_VALUE"""),"Bg-330")</f>
        <v>Bg-330</v>
      </c>
      <c r="J457" s="536">
        <f>IFERROR(__xludf.DUMMYFUNCTION("""COMPUTED_VALUE"""),15000.0)</f>
        <v>15000</v>
      </c>
      <c r="K457" s="537">
        <f>IFERROR(__xludf.DUMMYFUNCTION("""COMPUTED_VALUE"""),46195.0)</f>
        <v>46195</v>
      </c>
      <c r="L457" s="537"/>
      <c r="M457" s="338" t="str">
        <f>IFERROR(__xludf.DUMMYFUNCTION("""COMPUTED_VALUE"""),"Термо Топ")</f>
        <v>Термо Топ</v>
      </c>
      <c r="N457" s="338" t="str">
        <f>IFERROR(__xludf.DUMMYFUNCTION("""COMPUTED_VALUE"""),"Отгружен")</f>
        <v>Отгружен</v>
      </c>
      <c r="O457" s="537"/>
      <c r="P457" s="338"/>
      <c r="Q457" s="338" t="str">
        <f>IFERROR(__xludf.DUMMYFUNCTION("""COMPUTED_VALUE"""),"Проезд Фрезер , дом 2, Стр 13
Позвонить за 30 мин по тел 8(925)724-74-37 заказать пропуск на въезд")</f>
        <v>Проезд Фрезер , дом 2, Стр 13
Позвонить за 30 мин по тел 8(925)724-74-37 заказать пропуск на въезд</v>
      </c>
      <c r="R457" s="338"/>
      <c r="S457" s="338"/>
      <c r="T457" s="338"/>
      <c r="U457" s="338"/>
      <c r="V457" s="338"/>
      <c r="W457" s="338"/>
      <c r="X457" s="338"/>
      <c r="Y457" s="338"/>
      <c r="Z457" s="338"/>
    </row>
    <row r="458" ht="22.5" customHeight="1">
      <c r="A458" s="528" t="str">
        <f>IFERROR(__xludf.DUMMYFUNCTION("""COMPUTED_VALUE"""),"Кейтеринг Технолоджи")</f>
        <v>Кейтеринг Технолоджи</v>
      </c>
      <c r="B458" s="528"/>
      <c r="C458" s="528" t="str">
        <f>IFERROR(__xludf.DUMMYFUNCTION("""COMPUTED_VALUE"""),"Гаспачо ""по-Андалусски"" ВВ")</f>
        <v>Гаспачо "по-Андалусски" ВВ</v>
      </c>
      <c r="D458" s="528">
        <f>IFERROR(__xludf.DUMMYFUNCTION("""COMPUTED_VALUE"""),3260.0)</f>
        <v>3260</v>
      </c>
      <c r="E458" s="528" t="str">
        <f>IFERROR(__xludf.DUMMYFUNCTION("""COMPUTED_VALUE"""),"Татьяна Денисова")</f>
        <v>Татьяна Денисова</v>
      </c>
      <c r="F458" s="535" t="str">
        <f>IFERROR(__xludf.DUMMYFUNCTION("""COMPUTED_VALUE"""),"Повтор")</f>
        <v>Повтор</v>
      </c>
      <c r="G458" s="536" t="str">
        <f>IFERROR(__xludf.DUMMYFUNCTION("""COMPUTED_VALUE"""),"д90")</f>
        <v>д90</v>
      </c>
      <c r="H458" s="338" t="str">
        <f>IFERROR(__xludf.DUMMYFUNCTION("""COMPUTED_VALUE"""),"Флексопечать")</f>
        <v>Флексопечать</v>
      </c>
      <c r="I458" s="338" t="str">
        <f>IFERROR(__xludf.DUMMYFUNCTION("""COMPUTED_VALUE"""),"Bg-330")</f>
        <v>Bg-330</v>
      </c>
      <c r="J458" s="536">
        <f>IFERROR(__xludf.DUMMYFUNCTION("""COMPUTED_VALUE"""),15000.0)</f>
        <v>15000</v>
      </c>
      <c r="K458" s="537">
        <f>IFERROR(__xludf.DUMMYFUNCTION("""COMPUTED_VALUE"""),46195.0)</f>
        <v>46195</v>
      </c>
      <c r="L458" s="537"/>
      <c r="M458" s="338" t="str">
        <f>IFERROR(__xludf.DUMMYFUNCTION("""COMPUTED_VALUE"""),"Термо Топ")</f>
        <v>Термо Топ</v>
      </c>
      <c r="N458" s="338" t="str">
        <f>IFERROR(__xludf.DUMMYFUNCTION("""COMPUTED_VALUE"""),"Отгружен")</f>
        <v>Отгружен</v>
      </c>
      <c r="O458" s="537"/>
      <c r="P458" s="338"/>
      <c r="Q458" s="338" t="str">
        <f>IFERROR(__xludf.DUMMYFUNCTION("""COMPUTED_VALUE"""),"Проезд Фрезер , дом 2, Стр 13
Позвонить за 30 мин по тел 8(925)724-74-37 заказать пропуск на въезд")</f>
        <v>Проезд Фрезер , дом 2, Стр 13
Позвонить за 30 мин по тел 8(925)724-74-37 заказать пропуск на въезд</v>
      </c>
      <c r="R458" s="338"/>
      <c r="S458" s="338"/>
      <c r="T458" s="338"/>
      <c r="U458" s="338"/>
      <c r="V458" s="338"/>
      <c r="W458" s="338"/>
      <c r="X458" s="338"/>
      <c r="Y458" s="338"/>
      <c r="Z458" s="338"/>
    </row>
    <row r="459" ht="22.5" customHeight="1">
      <c r="A459" s="528" t="str">
        <f>IFERROR(__xludf.DUMMYFUNCTION("""COMPUTED_VALUE"""),"Кейтеринг Технолоджи")</f>
        <v>Кейтеринг Технолоджи</v>
      </c>
      <c r="B459" s="528"/>
      <c r="C459" s="528" t="str">
        <f>IFERROR(__xludf.DUMMYFUNCTION("""COMPUTED_VALUE"""),"Клаб-сэндвич с ветчиной и сыром ВВ")</f>
        <v>Клаб-сэндвич с ветчиной и сыром ВВ</v>
      </c>
      <c r="D459" s="528">
        <f>IFERROR(__xludf.DUMMYFUNCTION("""COMPUTED_VALUE"""),3262.0)</f>
        <v>3262</v>
      </c>
      <c r="E459" s="528" t="str">
        <f>IFERROR(__xludf.DUMMYFUNCTION("""COMPUTED_VALUE"""),"Татьяна Денисова")</f>
        <v>Татьяна Денисова</v>
      </c>
      <c r="F459" s="535" t="str">
        <f>IFERROR(__xludf.DUMMYFUNCTION("""COMPUTED_VALUE"""),"Повтор с изменениями")</f>
        <v>Повтор с изменениями</v>
      </c>
      <c r="G459" s="536" t="str">
        <f>IFERROR(__xludf.DUMMYFUNCTION("""COMPUTED_VALUE"""),"65*125")</f>
        <v>65*125</v>
      </c>
      <c r="H459" s="338" t="str">
        <f>IFERROR(__xludf.DUMMYFUNCTION("""COMPUTED_VALUE"""),"Флексопечать")</f>
        <v>Флексопечать</v>
      </c>
      <c r="I459" s="338" t="str">
        <f>IFERROR(__xludf.DUMMYFUNCTION("""COMPUTED_VALUE"""),"Wg-450")</f>
        <v>Wg-450</v>
      </c>
      <c r="J459" s="536">
        <f>IFERROR(__xludf.DUMMYFUNCTION("""COMPUTED_VALUE"""),15000.0)</f>
        <v>15000</v>
      </c>
      <c r="K459" s="537">
        <f>IFERROR(__xludf.DUMMYFUNCTION("""COMPUTED_VALUE"""),46195.0)</f>
        <v>46195</v>
      </c>
      <c r="L459" s="537"/>
      <c r="M459" s="338" t="str">
        <f>IFERROR(__xludf.DUMMYFUNCTION("""COMPUTED_VALUE"""),"Термо Топ")</f>
        <v>Термо Топ</v>
      </c>
      <c r="N459" s="338" t="str">
        <f>IFERROR(__xludf.DUMMYFUNCTION("""COMPUTED_VALUE"""),"Отгружен")</f>
        <v>Отгружен</v>
      </c>
      <c r="O459" s="537"/>
      <c r="P459" s="338"/>
      <c r="Q459" s="338" t="str">
        <f>IFERROR(__xludf.DUMMYFUNCTION("""COMPUTED_VALUE"""),"Проезд Фрезер , дом 2, Стр 13
Позвонить за 30 мин по тел 8(925)724-74-37 заказать пропуск на въезд")</f>
        <v>Проезд Фрезер , дом 2, Стр 13
Позвонить за 30 мин по тел 8(925)724-74-37 заказать пропуск на въезд</v>
      </c>
      <c r="R459" s="338"/>
      <c r="S459" s="338"/>
      <c r="T459" s="338"/>
      <c r="U459" s="338"/>
      <c r="V459" s="338"/>
      <c r="W459" s="338"/>
      <c r="X459" s="338"/>
      <c r="Y459" s="338"/>
      <c r="Z459" s="338"/>
    </row>
    <row r="460" ht="22.5" customHeight="1">
      <c r="A460" s="528" t="str">
        <f>IFERROR(__xludf.DUMMYFUNCTION("""COMPUTED_VALUE"""),"Хелеметекс")</f>
        <v>Хелеметекс</v>
      </c>
      <c r="B460" s="528"/>
      <c r="C460" s="528" t="str">
        <f>IFERROR(__xludf.DUMMYFUNCTION("""COMPUTED_VALUE"""),"Нейтрализатор запаха универсальный, 500 мл Розовый")</f>
        <v>Нейтрализатор запаха универсальный, 500 мл Розовый</v>
      </c>
      <c r="D460" s="528">
        <f>IFERROR(__xludf.DUMMYFUNCTION("""COMPUTED_VALUE"""),3276.0)</f>
        <v>3276</v>
      </c>
      <c r="E460" s="528" t="str">
        <f>IFERROR(__xludf.DUMMYFUNCTION("""COMPUTED_VALUE"""),"Татьяна Денисова")</f>
        <v>Татьяна Денисова</v>
      </c>
      <c r="F460" s="535" t="str">
        <f>IFERROR(__xludf.DUMMYFUNCTION("""COMPUTED_VALUE"""),"Новая")</f>
        <v>Новая</v>
      </c>
      <c r="G460" s="536" t="str">
        <f>IFERROR(__xludf.DUMMYFUNCTION("""COMPUTED_VALUE"""),"105*85")</f>
        <v>105*85</v>
      </c>
      <c r="H460" s="338" t="str">
        <f>IFERROR(__xludf.DUMMYFUNCTION("""COMPUTED_VALUE"""),"Флексопечать")</f>
        <v>Флексопечать</v>
      </c>
      <c r="I460" s="338" t="str">
        <f>IFERROR(__xludf.DUMMYFUNCTION("""COMPUTED_VALUE"""),"Bg-330")</f>
        <v>Bg-330</v>
      </c>
      <c r="J460" s="536" t="str">
        <f>IFERROR(__xludf.DUMMYFUNCTION("""COMPUTED_VALUE"""),"10000 комплектов")</f>
        <v>10000 комплектов</v>
      </c>
      <c r="K460" s="537">
        <f>IFERROR(__xludf.DUMMYFUNCTION("""COMPUTED_VALUE"""),46192.0)</f>
        <v>46192</v>
      </c>
      <c r="L460" s="537"/>
      <c r="M460" s="338" t="str">
        <f>IFERROR(__xludf.DUMMYFUNCTION("""COMPUTED_VALUE"""),"Пленка PP белая акрил")</f>
        <v>Пленка PP белая акрил</v>
      </c>
      <c r="N460" s="338" t="str">
        <f>IFERROR(__xludf.DUMMYFUNCTION("""COMPUTED_VALUE"""),"Отгружен")</f>
        <v>Отгружен</v>
      </c>
      <c r="O460" s="537"/>
      <c r="P460" s="338" t="str">
        <f>IFERROR(__xludf.DUMMYFUNCTION("""COMPUTED_VALUE"""),"ОБРАЗЕЦ ПРИЕДЕТ В ПН. По цвету ориентироваться на переданные образцы от клиента")</f>
        <v>ОБРАЗЕЦ ПРИЕДЕТ В ПН. По цвету ориентироваться на переданные образцы от клиента</v>
      </c>
      <c r="Q460" s="338" t="str">
        <f>IFERROR(__xludf.DUMMYFUNCTION("""COMPUTED_VALUE"""),"пгт. Путилково Территория Гринвуд стр.35 офис 320 Голубкова Мария  89107297131")</f>
        <v>пгт. Путилково Территория Гринвуд стр.35 офис 320 Голубкова Мария  89107297131</v>
      </c>
      <c r="R460" s="338"/>
      <c r="S460" s="338"/>
      <c r="T460" s="338"/>
      <c r="U460" s="338"/>
      <c r="V460" s="338"/>
      <c r="W460" s="338"/>
      <c r="X460" s="338"/>
      <c r="Y460" s="338"/>
      <c r="Z460" s="338"/>
    </row>
    <row r="461" ht="22.5" customHeight="1">
      <c r="A461" s="528" t="str">
        <f>IFERROR(__xludf.DUMMYFUNCTION("""COMPUTED_VALUE"""),"Хелеметекс")</f>
        <v>Хелеметекс</v>
      </c>
      <c r="B461" s="528"/>
      <c r="C461" s="528" t="str">
        <f>IFERROR(__xludf.DUMMYFUNCTION("""COMPUTED_VALUE"""),"Нейтрализатор запаха универсальный Fresh, 500 мл Голубой")</f>
        <v>Нейтрализатор запаха универсальный Fresh, 500 мл Голубой</v>
      </c>
      <c r="D461" s="528">
        <f>IFERROR(__xludf.DUMMYFUNCTION("""COMPUTED_VALUE"""),3277.0)</f>
        <v>3277</v>
      </c>
      <c r="E461" s="528" t="str">
        <f>IFERROR(__xludf.DUMMYFUNCTION("""COMPUTED_VALUE"""),"Татьяна Денисова")</f>
        <v>Татьяна Денисова</v>
      </c>
      <c r="F461" s="535" t="str">
        <f>IFERROR(__xludf.DUMMYFUNCTION("""COMPUTED_VALUE"""),"Новая")</f>
        <v>Новая</v>
      </c>
      <c r="G461" s="536" t="str">
        <f>IFERROR(__xludf.DUMMYFUNCTION("""COMPUTED_VALUE"""),"105*85")</f>
        <v>105*85</v>
      </c>
      <c r="H461" s="338" t="str">
        <f>IFERROR(__xludf.DUMMYFUNCTION("""COMPUTED_VALUE"""),"Флексопечать")</f>
        <v>Флексопечать</v>
      </c>
      <c r="I461" s="338" t="str">
        <f>IFERROR(__xludf.DUMMYFUNCTION("""COMPUTED_VALUE"""),"Bg-330")</f>
        <v>Bg-330</v>
      </c>
      <c r="J461" s="536" t="str">
        <f>IFERROR(__xludf.DUMMYFUNCTION("""COMPUTED_VALUE"""),"10000 комплектов")</f>
        <v>10000 комплектов</v>
      </c>
      <c r="K461" s="537">
        <f>IFERROR(__xludf.DUMMYFUNCTION("""COMPUTED_VALUE"""),46192.0)</f>
        <v>46192</v>
      </c>
      <c r="L461" s="537"/>
      <c r="M461" s="338" t="str">
        <f>IFERROR(__xludf.DUMMYFUNCTION("""COMPUTED_VALUE"""),"Пленка PP белая акрил")</f>
        <v>Пленка PP белая акрил</v>
      </c>
      <c r="N461" s="338" t="str">
        <f>IFERROR(__xludf.DUMMYFUNCTION("""COMPUTED_VALUE"""),"Отгружен")</f>
        <v>Отгружен</v>
      </c>
      <c r="O461" s="537"/>
      <c r="P461" s="338" t="str">
        <f>IFERROR(__xludf.DUMMYFUNCTION("""COMPUTED_VALUE"""),"ОБРАЗЕЦ ПРИЕДЕТ В ПН. По цвету ориентироваться на переданные образцы от клиента")</f>
        <v>ОБРАЗЕЦ ПРИЕДЕТ В ПН. По цвету ориентироваться на переданные образцы от клиента</v>
      </c>
      <c r="Q461" s="338" t="str">
        <f>IFERROR(__xludf.DUMMYFUNCTION("""COMPUTED_VALUE"""),"пгт. Путилково Территория Гринвуд стр.35 офис 320 Голубкова Мария  89107297131")</f>
        <v>пгт. Путилково Территория Гринвуд стр.35 офис 320 Голубкова Мария  89107297131</v>
      </c>
      <c r="R461" s="338"/>
      <c r="S461" s="338"/>
      <c r="T461" s="338"/>
      <c r="U461" s="338"/>
      <c r="V461" s="338"/>
      <c r="W461" s="338"/>
      <c r="X461" s="338"/>
      <c r="Y461" s="338"/>
      <c r="Z461" s="338"/>
    </row>
    <row r="462" ht="22.5" customHeight="1">
      <c r="A462" s="528" t="str">
        <f>IFERROR(__xludf.DUMMYFUNCTION("""COMPUTED_VALUE"""),"ООО Озон Вкус")</f>
        <v>ООО Озон Вкус</v>
      </c>
      <c r="B462" s="528"/>
      <c r="C462" s="528" t="str">
        <f>IFERROR(__xludf.DUMMYFUNCTION("""COMPUTED_VALUE"""),"Этикетка ""Юдзу-вкус этого лета""")</f>
        <v>Этикетка "Юдзу-вкус этого лета"</v>
      </c>
      <c r="D462" s="528">
        <f>IFERROR(__xludf.DUMMYFUNCTION("""COMPUTED_VALUE"""),3282.0)</f>
        <v>3282</v>
      </c>
      <c r="E462" s="528" t="str">
        <f>IFERROR(__xludf.DUMMYFUNCTION("""COMPUTED_VALUE"""),"Римма Лукина")</f>
        <v>Римма Лукина</v>
      </c>
      <c r="F462" s="535" t="str">
        <f>IFERROR(__xludf.DUMMYFUNCTION("""COMPUTED_VALUE"""),"ТЕСТ")</f>
        <v>ТЕСТ</v>
      </c>
      <c r="G462" s="536"/>
      <c r="H462" s="338"/>
      <c r="I462" s="338" t="str">
        <f>IFERROR(__xludf.DUMMYFUNCTION("""COMPUTED_VALUE"""),"Bg-330")</f>
        <v>Bg-330</v>
      </c>
      <c r="J462" s="536" t="str">
        <f>IFERROR(__xludf.DUMMYFUNCTION("""COMPUTED_VALUE"""),"10-20")</f>
        <v>10-20</v>
      </c>
      <c r="K462" s="537">
        <f>IFERROR(__xludf.DUMMYFUNCTION("""COMPUTED_VALUE"""),46195.0)</f>
        <v>46195</v>
      </c>
      <c r="L462" s="537"/>
      <c r="M462" s="338" t="str">
        <f>IFERROR(__xludf.DUMMYFUNCTION("""COMPUTED_VALUE"""),"Термоэко")</f>
        <v>Термоэко</v>
      </c>
      <c r="N462" s="338" t="str">
        <f>IFERROR(__xludf.DUMMYFUNCTION("""COMPUTED_VALUE"""),"Отгружен")</f>
        <v>Отгружен</v>
      </c>
      <c r="O462" s="537">
        <f>IFERROR(__xludf.DUMMYFUNCTION("""COMPUTED_VALUE"""),46197.0)</f>
        <v>46197</v>
      </c>
      <c r="P462" s="338" t="str">
        <f>IFERROR(__xludf.DUMMYFUNCTION("""COMPUTED_VALUE"""),"нужно отправить с основыным заказом")</f>
        <v>нужно отправить с основыным заказом</v>
      </c>
      <c r="Q462" s="338"/>
      <c r="R462" s="338"/>
      <c r="S462" s="338"/>
      <c r="T462" s="338"/>
      <c r="U462" s="338"/>
      <c r="V462" s="338"/>
      <c r="W462" s="338"/>
      <c r="X462" s="338"/>
      <c r="Y462" s="338"/>
      <c r="Z462" s="338"/>
    </row>
    <row r="463" ht="22.5" customHeight="1">
      <c r="A463" s="528" t="str">
        <f>IFERROR(__xludf.DUMMYFUNCTION("""COMPUTED_VALUE"""),"ОЗОН ВКУС")</f>
        <v>ОЗОН ВКУС</v>
      </c>
      <c r="B463" s="528"/>
      <c r="C463" s="528" t="str">
        <f>IFERROR(__xludf.DUMMYFUNCTION("""COMPUTED_VALUE"""),"Этикетка ""Сэндвич с тунцом и маринованным луком""")</f>
        <v>Этикетка "Сэндвич с тунцом и маринованным луком"</v>
      </c>
      <c r="D463" s="528">
        <f>IFERROR(__xludf.DUMMYFUNCTION("""COMPUTED_VALUE"""),3290.0)</f>
        <v>3290</v>
      </c>
      <c r="E463" s="528" t="str">
        <f>IFERROR(__xludf.DUMMYFUNCTION("""COMPUTED_VALUE"""),"Римма Лукина")</f>
        <v>Римма Лукина</v>
      </c>
      <c r="F463" s="535" t="str">
        <f>IFERROR(__xludf.DUMMYFUNCTION("""COMPUTED_VALUE"""),"Повтор")</f>
        <v>Повтор</v>
      </c>
      <c r="G463" s="536"/>
      <c r="H463" s="338" t="str">
        <f>IFERROR(__xludf.DUMMYFUNCTION("""COMPUTED_VALUE"""),"Флексопечать")</f>
        <v>Флексопечать</v>
      </c>
      <c r="I463" s="338" t="str">
        <f>IFERROR(__xludf.DUMMYFUNCTION("""COMPUTED_VALUE"""),"Bg-330")</f>
        <v>Bg-330</v>
      </c>
      <c r="J463" s="536">
        <f>IFERROR(__xludf.DUMMYFUNCTION("""COMPUTED_VALUE"""),10000.0)</f>
        <v>10000</v>
      </c>
      <c r="K463" s="537">
        <f>IFERROR(__xludf.DUMMYFUNCTION("""COMPUTED_VALUE"""),46196.0)</f>
        <v>46196</v>
      </c>
      <c r="L463" s="537"/>
      <c r="M463" s="338" t="str">
        <f>IFERROR(__xludf.DUMMYFUNCTION("""COMPUTED_VALUE"""),"Термоэко")</f>
        <v>Термоэко</v>
      </c>
      <c r="N463" s="338" t="str">
        <f>IFERROR(__xludf.DUMMYFUNCTION("""COMPUTED_VALUE"""),"Отгружен")</f>
        <v>Отгружен</v>
      </c>
      <c r="O463" s="537">
        <f>IFERROR(__xludf.DUMMYFUNCTION("""COMPUTED_VALUE"""),46197.0)</f>
        <v>46197</v>
      </c>
      <c r="P463" s="338" t="str">
        <f>IFERROR(__xludf.DUMMYFUNCTION("""COMPUTED_VALUE"""),"обязательно паспорта качества и маркировка каждой бобины и групповой упаковки")</f>
        <v>обязательно паспорта качества и маркировка каждой бобины и групповой упаковки</v>
      </c>
      <c r="Q463" s="338"/>
      <c r="R463" s="338"/>
      <c r="S463" s="338"/>
      <c r="T463" s="338"/>
      <c r="U463" s="338"/>
      <c r="V463" s="338"/>
      <c r="W463" s="338"/>
      <c r="X463" s="338"/>
      <c r="Y463" s="338"/>
      <c r="Z463" s="338"/>
    </row>
    <row r="464" ht="22.5" customHeight="1">
      <c r="A464" s="528" t="str">
        <f>IFERROR(__xludf.DUMMYFUNCTION("""COMPUTED_VALUE"""),"ОЗОН ВКУС")</f>
        <v>ОЗОН ВКУС</v>
      </c>
      <c r="B464" s="528"/>
      <c r="C464" s="528" t="str">
        <f>IFERROR(__xludf.DUMMYFUNCTION("""COMPUTED_VALUE"""),"""ЯЛ Сэндвич с курицей и печёным перцем, кремчизом, шпинатом и мёдом с чесноком"" ")</f>
        <v>"ЯЛ Сэндвич с курицей и печёным перцем, кремчизом, шпинатом и мёдом с чесноком" </v>
      </c>
      <c r="D464" s="528">
        <f>IFERROR(__xludf.DUMMYFUNCTION("""COMPUTED_VALUE"""),3291.0)</f>
        <v>3291</v>
      </c>
      <c r="E464" s="528" t="str">
        <f>IFERROR(__xludf.DUMMYFUNCTION("""COMPUTED_VALUE"""),"Римма Лукина")</f>
        <v>Римма Лукина</v>
      </c>
      <c r="F464" s="535" t="str">
        <f>IFERROR(__xludf.DUMMYFUNCTION("""COMPUTED_VALUE"""),"Повтор")</f>
        <v>Повтор</v>
      </c>
      <c r="G464" s="536"/>
      <c r="H464" s="338" t="str">
        <f>IFERROR(__xludf.DUMMYFUNCTION("""COMPUTED_VALUE"""),"Флексопечать")</f>
        <v>Флексопечать</v>
      </c>
      <c r="I464" s="338" t="str">
        <f>IFERROR(__xludf.DUMMYFUNCTION("""COMPUTED_VALUE"""),"Bg-330")</f>
        <v>Bg-330</v>
      </c>
      <c r="J464" s="536">
        <f>IFERROR(__xludf.DUMMYFUNCTION("""COMPUTED_VALUE"""),10000.0)</f>
        <v>10000</v>
      </c>
      <c r="K464" s="537">
        <f>IFERROR(__xludf.DUMMYFUNCTION("""COMPUTED_VALUE"""),46196.0)</f>
        <v>46196</v>
      </c>
      <c r="L464" s="537"/>
      <c r="M464" s="338" t="str">
        <f>IFERROR(__xludf.DUMMYFUNCTION("""COMPUTED_VALUE"""),"Термоэко")</f>
        <v>Термоэко</v>
      </c>
      <c r="N464" s="338" t="str">
        <f>IFERROR(__xludf.DUMMYFUNCTION("""COMPUTED_VALUE"""),"Отгружен")</f>
        <v>Отгружен</v>
      </c>
      <c r="O464" s="537">
        <f>IFERROR(__xludf.DUMMYFUNCTION("""COMPUTED_VALUE"""),46197.0)</f>
        <v>46197</v>
      </c>
      <c r="P464" s="338" t="str">
        <f>IFERROR(__xludf.DUMMYFUNCTION("""COMPUTED_VALUE"""),"обязательно паспорта качества и маркировка каждой бобины и групповой упаковки")</f>
        <v>обязательно паспорта качества и маркировка каждой бобины и групповой упаковки</v>
      </c>
      <c r="Q464" s="338"/>
      <c r="R464" s="338"/>
      <c r="S464" s="338"/>
      <c r="T464" s="338"/>
      <c r="U464" s="338"/>
      <c r="V464" s="338"/>
      <c r="W464" s="338"/>
      <c r="X464" s="338"/>
      <c r="Y464" s="338"/>
      <c r="Z464" s="338"/>
    </row>
    <row r="465" ht="22.5" customHeight="1">
      <c r="A465" s="528" t="str">
        <f>IFERROR(__xludf.DUMMYFUNCTION("""COMPUTED_VALUE"""),"ООО ОЗОН ВКУС")</f>
        <v>ООО ОЗОН ВКУС</v>
      </c>
      <c r="B465" s="528"/>
      <c r="C465" s="528" t="str">
        <f>IFERROR(__xludf.DUMMYFUNCTION("""COMPUTED_VALUE"""),"Тестовая этикетка голубой пантон")</f>
        <v>Тестовая этикетка голубой пантон</v>
      </c>
      <c r="D465" s="528">
        <f>IFERROR(__xludf.DUMMYFUNCTION("""COMPUTED_VALUE"""),3296.0)</f>
        <v>3296</v>
      </c>
      <c r="E465" s="528" t="str">
        <f>IFERROR(__xludf.DUMMYFUNCTION("""COMPUTED_VALUE"""),"Римма Лукина")</f>
        <v>Римма Лукина</v>
      </c>
      <c r="F465" s="535" t="str">
        <f>IFERROR(__xludf.DUMMYFUNCTION("""COMPUTED_VALUE"""),"ТЕСТ")</f>
        <v>ТЕСТ</v>
      </c>
      <c r="G465" s="536" t="str">
        <f>IFERROR(__xludf.DUMMYFUNCTION("""COMPUTED_VALUE"""),"45*240")</f>
        <v>45*240</v>
      </c>
      <c r="H465" s="338"/>
      <c r="I465" s="338" t="str">
        <f>IFERROR(__xludf.DUMMYFUNCTION("""COMPUTED_VALUE"""),"Bg-330")</f>
        <v>Bg-330</v>
      </c>
      <c r="J465" s="536">
        <f>IFERROR(__xludf.DUMMYFUNCTION("""COMPUTED_VALUE"""),10.0)</f>
        <v>10</v>
      </c>
      <c r="K465" s="537">
        <f>IFERROR(__xludf.DUMMYFUNCTION("""COMPUTED_VALUE"""),46197.0)</f>
        <v>46197</v>
      </c>
      <c r="L465" s="537"/>
      <c r="M465" s="338" t="str">
        <f>IFERROR(__xludf.DUMMYFUNCTION("""COMPUTED_VALUE"""),"Термоэко")</f>
        <v>Термоэко</v>
      </c>
      <c r="N465" s="338" t="str">
        <f>IFERROR(__xludf.DUMMYFUNCTION("""COMPUTED_VALUE"""),"Отгружен")</f>
        <v>Отгружен</v>
      </c>
      <c r="O465" s="537"/>
      <c r="P465" s="338" t="str">
        <f>IFERROR(__xludf.DUMMYFUNCTION("""COMPUTED_VALUE"""),"можно не резать на ролики , просто вырубить, тестируют именно пантон")</f>
        <v>можно не резать на ролики , просто вырубить, тестируют именно пантон</v>
      </c>
      <c r="Q465" s="338"/>
      <c r="R465" s="338"/>
      <c r="S465" s="338"/>
      <c r="T465" s="338"/>
      <c r="U465" s="338"/>
      <c r="V465" s="338"/>
      <c r="W465" s="338"/>
      <c r="X465" s="338"/>
      <c r="Y465" s="338"/>
      <c r="Z465" s="338"/>
    </row>
    <row r="466" ht="22.5" customHeight="1">
      <c r="A466" s="528" t="str">
        <f>IFERROR(__xludf.DUMMYFUNCTION("""COMPUTED_VALUE"""),"ООО ОЗОН ВКУС")</f>
        <v>ООО ОЗОН ВКУС</v>
      </c>
      <c r="B466" s="528"/>
      <c r="C466" s="528" t="str">
        <f>IFERROR(__xludf.DUMMYFUNCTION("""COMPUTED_VALUE"""),"Тестовая этикетка голубой пантон фигурная")</f>
        <v>Тестовая этикетка голубой пантон фигурная</v>
      </c>
      <c r="D466" s="528">
        <f>IFERROR(__xludf.DUMMYFUNCTION("""COMPUTED_VALUE"""),3297.0)</f>
        <v>3297</v>
      </c>
      <c r="E466" s="528" t="str">
        <f>IFERROR(__xludf.DUMMYFUNCTION("""COMPUTED_VALUE"""),"Римма Лукина")</f>
        <v>Римма Лукина</v>
      </c>
      <c r="F466" s="535" t="str">
        <f>IFERROR(__xludf.DUMMYFUNCTION("""COMPUTED_VALUE"""),"ТЕСТ")</f>
        <v>ТЕСТ</v>
      </c>
      <c r="G466" s="536" t="str">
        <f>IFERROR(__xludf.DUMMYFUNCTION("""COMPUTED_VALUE"""),"76*118")</f>
        <v>76*118</v>
      </c>
      <c r="H466" s="338"/>
      <c r="I466" s="338" t="str">
        <f>IFERROR(__xludf.DUMMYFUNCTION("""COMPUTED_VALUE"""),"Bg-330")</f>
        <v>Bg-330</v>
      </c>
      <c r="J466" s="536">
        <f>IFERROR(__xludf.DUMMYFUNCTION("""COMPUTED_VALUE"""),10.0)</f>
        <v>10</v>
      </c>
      <c r="K466" s="537">
        <f>IFERROR(__xludf.DUMMYFUNCTION("""COMPUTED_VALUE"""),46197.0)</f>
        <v>46197</v>
      </c>
      <c r="L466" s="537"/>
      <c r="M466" s="338" t="str">
        <f>IFERROR(__xludf.DUMMYFUNCTION("""COMPUTED_VALUE"""),"Термоэко")</f>
        <v>Термоэко</v>
      </c>
      <c r="N466" s="338" t="str">
        <f>IFERROR(__xludf.DUMMYFUNCTION("""COMPUTED_VALUE"""),"Отгружен")</f>
        <v>Отгружен</v>
      </c>
      <c r="O466" s="537"/>
      <c r="P466" s="338" t="str">
        <f>IFERROR(__xludf.DUMMYFUNCTION("""COMPUTED_VALUE"""),"можно не резать на ролики , просто вырубить, тестируют именно пантон")</f>
        <v>можно не резать на ролики , просто вырубить, тестируют именно пантон</v>
      </c>
      <c r="Q466" s="338"/>
      <c r="R466" s="338"/>
      <c r="S466" s="338"/>
      <c r="T466" s="338"/>
      <c r="U466" s="338"/>
      <c r="V466" s="338"/>
      <c r="W466" s="338"/>
      <c r="X466" s="338"/>
      <c r="Y466" s="338"/>
      <c r="Z466" s="338"/>
    </row>
    <row r="467" ht="22.5" customHeight="1">
      <c r="A467" s="528" t="str">
        <f>IFERROR(__xludf.DUMMYFUNCTION("""COMPUTED_VALUE"""),"Аралия")</f>
        <v>Аралия</v>
      </c>
      <c r="B467" s="528"/>
      <c r="C467" s="528" t="str">
        <f>IFERROR(__xludf.DUMMYFUNCTION("""COMPUTED_VALUE"""),"Этикетка Bez Tarelok")</f>
        <v>Этикетка Bez Tarelok</v>
      </c>
      <c r="D467" s="528">
        <f>IFERROR(__xludf.DUMMYFUNCTION("""COMPUTED_VALUE"""),3298.0)</f>
        <v>3298</v>
      </c>
      <c r="E467" s="528" t="str">
        <f>IFERROR(__xludf.DUMMYFUNCTION("""COMPUTED_VALUE"""),"Шаповалова Юлия")</f>
        <v>Шаповалова Юлия</v>
      </c>
      <c r="F467" s="535" t="str">
        <f>IFERROR(__xludf.DUMMYFUNCTION("""COMPUTED_VALUE"""),"Повтор")</f>
        <v>Повтор</v>
      </c>
      <c r="G467" s="536" t="str">
        <f>IFERROR(__xludf.DUMMYFUNCTION("""COMPUTED_VALUE"""),"20*250")</f>
        <v>20*250</v>
      </c>
      <c r="H467" s="338" t="str">
        <f>IFERROR(__xludf.DUMMYFUNCTION("""COMPUTED_VALUE"""),"Флексопечать")</f>
        <v>Флексопечать</v>
      </c>
      <c r="I467" s="338" t="str">
        <f>IFERROR(__xludf.DUMMYFUNCTION("""COMPUTED_VALUE"""),"G-160")</f>
        <v>G-160</v>
      </c>
      <c r="J467" s="536" t="str">
        <f>IFERROR(__xludf.DUMMYFUNCTION("""COMPUTED_VALUE"""),"10 000")</f>
        <v>10 000</v>
      </c>
      <c r="K467" s="537">
        <f>IFERROR(__xludf.DUMMYFUNCTION("""COMPUTED_VALUE"""),46196.0)</f>
        <v>46196</v>
      </c>
      <c r="L467" s="537"/>
      <c r="M467" s="338" t="str">
        <f>IFERROR(__xludf.DUMMYFUNCTION("""COMPUTED_VALUE"""),"Пленка PP прозрачная")</f>
        <v>Пленка PP прозрачная</v>
      </c>
      <c r="N467" s="338" t="str">
        <f>IFERROR(__xludf.DUMMYFUNCTION("""COMPUTED_VALUE"""),"Отгружен")</f>
        <v>Отгружен</v>
      </c>
      <c r="O467" s="537"/>
      <c r="P467" s="338"/>
      <c r="Q467" s="338" t="str">
        <f>IFERROR(__xludf.DUMMYFUNCTION("""COMPUTED_VALUE"""),"г. Москва, 63-й км. МКАД, р-н Строгино, ул. Маршала Прошлякова, д. 26, корп. 3, стр. 6. тел.+7(926) 554-87-33 Екатерина с 9.00 до 16.00")</f>
        <v>г. Москва, 63-й км. МКАД, р-н Строгино, ул. Маршала Прошлякова, д. 26, корп. 3, стр. 6. тел.+7(926) 554-87-33 Екатерина с 9.00 до 16.00</v>
      </c>
      <c r="R467" s="338"/>
      <c r="S467" s="338"/>
      <c r="T467" s="338"/>
      <c r="U467" s="338"/>
      <c r="V467" s="338"/>
      <c r="W467" s="338"/>
      <c r="X467" s="338"/>
      <c r="Y467" s="338"/>
      <c r="Z467" s="338"/>
    </row>
    <row r="468" ht="22.5" customHeight="1">
      <c r="A468" s="528" t="str">
        <f>IFERROR(__xludf.DUMMYFUNCTION("""COMPUTED_VALUE"""),"Кристель")</f>
        <v>Кристель</v>
      </c>
      <c r="B468" s="528"/>
      <c r="C468" s="528" t="str">
        <f>IFERROR(__xludf.DUMMYFUNCTION("""COMPUTED_VALUE"""),"Этикетка Bez Tarelok")</f>
        <v>Этикетка Bez Tarelok</v>
      </c>
      <c r="D468" s="528">
        <f>IFERROR(__xludf.DUMMYFUNCTION("""COMPUTED_VALUE"""),3298.0)</f>
        <v>3298</v>
      </c>
      <c r="E468" s="528" t="str">
        <f>IFERROR(__xludf.DUMMYFUNCTION("""COMPUTED_VALUE"""),"Шаповалова Юлия")</f>
        <v>Шаповалова Юлия</v>
      </c>
      <c r="F468" s="535" t="str">
        <f>IFERROR(__xludf.DUMMYFUNCTION("""COMPUTED_VALUE"""),"Повтор")</f>
        <v>Повтор</v>
      </c>
      <c r="G468" s="536" t="str">
        <f>IFERROR(__xludf.DUMMYFUNCTION("""COMPUTED_VALUE"""),"20*250")</f>
        <v>20*250</v>
      </c>
      <c r="H468" s="338" t="str">
        <f>IFERROR(__xludf.DUMMYFUNCTION("""COMPUTED_VALUE"""),"Флексопечать")</f>
        <v>Флексопечать</v>
      </c>
      <c r="I468" s="338" t="str">
        <f>IFERROR(__xludf.DUMMYFUNCTION("""COMPUTED_VALUE"""),"G-160")</f>
        <v>G-160</v>
      </c>
      <c r="J468" s="536" t="str">
        <f>IFERROR(__xludf.DUMMYFUNCTION("""COMPUTED_VALUE"""),"5 000")</f>
        <v>5 000</v>
      </c>
      <c r="K468" s="537">
        <f>IFERROR(__xludf.DUMMYFUNCTION("""COMPUTED_VALUE"""),46196.0)</f>
        <v>46196</v>
      </c>
      <c r="L468" s="537"/>
      <c r="M468" s="338" t="str">
        <f>IFERROR(__xludf.DUMMYFUNCTION("""COMPUTED_VALUE"""),"Пленка PP прозрачная")</f>
        <v>Пленка PP прозрачная</v>
      </c>
      <c r="N468" s="338" t="str">
        <f>IFERROR(__xludf.DUMMYFUNCTION("""COMPUTED_VALUE"""),"Отгружен")</f>
        <v>Отгружен</v>
      </c>
      <c r="O468" s="537"/>
      <c r="P468" s="338"/>
      <c r="Q468" s="338" t="str">
        <f>IFERROR(__xludf.DUMMYFUNCTION("""COMPUTED_VALUE"""),"г. Москва, 63-й км. МКАД, р-н Строгино, ул. Маршала Прошлякова, д. 26, корп. 3, стр. 6. тел.+7(926) 554-87-33 Екатерина с 9.00 до 16.00")</f>
        <v>г. Москва, 63-й км. МКАД, р-н Строгино, ул. Маршала Прошлякова, д. 26, корп. 3, стр. 6. тел.+7(926) 554-87-33 Екатерина с 9.00 до 16.00</v>
      </c>
      <c r="R468" s="338"/>
      <c r="S468" s="338"/>
      <c r="T468" s="338"/>
      <c r="U468" s="338"/>
      <c r="V468" s="338"/>
      <c r="W468" s="338"/>
      <c r="X468" s="338"/>
      <c r="Y468" s="338"/>
      <c r="Z468" s="338"/>
    </row>
    <row r="469" ht="22.5" customHeight="1">
      <c r="A469" s="528" t="str">
        <f>IFERROR(__xludf.DUMMYFUNCTION("""COMPUTED_VALUE"""),"Жозефина")</f>
        <v>Жозефина</v>
      </c>
      <c r="B469" s="528"/>
      <c r="C469" s="528" t="str">
        <f>IFERROR(__xludf.DUMMYFUNCTION("""COMPUTED_VALUE"""),"Этикетка Bez Tarelok")</f>
        <v>Этикетка Bez Tarelok</v>
      </c>
      <c r="D469" s="528">
        <f>IFERROR(__xludf.DUMMYFUNCTION("""COMPUTED_VALUE"""),3298.0)</f>
        <v>3298</v>
      </c>
      <c r="E469" s="528" t="str">
        <f>IFERROR(__xludf.DUMMYFUNCTION("""COMPUTED_VALUE"""),"Шаповалова Юлия")</f>
        <v>Шаповалова Юлия</v>
      </c>
      <c r="F469" s="535" t="str">
        <f>IFERROR(__xludf.DUMMYFUNCTION("""COMPUTED_VALUE"""),"Повтор")</f>
        <v>Повтор</v>
      </c>
      <c r="G469" s="536" t="str">
        <f>IFERROR(__xludf.DUMMYFUNCTION("""COMPUTED_VALUE"""),"20*250")</f>
        <v>20*250</v>
      </c>
      <c r="H469" s="338" t="str">
        <f>IFERROR(__xludf.DUMMYFUNCTION("""COMPUTED_VALUE"""),"Флексопечать")</f>
        <v>Флексопечать</v>
      </c>
      <c r="I469" s="338" t="str">
        <f>IFERROR(__xludf.DUMMYFUNCTION("""COMPUTED_VALUE"""),"G-160")</f>
        <v>G-160</v>
      </c>
      <c r="J469" s="536" t="str">
        <f>IFERROR(__xludf.DUMMYFUNCTION("""COMPUTED_VALUE"""),"5 000")</f>
        <v>5 000</v>
      </c>
      <c r="K469" s="537">
        <f>IFERROR(__xludf.DUMMYFUNCTION("""COMPUTED_VALUE"""),46196.0)</f>
        <v>46196</v>
      </c>
      <c r="L469" s="537"/>
      <c r="M469" s="338" t="str">
        <f>IFERROR(__xludf.DUMMYFUNCTION("""COMPUTED_VALUE"""),"Пленка PP прозрачная")</f>
        <v>Пленка PP прозрачная</v>
      </c>
      <c r="N469" s="338" t="str">
        <f>IFERROR(__xludf.DUMMYFUNCTION("""COMPUTED_VALUE"""),"Отгружен")</f>
        <v>Отгружен</v>
      </c>
      <c r="O469" s="537"/>
      <c r="P469" s="338"/>
      <c r="Q469" s="338" t="str">
        <f>IFERROR(__xludf.DUMMYFUNCTION("""COMPUTED_VALUE"""),"г. Москва, 63-й км. МКАД, р-н Строгино, ул. Маршала Прошлякова, д. 26, корп. 3, стр. 6. тел.+7(926) 554-87-33 Екатерина с 9.00 до 16.00")</f>
        <v>г. Москва, 63-й км. МКАД, р-н Строгино, ул. Маршала Прошлякова, д. 26, корп. 3, стр. 6. тел.+7(926) 554-87-33 Екатерина с 9.00 до 16.00</v>
      </c>
      <c r="R469" s="338"/>
      <c r="S469" s="338"/>
      <c r="T469" s="338"/>
      <c r="U469" s="338"/>
      <c r="V469" s="338"/>
      <c r="W469" s="338"/>
      <c r="X469" s="338"/>
      <c r="Y469" s="338"/>
      <c r="Z469" s="338"/>
    </row>
    <row r="470" ht="22.5" customHeight="1">
      <c r="A470" s="528" t="str">
        <f>IFERROR(__xludf.DUMMYFUNCTION("""COMPUTED_VALUE"""),"Кейтеринг Технолоджи")</f>
        <v>Кейтеринг Технолоджи</v>
      </c>
      <c r="B470" s="528"/>
      <c r="C470" s="528" t="str">
        <f>IFERROR(__xludf.DUMMYFUNCTION("""COMPUTED_VALUE"""),"Гаспачо «Ремолача» с запеченной свеклой ВВ")</f>
        <v>Гаспачо «Ремолача» с запеченной свеклой ВВ</v>
      </c>
      <c r="D470" s="528">
        <f>IFERROR(__xludf.DUMMYFUNCTION("""COMPUTED_VALUE"""),3300.0)</f>
        <v>3300</v>
      </c>
      <c r="E470" s="528" t="str">
        <f>IFERROR(__xludf.DUMMYFUNCTION("""COMPUTED_VALUE"""),"Татьяна Денисова")</f>
        <v>Татьяна Денисова</v>
      </c>
      <c r="F470" s="535" t="str">
        <f>IFERROR(__xludf.DUMMYFUNCTION("""COMPUTED_VALUE"""),"Новая")</f>
        <v>Новая</v>
      </c>
      <c r="G470" s="536" t="str">
        <f>IFERROR(__xludf.DUMMYFUNCTION("""COMPUTED_VALUE"""),"д90")</f>
        <v>д90</v>
      </c>
      <c r="H470" s="338" t="str">
        <f>IFERROR(__xludf.DUMMYFUNCTION("""COMPUTED_VALUE"""),"Флексопечать")</f>
        <v>Флексопечать</v>
      </c>
      <c r="I470" s="338" t="str">
        <f>IFERROR(__xludf.DUMMYFUNCTION("""COMPUTED_VALUE"""),"Bg-330")</f>
        <v>Bg-330</v>
      </c>
      <c r="J470" s="536">
        <f>IFERROR(__xludf.DUMMYFUNCTION("""COMPUTED_VALUE"""),15000.0)</f>
        <v>15000</v>
      </c>
      <c r="K470" s="537">
        <f>IFERROR(__xludf.DUMMYFUNCTION("""COMPUTED_VALUE"""),46196.0)</f>
        <v>46196</v>
      </c>
      <c r="L470" s="537"/>
      <c r="M470" s="338" t="str">
        <f>IFERROR(__xludf.DUMMYFUNCTION("""COMPUTED_VALUE"""),"Термо Топ")</f>
        <v>Термо Топ</v>
      </c>
      <c r="N470" s="338" t="str">
        <f>IFERROR(__xludf.DUMMYFUNCTION("""COMPUTED_VALUE"""),"Отгружен")</f>
        <v>Отгружен</v>
      </c>
      <c r="O470" s="537"/>
      <c r="P470" s="338"/>
      <c r="Q470" s="338" t="str">
        <f>IFERROR(__xludf.DUMMYFUNCTION("""COMPUTED_VALUE"""),"Проезд Фрезер , дом 2, Стр 13
Позвонить за 30 мин по тел 8(925)724-74-37 заказать пропуск на въезд")</f>
        <v>Проезд Фрезер , дом 2, Стр 13
Позвонить за 30 мин по тел 8(925)724-74-37 заказать пропуск на въезд</v>
      </c>
      <c r="R470" s="338"/>
      <c r="S470" s="338"/>
      <c r="T470" s="338"/>
      <c r="U470" s="338"/>
      <c r="V470" s="338"/>
      <c r="W470" s="338"/>
      <c r="X470" s="338"/>
      <c r="Y470" s="338"/>
      <c r="Z470" s="338"/>
    </row>
    <row r="471" ht="22.5" customHeight="1">
      <c r="A471" s="528" t="str">
        <f>IFERROR(__xludf.DUMMYFUNCTION("""COMPUTED_VALUE"""),"ООО Фосфорель")</f>
        <v>ООО Фосфорель</v>
      </c>
      <c r="B471" s="528"/>
      <c r="C471" s="528" t="str">
        <f>IFERROR(__xludf.DUMMYFUNCTION("""COMPUTED_VALUE"""),"Этикетка ""Атлантика крем-паста Минтай с грибами рубленый 150гр"" ")</f>
        <v>Этикетка "Атлантика крем-паста Минтай с грибами рубленый 150гр" </v>
      </c>
      <c r="D471" s="528">
        <f>IFERROR(__xludf.DUMMYFUNCTION("""COMPUTED_VALUE"""),3311.0)</f>
        <v>3311</v>
      </c>
      <c r="E471" s="528" t="str">
        <f>IFERROR(__xludf.DUMMYFUNCTION("""COMPUTED_VALUE"""),"Римма Лукина")</f>
        <v>Римма Лукина</v>
      </c>
      <c r="F471" s="535" t="str">
        <f>IFERROR(__xludf.DUMMYFUNCTION("""COMPUTED_VALUE"""),"Новая")</f>
        <v>Новая</v>
      </c>
      <c r="G471" s="536" t="str">
        <f>IFERROR(__xludf.DUMMYFUNCTION("""COMPUTED_VALUE"""),"38*236")</f>
        <v>38*236</v>
      </c>
      <c r="H471" s="338" t="str">
        <f>IFERROR(__xludf.DUMMYFUNCTION("""COMPUTED_VALUE"""),"Флексопечать")</f>
        <v>Флексопечать</v>
      </c>
      <c r="I471" s="338" t="str">
        <f>IFERROR(__xludf.DUMMYFUNCTION("""COMPUTED_VALUE"""),"Bg-330")</f>
        <v>Bg-330</v>
      </c>
      <c r="J471" s="536">
        <f>IFERROR(__xludf.DUMMYFUNCTION("""COMPUTED_VALUE"""),10000.0)</f>
        <v>10000</v>
      </c>
      <c r="K471" s="537">
        <f>IFERROR(__xludf.DUMMYFUNCTION("""COMPUTED_VALUE"""),46196.0)</f>
        <v>46196</v>
      </c>
      <c r="L471" s="537"/>
      <c r="M471" s="338" t="str">
        <f>IFERROR(__xludf.DUMMYFUNCTION("""COMPUTED_VALUE"""),"Пленка PP белая акрил")</f>
        <v>Пленка PP белая акрил</v>
      </c>
      <c r="N471" s="338" t="str">
        <f>IFERROR(__xludf.DUMMYFUNCTION("""COMPUTED_VALUE"""),"Отгружен")</f>
        <v>Отгружен</v>
      </c>
      <c r="O471" s="537">
        <f>IFERROR(__xludf.DUMMYFUNCTION("""COMPUTED_VALUE"""),46199.0)</f>
        <v>46199</v>
      </c>
      <c r="P471" s="338"/>
      <c r="Q471" s="338" t="str">
        <f>IFERROR(__xludf.DUMMYFUNCTION("""COMPUTED_VALUE"""),"г.Воронеж, проспект Патриотов, 65Н Герасимов Алексей 
+79932999262")</f>
        <v>г.Воронеж, проспект Патриотов, 65Н Герасимов Алексей 
+79932999262</v>
      </c>
      <c r="R471" s="338"/>
      <c r="S471" s="338"/>
      <c r="T471" s="338"/>
      <c r="U471" s="338"/>
      <c r="V471" s="338"/>
      <c r="W471" s="338"/>
      <c r="X471" s="338"/>
      <c r="Y471" s="338"/>
      <c r="Z471" s="338"/>
    </row>
    <row r="472" ht="22.5" customHeight="1">
      <c r="A472" s="528" t="str">
        <f>IFERROR(__xludf.DUMMYFUNCTION("""COMPUTED_VALUE"""),"ИП Демидов")</f>
        <v>ИП Демидов</v>
      </c>
      <c r="B472" s="528"/>
      <c r="C472" s="528" t="str">
        <f>IFERROR(__xludf.DUMMYFUNCTION("""COMPUTED_VALUE"""),"Этикетка Дендробена СПОРТ-МИКС")</f>
        <v>Этикетка Дендробена СПОРТ-МИКС</v>
      </c>
      <c r="D472" s="528">
        <f>IFERROR(__xludf.DUMMYFUNCTION("""COMPUTED_VALUE"""),3314.0)</f>
        <v>3314</v>
      </c>
      <c r="E472" s="528" t="str">
        <f>IFERROR(__xludf.DUMMYFUNCTION("""COMPUTED_VALUE"""),"Шаповалова Юлия")</f>
        <v>Шаповалова Юлия</v>
      </c>
      <c r="F472" s="535" t="str">
        <f>IFERROR(__xludf.DUMMYFUNCTION("""COMPUTED_VALUE"""),"Новая")</f>
        <v>Новая</v>
      </c>
      <c r="G472" s="536" t="str">
        <f>IFERROR(__xludf.DUMMYFUNCTION("""COMPUTED_VALUE"""),"70*70")</f>
        <v>70*70</v>
      </c>
      <c r="H472" s="338" t="str">
        <f>IFERROR(__xludf.DUMMYFUNCTION("""COMPUTED_VALUE"""),"Флексопечать")</f>
        <v>Флексопечать</v>
      </c>
      <c r="I472" s="338" t="str">
        <f>IFERROR(__xludf.DUMMYFUNCTION("""COMPUTED_VALUE"""),"Bg-330")</f>
        <v>Bg-330</v>
      </c>
      <c r="J472" s="536" t="str">
        <f>IFERROR(__xludf.DUMMYFUNCTION("""COMPUTED_VALUE"""),"30 000")</f>
        <v>30 000</v>
      </c>
      <c r="K472" s="537">
        <f>IFERROR(__xludf.DUMMYFUNCTION("""COMPUTED_VALUE"""),46195.0)</f>
        <v>46195</v>
      </c>
      <c r="L472" s="537"/>
      <c r="M472" s="338" t="str">
        <f>IFERROR(__xludf.DUMMYFUNCTION("""COMPUTED_VALUE"""),"Бумага полуглянец каучук")</f>
        <v>Бумага полуглянец каучук</v>
      </c>
      <c r="N472" s="338" t="str">
        <f>IFERROR(__xludf.DUMMYFUNCTION("""COMPUTED_VALUE"""),"Отгружен")</f>
        <v>Отгружен</v>
      </c>
      <c r="O472" s="537">
        <f>IFERROR(__xludf.DUMMYFUNCTION("""COMPUTED_VALUE"""),46201.0)</f>
        <v>46201</v>
      </c>
      <c r="P472" s="338"/>
      <c r="Q472" s="338" t="str">
        <f>IFERROR(__xludf.DUMMYFUNCTION("""COMPUTED_VALUE"""),"Московская область, город Ивантеевка улица хлебозаводская д. 39а, Кафе пекарня ""Булочка"" Дмитрий 89099051505")</f>
        <v>Московская область, город Ивантеевка улица хлебозаводская д. 39а, Кафе пекарня "Булочка" Дмитрий 89099051505</v>
      </c>
      <c r="R472" s="338"/>
      <c r="S472" s="338"/>
      <c r="T472" s="338"/>
      <c r="U472" s="338"/>
      <c r="V472" s="338"/>
      <c r="W472" s="338"/>
      <c r="X472" s="338"/>
      <c r="Y472" s="338"/>
      <c r="Z472" s="338"/>
    </row>
    <row r="473" ht="22.5" customHeight="1">
      <c r="A473" s="528" t="str">
        <f>IFERROR(__xludf.DUMMYFUNCTION("""COMPUTED_VALUE"""),"ИП Демидов")</f>
        <v>ИП Демидов</v>
      </c>
      <c r="B473" s="528"/>
      <c r="C473" s="528" t="str">
        <f>IFERROR(__xludf.DUMMYFUNCTION("""COMPUTED_VALUE"""),"Этикетка Дендробена ЗЕЛЕНАЯ-XL")</f>
        <v>Этикетка Дендробена ЗЕЛЕНАЯ-XL</v>
      </c>
      <c r="D473" s="528">
        <f>IFERROR(__xludf.DUMMYFUNCTION("""COMPUTED_VALUE"""),3315.0)</f>
        <v>3315</v>
      </c>
      <c r="E473" s="528" t="str">
        <f>IFERROR(__xludf.DUMMYFUNCTION("""COMPUTED_VALUE"""),"Шаповалова Юлия")</f>
        <v>Шаповалова Юлия</v>
      </c>
      <c r="F473" s="535" t="str">
        <f>IFERROR(__xludf.DUMMYFUNCTION("""COMPUTED_VALUE"""),"Новая")</f>
        <v>Новая</v>
      </c>
      <c r="G473" s="536" t="str">
        <f>IFERROR(__xludf.DUMMYFUNCTION("""COMPUTED_VALUE"""),"70*70")</f>
        <v>70*70</v>
      </c>
      <c r="H473" s="338" t="str">
        <f>IFERROR(__xludf.DUMMYFUNCTION("""COMPUTED_VALUE"""),"Флексопечать")</f>
        <v>Флексопечать</v>
      </c>
      <c r="I473" s="338" t="str">
        <f>IFERROR(__xludf.DUMMYFUNCTION("""COMPUTED_VALUE"""),"Bg-330")</f>
        <v>Bg-330</v>
      </c>
      <c r="J473" s="536" t="str">
        <f>IFERROR(__xludf.DUMMYFUNCTION("""COMPUTED_VALUE"""),"30 000")</f>
        <v>30 000</v>
      </c>
      <c r="K473" s="537">
        <f>IFERROR(__xludf.DUMMYFUNCTION("""COMPUTED_VALUE"""),46195.0)</f>
        <v>46195</v>
      </c>
      <c r="L473" s="537"/>
      <c r="M473" s="338" t="str">
        <f>IFERROR(__xludf.DUMMYFUNCTION("""COMPUTED_VALUE"""),"Бумага полуглянец каучук")</f>
        <v>Бумага полуглянец каучук</v>
      </c>
      <c r="N473" s="338" t="str">
        <f>IFERROR(__xludf.DUMMYFUNCTION("""COMPUTED_VALUE"""),"Отгружен")</f>
        <v>Отгружен</v>
      </c>
      <c r="O473" s="537">
        <f>IFERROR(__xludf.DUMMYFUNCTION("""COMPUTED_VALUE"""),46201.0)</f>
        <v>46201</v>
      </c>
      <c r="P473" s="338"/>
      <c r="Q473" s="338" t="str">
        <f>IFERROR(__xludf.DUMMYFUNCTION("""COMPUTED_VALUE"""),"Московская область, город Ивантеевка улица хлебозаводская д. 39а, Кафе пекарня ""Булочка""")</f>
        <v>Московская область, город Ивантеевка улица хлебозаводская д. 39а, Кафе пекарня "Булочка"</v>
      </c>
      <c r="R473" s="338"/>
      <c r="S473" s="338"/>
      <c r="T473" s="338"/>
      <c r="U473" s="338"/>
      <c r="V473" s="338"/>
      <c r="W473" s="338"/>
      <c r="X473" s="338"/>
      <c r="Y473" s="338"/>
      <c r="Z473" s="338"/>
    </row>
    <row r="474" ht="22.5" customHeight="1">
      <c r="A474" s="528" t="str">
        <f>IFERROR(__xludf.DUMMYFUNCTION("""COMPUTED_VALUE"""),"ООО РБЕ")</f>
        <v>ООО РБЕ</v>
      </c>
      <c r="B474" s="528"/>
      <c r="C474" s="528" t="str">
        <f>IFERROR(__xludf.DUMMYFUNCTION("""COMPUTED_VALUE"""),"Комплект стикеров (1743шт)")</f>
        <v>Комплект стикеров (1743шт)</v>
      </c>
      <c r="D474" s="528" t="str">
        <f>IFERROR(__xludf.DUMMYFUNCTION("""COMPUTED_VALUE"""),"3198/3199")</f>
        <v>3198/3199</v>
      </c>
      <c r="E474" s="528" t="str">
        <f>IFERROR(__xludf.DUMMYFUNCTION("""COMPUTED_VALUE"""),"Римма Лукина")</f>
        <v>Римма Лукина</v>
      </c>
      <c r="F474" s="535" t="str">
        <f>IFERROR(__xludf.DUMMYFUNCTION("""COMPUTED_VALUE"""),"Новая")</f>
        <v>Новая</v>
      </c>
      <c r="G474" s="536" t="str">
        <f>IFERROR(__xludf.DUMMYFUNCTION("""COMPUTED_VALUE"""),"ассортимент")</f>
        <v>ассортимент</v>
      </c>
      <c r="H474" s="338" t="str">
        <f>IFERROR(__xludf.DUMMYFUNCTION("""COMPUTED_VALUE"""),"Цифра+Полуротация")</f>
        <v>Цифра+Полуротация</v>
      </c>
      <c r="I474" s="338" t="str">
        <f>IFERROR(__xludf.DUMMYFUNCTION("""COMPUTED_VALUE"""),"LS(ЦПМ)")</f>
        <v>LS(ЦПМ)</v>
      </c>
      <c r="J474" s="536" t="str">
        <f>IFERROR(__xludf.DUMMYFUNCTION("""COMPUTED_VALUE"""),"7комплектов")</f>
        <v>7комплектов</v>
      </c>
      <c r="K474" s="537">
        <f>IFERROR(__xludf.DUMMYFUNCTION("""COMPUTED_VALUE"""),46190.0)</f>
        <v>46190</v>
      </c>
      <c r="L474" s="537"/>
      <c r="M474" s="338" t="str">
        <f>IFERROR(__xludf.DUMMYFUNCTION("""COMPUTED_VALUE"""),"Пленка PP белая акрил")</f>
        <v>Пленка PP белая акрил</v>
      </c>
      <c r="N474" s="338" t="str">
        <f>IFERROR(__xludf.DUMMYFUNCTION("""COMPUTED_VALUE"""),"Отгружен")</f>
        <v>Отгружен</v>
      </c>
      <c r="O474" s="537"/>
      <c r="P474" s="338" t="str">
        <f>IFERROR(__xludf.DUMMYFUNCTION("""COMPUTED_VALUE"""),"ламинация не на все стикеры!!!  упаковывать по комплектам ")</f>
        <v>ламинация не на все стикеры!!!  упаковывать по комплектам </v>
      </c>
      <c r="Q474" s="338" t="str">
        <f>IFERROR(__xludf.DUMMYFUNCTION("""COMPUTED_VALUE"""),"Москва, Якиманский переулок д. 6 стр.1
С 10.00 до 16.00
Получатель: 89152248398 Инна")</f>
        <v>Москва, Якиманский переулок д. 6 стр.1
С 10.00 до 16.00
Получатель: 89152248398 Инна</v>
      </c>
      <c r="R474" s="338"/>
      <c r="S474" s="338"/>
      <c r="T474" s="338"/>
      <c r="U474" s="338"/>
      <c r="V474" s="338"/>
      <c r="W474" s="338"/>
      <c r="X474" s="338"/>
      <c r="Y474" s="338"/>
      <c r="Z474" s="338"/>
    </row>
    <row r="475" ht="22.5" customHeight="1">
      <c r="A475" s="528" t="str">
        <f>IFERROR(__xludf.DUMMYFUNCTION("""COMPUTED_VALUE"""),"ООО ""ПРЕДПРИЯТИЕ ""ФЭСТ""")</f>
        <v>ООО "ПРЕДПРИЯТИЕ "ФЭСТ"</v>
      </c>
      <c r="B475" s="528"/>
      <c r="C475" s="528" t="str">
        <f>IFERROR(__xludf.DUMMYFUNCTION("""COMPUTED_VALUE"""),"Этикетка ""Аптечка у водителя""")</f>
        <v>Этикетка "Аптечка у водителя"</v>
      </c>
      <c r="D475" s="528">
        <f>IFERROR(__xludf.DUMMYFUNCTION("""COMPUTED_VALUE"""),3320.0)</f>
        <v>3320</v>
      </c>
      <c r="E475" s="528" t="str">
        <f>IFERROR(__xludf.DUMMYFUNCTION("""COMPUTED_VALUE"""),"Баранов Александр")</f>
        <v>Баранов Александр</v>
      </c>
      <c r="F475" s="535" t="str">
        <f>IFERROR(__xludf.DUMMYFUNCTION("""COMPUTED_VALUE"""),"Повтор")</f>
        <v>Повтор</v>
      </c>
      <c r="G475" s="536" t="str">
        <f>IFERROR(__xludf.DUMMYFUNCTION("""COMPUTED_VALUE"""),"70*99")</f>
        <v>70*99</v>
      </c>
      <c r="H475" s="338" t="str">
        <f>IFERROR(__xludf.DUMMYFUNCTION("""COMPUTED_VALUE"""),"Флексопечать")</f>
        <v>Флексопечать</v>
      </c>
      <c r="I475" s="338" t="str">
        <f>IFERROR(__xludf.DUMMYFUNCTION("""COMPUTED_VALUE"""),"Bg-330")</f>
        <v>Bg-330</v>
      </c>
      <c r="J475" s="536">
        <f>IFERROR(__xludf.DUMMYFUNCTION("""COMPUTED_VALUE"""),50000.0)</f>
        <v>50000</v>
      </c>
      <c r="K475" s="537">
        <f>IFERROR(__xludf.DUMMYFUNCTION("""COMPUTED_VALUE"""),46197.0)</f>
        <v>46197</v>
      </c>
      <c r="L475" s="537"/>
      <c r="M475" s="338" t="str">
        <f>IFERROR(__xludf.DUMMYFUNCTION("""COMPUTED_VALUE"""),"Пленка PP белая акрил")</f>
        <v>Пленка PP белая акрил</v>
      </c>
      <c r="N475" s="338" t="str">
        <f>IFERROR(__xludf.DUMMYFUNCTION("""COMPUTED_VALUE"""),"Отгружен")</f>
        <v>Отгружен</v>
      </c>
      <c r="O475" s="537"/>
      <c r="P475" s="338" t="str">
        <f>IFERROR(__xludf.DUMMYFUNCTION("""COMPUTED_VALUE"""),"ОБРАТИТЬ ВНИМАНИЕ НА КРАСНЫЙ ПАНТОН , ОЧЕНЬ ВАЖНО")</f>
        <v>ОБРАТИТЬ ВНИМАНИЕ НА КРАСНЫЙ ПАНТОН , ОЧЕНЬ ВАЖНО</v>
      </c>
      <c r="Q475" s="338"/>
      <c r="R475" s="338"/>
      <c r="S475" s="338"/>
      <c r="T475" s="338"/>
      <c r="U475" s="338"/>
      <c r="V475" s="338"/>
      <c r="W475" s="338"/>
      <c r="X475" s="338"/>
      <c r="Y475" s="338"/>
      <c r="Z475" s="338"/>
    </row>
    <row r="476" ht="22.5" customHeight="1">
      <c r="A476" s="528" t="str">
        <f>IFERROR(__xludf.DUMMYFUNCTION("""COMPUTED_VALUE"""),"КНАУФ")</f>
        <v>КНАУФ</v>
      </c>
      <c r="B476" s="528"/>
      <c r="C476" s="528" t="str">
        <f>IFERROR(__xludf.DUMMYFUNCTION("""COMPUTED_VALUE"""),"этикетка ПРОФИЛЬ ПОТОЛОЧНЫЙ НАПРАВЛЯЮЩИЙ ,  этикетка ПРОФИЛЬ ПОТОЛОЧНЫЙ")</f>
        <v>этикетка ПРОФИЛЬ ПОТОЛОЧНЫЙ НАПРАВЛЯЮЩИЙ ,  этикетка ПРОФИЛЬ ПОТОЛОЧНЫЙ</v>
      </c>
      <c r="D476" s="528" t="str">
        <f>IFERROR(__xludf.DUMMYFUNCTION("""COMPUTED_VALUE"""),"3278/3279")</f>
        <v>3278/3279</v>
      </c>
      <c r="E476" s="528" t="str">
        <f>IFERROR(__xludf.DUMMYFUNCTION("""COMPUTED_VALUE"""),"Баранов Александр")</f>
        <v>Баранов Александр</v>
      </c>
      <c r="F476" s="535" t="str">
        <f>IFERROR(__xludf.DUMMYFUNCTION("""COMPUTED_VALUE"""),"ТЕСТ")</f>
        <v>ТЕСТ</v>
      </c>
      <c r="G476" s="536" t="str">
        <f>IFERROR(__xludf.DUMMYFUNCTION("""COMPUTED_VALUE"""),"22*68")</f>
        <v>22*68</v>
      </c>
      <c r="H476" s="338" t="str">
        <f>IFERROR(__xludf.DUMMYFUNCTION("""COMPUTED_VALUE"""),"Флексопечать")</f>
        <v>Флексопечать</v>
      </c>
      <c r="I476" s="338" t="str">
        <f>IFERROR(__xludf.DUMMYFUNCTION("""COMPUTED_VALUE"""),"Wg-450")</f>
        <v>Wg-450</v>
      </c>
      <c r="J476" s="539">
        <f>IFERROR(__xludf.DUMMYFUNCTION("""COMPUTED_VALUE"""),767042.0)</f>
        <v>767042</v>
      </c>
      <c r="K476" s="537">
        <f>IFERROR(__xludf.DUMMYFUNCTION("""COMPUTED_VALUE"""),46192.0)</f>
        <v>46192</v>
      </c>
      <c r="L476" s="537"/>
      <c r="M476" s="338" t="str">
        <f>IFERROR(__xludf.DUMMYFUNCTION("""COMPUTED_VALUE"""),"Бумага полуглянец каучук")</f>
        <v>Бумага полуглянец каучук</v>
      </c>
      <c r="N476" s="338" t="str">
        <f>IFERROR(__xludf.DUMMYFUNCTION("""COMPUTED_VALUE"""),"Отгружен")</f>
        <v>Отгружен</v>
      </c>
      <c r="O476" s="537"/>
      <c r="P476" s="338" t="str">
        <f>IFERROR(__xludf.DUMMYFUNCTION("""COMPUTED_VALUE"""),"НАПЕЧАТАТЬ  2 ВИДА НА РАЗНЫХ ПОСТАВЩИКАХ не должно быть просечек на материале , КЛЕЙ ДОЛЖЕН БЫТЬ ОЧЕНЬ ЛИПКИЙ")</f>
        <v>НАПЕЧАТАТЬ  2 ВИДА НА РАЗНЫХ ПОСТАВЩИКАХ не должно быть просечек на материале , КЛЕЙ ДОЛЖЕН БЫТЬ ОЧЕНЬ ЛИПКИЙ</v>
      </c>
      <c r="Q476" s="338"/>
      <c r="R476" s="338"/>
      <c r="S476" s="338"/>
      <c r="T476" s="338"/>
      <c r="U476" s="338"/>
      <c r="V476" s="338"/>
      <c r="W476" s="338"/>
      <c r="X476" s="338"/>
      <c r="Y476" s="338"/>
      <c r="Z476" s="338"/>
    </row>
    <row r="477" ht="22.5" customHeight="1">
      <c r="A477" s="528" t="str">
        <f>IFERROR(__xludf.DUMMYFUNCTION("""COMPUTED_VALUE"""),"ООО ""ПРЕДПРИЯТИЕ ""ФЭСТ""")</f>
        <v>ООО "ПРЕДПРИЯТИЕ "ФЭСТ"</v>
      </c>
      <c r="B477" s="528"/>
      <c r="C477" s="528" t="str">
        <f>IFERROR(__xludf.DUMMYFUNCTION("""COMPUTED_VALUE"""),"Этикетка Зеленый Крест размер 82*108 мм")</f>
        <v>Этикетка Зеленый Крест размер 82*108 мм</v>
      </c>
      <c r="D477" s="528">
        <f>IFERROR(__xludf.DUMMYFUNCTION("""COMPUTED_VALUE"""),3321.0)</f>
        <v>3321</v>
      </c>
      <c r="E477" s="528" t="str">
        <f>IFERROR(__xludf.DUMMYFUNCTION("""COMPUTED_VALUE"""),"Баранов Александр")</f>
        <v>Баранов Александр</v>
      </c>
      <c r="F477" s="535" t="str">
        <f>IFERROR(__xludf.DUMMYFUNCTION("""COMPUTED_VALUE"""),"Повтор")</f>
        <v>Повтор</v>
      </c>
      <c r="G477" s="536" t="str">
        <f>IFERROR(__xludf.DUMMYFUNCTION("""COMPUTED_VALUE"""),"82*102")</f>
        <v>82*102</v>
      </c>
      <c r="H477" s="338" t="str">
        <f>IFERROR(__xludf.DUMMYFUNCTION("""COMPUTED_VALUE"""),"Флексопечать")</f>
        <v>Флексопечать</v>
      </c>
      <c r="I477" s="338" t="str">
        <f>IFERROR(__xludf.DUMMYFUNCTION("""COMPUTED_VALUE"""),"Bg-330")</f>
        <v>Bg-330</v>
      </c>
      <c r="J477" s="536">
        <f>IFERROR(__xludf.DUMMYFUNCTION("""COMPUTED_VALUE"""),50000.0)</f>
        <v>50000</v>
      </c>
      <c r="K477" s="537">
        <f>IFERROR(__xludf.DUMMYFUNCTION("""COMPUTED_VALUE"""),46197.0)</f>
        <v>46197</v>
      </c>
      <c r="L477" s="537"/>
      <c r="M477" s="338" t="str">
        <f>IFERROR(__xludf.DUMMYFUNCTION("""COMPUTED_VALUE"""),"Бумага полуглянец каучук")</f>
        <v>Бумага полуглянец каучук</v>
      </c>
      <c r="N477" s="338" t="str">
        <f>IFERROR(__xludf.DUMMYFUNCTION("""COMPUTED_VALUE"""),"Отгружен")</f>
        <v>Отгружен</v>
      </c>
      <c r="O477" s="537"/>
      <c r="P477" s="338"/>
      <c r="Q477" s="338"/>
      <c r="R477" s="338"/>
      <c r="S477" s="338"/>
      <c r="T477" s="338"/>
      <c r="U477" s="338"/>
      <c r="V477" s="338"/>
      <c r="W477" s="338"/>
      <c r="X477" s="338"/>
      <c r="Y477" s="338"/>
      <c r="Z477" s="338"/>
    </row>
    <row r="478" ht="22.5" customHeight="1">
      <c r="A478" s="528" t="str">
        <f>IFERROR(__xludf.DUMMYFUNCTION("""COMPUTED_VALUE"""),"Кейтеринг Технолоджи")</f>
        <v>Кейтеринг Технолоджи</v>
      </c>
      <c r="B478" s="528"/>
      <c r="C478" s="528" t="str">
        <f>IFERROR(__xludf.DUMMYFUNCTION("""COMPUTED_VALUE"""),"ТермоТоп Голубой")</f>
        <v>ТермоТоп Голубой</v>
      </c>
      <c r="D478" s="528">
        <f>IFERROR(__xludf.DUMMYFUNCTION("""COMPUTED_VALUE"""),3344.0)</f>
        <v>3344</v>
      </c>
      <c r="E478" s="528" t="str">
        <f>IFERROR(__xludf.DUMMYFUNCTION("""COMPUTED_VALUE"""),"Татьяна Денисова")</f>
        <v>Татьяна Денисова</v>
      </c>
      <c r="F478" s="535" t="str">
        <f>IFERROR(__xludf.DUMMYFUNCTION("""COMPUTED_VALUE"""),"Новая")</f>
        <v>Новая</v>
      </c>
      <c r="G478" s="536" t="str">
        <f>IFERROR(__xludf.DUMMYFUNCTION("""COMPUTED_VALUE"""),"70*80")</f>
        <v>70*80</v>
      </c>
      <c r="H478" s="338" t="str">
        <f>IFERROR(__xludf.DUMMYFUNCTION("""COMPUTED_VALUE"""),"Флексопечать")</f>
        <v>Флексопечать</v>
      </c>
      <c r="I478" s="338" t="str">
        <f>IFERROR(__xludf.DUMMYFUNCTION("""COMPUTED_VALUE"""),"Bg-330")</f>
        <v>Bg-330</v>
      </c>
      <c r="J478" s="536">
        <f>IFERROR(__xludf.DUMMYFUNCTION("""COMPUTED_VALUE"""),10000.0)</f>
        <v>10000</v>
      </c>
      <c r="K478" s="537">
        <f>IFERROR(__xludf.DUMMYFUNCTION("""COMPUTED_VALUE"""),46198.0)</f>
        <v>46198</v>
      </c>
      <c r="L478" s="537"/>
      <c r="M478" s="338" t="str">
        <f>IFERROR(__xludf.DUMMYFUNCTION("""COMPUTED_VALUE"""),"Термо Топ")</f>
        <v>Термо Топ</v>
      </c>
      <c r="N478" s="338" t="str">
        <f>IFERROR(__xludf.DUMMYFUNCTION("""COMPUTED_VALUE"""),"Отгружен")</f>
        <v>Отгружен</v>
      </c>
      <c r="O478" s="338" t="str">
        <f>IFERROR(__xludf.DUMMYFUNCTION("""COMPUTED_VALUE"""),"ЗАКАЗ СРОЧНЫЙ! СДАЧА ПЯТНИЦА, МАКСИМУМ СУББОТА!!!!!")</f>
        <v>ЗАКАЗ СРОЧНЫЙ! СДАЧА ПЯТНИЦА, МАКСИМУМ СУББОТА!!!!!</v>
      </c>
      <c r="P478" s="338" t="str">
        <f>IFERROR(__xludf.DUMMYFUNCTION("""COMPUTED_VALUE"""),"Втулка 40. ЗАКАЗ СРОЧНЫЙ! СДАЧА ПЯТНИЦА, МАКСИМУМ СУББОТА!!!!!")</f>
        <v>Втулка 40. ЗАКАЗ СРОЧНЫЙ! СДАЧА ПЯТНИЦА, МАКСИМУМ СУББОТА!!!!!</v>
      </c>
      <c r="Q478" s="338" t="str">
        <f>IFERROR(__xludf.DUMMYFUNCTION("""COMPUTED_VALUE"""),"Проезд Фрезер , дом 2, Стр 13
Позвонить за 30 мин по тел 8(925)724-74-37 заказать пропуск на въезд")</f>
        <v>Проезд Фрезер , дом 2, Стр 13
Позвонить за 30 мин по тел 8(925)724-74-37 заказать пропуск на въезд</v>
      </c>
      <c r="R478" s="338"/>
      <c r="S478" s="338"/>
      <c r="T478" s="338"/>
      <c r="U478" s="338"/>
      <c r="V478" s="338"/>
      <c r="W478" s="338"/>
      <c r="X478" s="338"/>
      <c r="Y478" s="338"/>
      <c r="Z478" s="338"/>
    </row>
    <row r="479" ht="22.5" customHeight="1">
      <c r="A479" s="528" t="str">
        <f>IFERROR(__xludf.DUMMYFUNCTION("""COMPUTED_VALUE"""),"Кейтеринг Технолоджи")</f>
        <v>Кейтеринг Технолоджи</v>
      </c>
      <c r="B479" s="528"/>
      <c r="C479" s="528" t="str">
        <f>IFERROR(__xludf.DUMMYFUNCTION("""COMPUTED_VALUE"""),"Салат из фасоли ""Киркаш"" Цифра")</f>
        <v>Салат из фасоли "Киркаш" Цифра</v>
      </c>
      <c r="D479" s="528"/>
      <c r="E479" s="528" t="str">
        <f>IFERROR(__xludf.DUMMYFUNCTION("""COMPUTED_VALUE"""),"Татьяна Денисова")</f>
        <v>Татьяна Денисова</v>
      </c>
      <c r="F479" s="535" t="str">
        <f>IFERROR(__xludf.DUMMYFUNCTION("""COMPUTED_VALUE"""),"Новая")</f>
        <v>Новая</v>
      </c>
      <c r="G479" s="536" t="str">
        <f>IFERROR(__xludf.DUMMYFUNCTION("""COMPUTED_VALUE"""),"50*250")</f>
        <v>50*250</v>
      </c>
      <c r="H479" s="338" t="str">
        <f>IFERROR(__xludf.DUMMYFUNCTION("""COMPUTED_VALUE"""),"Цифра+Полуротация")</f>
        <v>Цифра+Полуротация</v>
      </c>
      <c r="I479" s="338" t="str">
        <f>IFERROR(__xludf.DUMMYFUNCTION("""COMPUTED_VALUE"""),"LS(ЦПМ)")</f>
        <v>LS(ЦПМ)</v>
      </c>
      <c r="J479" s="536">
        <f>IFERROR(__xludf.DUMMYFUNCTION("""COMPUTED_VALUE"""),4000.0)</f>
        <v>4000</v>
      </c>
      <c r="K479" s="537">
        <f>IFERROR(__xludf.DUMMYFUNCTION("""COMPUTED_VALUE"""),46192.0)</f>
        <v>46192</v>
      </c>
      <c r="L479" s="537"/>
      <c r="M479" s="338" t="str">
        <f>IFERROR(__xludf.DUMMYFUNCTION("""COMPUTED_VALUE"""),"Термо Топ")</f>
        <v>Термо Топ</v>
      </c>
      <c r="N479" s="338" t="str">
        <f>IFERROR(__xludf.DUMMYFUNCTION("""COMPUTED_VALUE"""),"Отгружен")</f>
        <v>Отгружен</v>
      </c>
      <c r="O479" s="537"/>
      <c r="P479" s="338"/>
      <c r="Q479" s="338" t="str">
        <f>IFERROR(__xludf.DUMMYFUNCTION("""COMPUTED_VALUE"""),"Проезд Фрезер , дом 2, Стр 13
Позвонить за 30 мин по тел 8(925)724-74-37 заказать пропуск на въезд")</f>
        <v>Проезд Фрезер , дом 2, Стр 13
Позвонить за 30 мин по тел 8(925)724-74-37 заказать пропуск на въезд</v>
      </c>
      <c r="R479" s="338"/>
      <c r="S479" s="338"/>
      <c r="T479" s="338"/>
      <c r="U479" s="338"/>
      <c r="V479" s="338"/>
      <c r="W479" s="338"/>
      <c r="X479" s="338"/>
      <c r="Y479" s="338"/>
      <c r="Z479" s="338"/>
    </row>
    <row r="480" ht="22.5" customHeight="1">
      <c r="A480" s="528" t="str">
        <f>IFERROR(__xludf.DUMMYFUNCTION("""COMPUTED_VALUE"""),"ООО""ФерЭльГам""")</f>
        <v>ООО"ФерЭльГам"</v>
      </c>
      <c r="B480" s="528"/>
      <c r="C480" s="528" t="str">
        <f>IFERROR(__xludf.DUMMYFUNCTION("""COMPUTED_VALUE"""),"450356 Хренодер классический 400 г (Дикси) этик.")</f>
        <v>450356 Хренодер классический 400 г (Дикси) этик.</v>
      </c>
      <c r="D480" s="528">
        <f>IFERROR(__xludf.DUMMYFUNCTION("""COMPUTED_VALUE"""),3352.0)</f>
        <v>3352</v>
      </c>
      <c r="E480" s="528" t="str">
        <f>IFERROR(__xludf.DUMMYFUNCTION("""COMPUTED_VALUE"""),"Баранов Александр")</f>
        <v>Баранов Александр</v>
      </c>
      <c r="F480" s="535" t="str">
        <f>IFERROR(__xludf.DUMMYFUNCTION("""COMPUTED_VALUE"""),"Новая")</f>
        <v>Новая</v>
      </c>
      <c r="G480" s="536" t="str">
        <f>IFERROR(__xludf.DUMMYFUNCTION("""COMPUTED_VALUE"""),"65x180")</f>
        <v>65x180</v>
      </c>
      <c r="H480" s="338" t="str">
        <f>IFERROR(__xludf.DUMMYFUNCTION("""COMPUTED_VALUE"""),"Флексопечать")</f>
        <v>Флексопечать</v>
      </c>
      <c r="I480" s="338" t="str">
        <f>IFERROR(__xludf.DUMMYFUNCTION("""COMPUTED_VALUE"""),"Wg-450")</f>
        <v>Wg-450</v>
      </c>
      <c r="J480" s="536">
        <f>IFERROR(__xludf.DUMMYFUNCTION("""COMPUTED_VALUE"""),20000.0)</f>
        <v>20000</v>
      </c>
      <c r="K480" s="537">
        <f>IFERROR(__xludf.DUMMYFUNCTION("""COMPUTED_VALUE"""),46185.0)</f>
        <v>46185</v>
      </c>
      <c r="L480" s="537"/>
      <c r="M480" s="338" t="str">
        <f>IFERROR(__xludf.DUMMYFUNCTION("""COMPUTED_VALUE"""),"Пленка PP белая акрил")</f>
        <v>Пленка PP белая акрил</v>
      </c>
      <c r="N480" s="338" t="str">
        <f>IFERROR(__xludf.DUMMYFUNCTION("""COMPUTED_VALUE"""),"Отгружен")</f>
        <v>Отгружен</v>
      </c>
      <c r="O480" s="537"/>
      <c r="P480" s="338">
        <f>IFERROR(__xludf.DUMMYFUNCTION("""COMPUTED_VALUE"""),4.0)</f>
        <v>4</v>
      </c>
      <c r="Q480" s="338"/>
      <c r="R480" s="338"/>
      <c r="S480" s="338"/>
      <c r="T480" s="338"/>
      <c r="U480" s="338"/>
      <c r="V480" s="338"/>
      <c r="W480" s="338"/>
      <c r="X480" s="338"/>
      <c r="Y480" s="338"/>
      <c r="Z480" s="338"/>
    </row>
    <row r="481" ht="22.5" customHeight="1">
      <c r="A481" s="528" t="str">
        <f>IFERROR(__xludf.DUMMYFUNCTION("""COMPUTED_VALUE"""),"Кофе ТВ")</f>
        <v>Кофе ТВ</v>
      </c>
      <c r="B481" s="528"/>
      <c r="C481" s="528" t="str">
        <f>IFERROR(__xludf.DUMMYFUNCTION("""COMPUTED_VALUE"""),"Многоразовая застежка для пакета")</f>
        <v>Многоразовая застежка для пакета</v>
      </c>
      <c r="D481" s="528">
        <f>IFERROR(__xludf.DUMMYFUNCTION("""COMPUTED_VALUE"""),3353.0)</f>
        <v>3353</v>
      </c>
      <c r="E481" s="528" t="str">
        <f>IFERROR(__xludf.DUMMYFUNCTION("""COMPUTED_VALUE"""),"Татьяна Денисова")</f>
        <v>Татьяна Денисова</v>
      </c>
      <c r="F481" s="535" t="str">
        <f>IFERROR(__xludf.DUMMYFUNCTION("""COMPUTED_VALUE"""),"Новая")</f>
        <v>Новая</v>
      </c>
      <c r="G481" s="536" t="str">
        <f>IFERROR(__xludf.DUMMYFUNCTION("""COMPUTED_VALUE"""),"58*30")</f>
        <v>58*30</v>
      </c>
      <c r="H481" s="338" t="str">
        <f>IFERROR(__xludf.DUMMYFUNCTION("""COMPUTED_VALUE"""),"Флексопечать")</f>
        <v>Флексопечать</v>
      </c>
      <c r="I481" s="338" t="str">
        <f>IFERROR(__xludf.DUMMYFUNCTION("""COMPUTED_VALUE"""),"Bg-330")</f>
        <v>Bg-330</v>
      </c>
      <c r="J481" s="536">
        <f>IFERROR(__xludf.DUMMYFUNCTION("""COMPUTED_VALUE"""),100000.0)</f>
        <v>100000</v>
      </c>
      <c r="K481" s="537">
        <f>IFERROR(__xludf.DUMMYFUNCTION("""COMPUTED_VALUE"""),46197.0)</f>
        <v>46197</v>
      </c>
      <c r="L481" s="537"/>
      <c r="M481" s="338" t="str">
        <f>IFERROR(__xludf.DUMMYFUNCTION("""COMPUTED_VALUE"""),"Пленка PP белая акрил")</f>
        <v>Пленка PP белая акрил</v>
      </c>
      <c r="N481" s="338" t="str">
        <f>IFERROR(__xludf.DUMMYFUNCTION("""COMPUTED_VALUE"""),"Отгружен")</f>
        <v>Отгружен</v>
      </c>
      <c r="O481" s="537"/>
      <c r="P481" s="338"/>
      <c r="Q481" s="338" t="str">
        <f>IFERROR(__xludf.DUMMYFUNCTION("""COMPUTED_VALUE"""),"г. Домодедово, деревня Шишкино, 49с1
Часы работы: с 9:30 до 19:00, каждый день
Контактное лицо: +7(999)145-40-73 Виктория
Точка на карте: https://yandex.ru/maps/-/CLCgyO7H (зеленый забор с табличкой Торрефакто)")</f>
        <v>г. Домодедово, деревня Шишкино, 49с1
Часы работы: с 9:30 до 19:00, каждый день
Контактное лицо: +7(999)145-40-73 Виктория
Точка на карте: https://yandex.ru/maps/-/CLCgyO7H (зеленый забор с табличкой Торрефакто)</v>
      </c>
      <c r="R481" s="338"/>
      <c r="S481" s="338"/>
      <c r="T481" s="338"/>
      <c r="U481" s="338"/>
      <c r="V481" s="338"/>
      <c r="W481" s="338"/>
      <c r="X481" s="338"/>
      <c r="Y481" s="338"/>
      <c r="Z481" s="338"/>
    </row>
    <row r="482" ht="22.5" customHeight="1">
      <c r="A482" s="528" t="str">
        <f>IFERROR(__xludf.DUMMYFUNCTION("""COMPUTED_VALUE"""),"Кофе ТВ")</f>
        <v>Кофе ТВ</v>
      </c>
      <c r="B482" s="528"/>
      <c r="C482" s="528" t="str">
        <f>IFERROR(__xludf.DUMMYFUNCTION("""COMPUTED_VALUE"""),"ТермоТоп Цветные")</f>
        <v>ТермоТоп Цветные</v>
      </c>
      <c r="D482" s="528">
        <f>IFERROR(__xludf.DUMMYFUNCTION("""COMPUTED_VALUE"""),3378.0)</f>
        <v>3378</v>
      </c>
      <c r="E482" s="528" t="str">
        <f>IFERROR(__xludf.DUMMYFUNCTION("""COMPUTED_VALUE"""),"Татьяна Денисова")</f>
        <v>Татьяна Денисова</v>
      </c>
      <c r="F482" s="535" t="str">
        <f>IFERROR(__xludf.DUMMYFUNCTION("""COMPUTED_VALUE"""),"Новая")</f>
        <v>Новая</v>
      </c>
      <c r="G482" s="536" t="str">
        <f>IFERROR(__xludf.DUMMYFUNCTION("""COMPUTED_VALUE"""),"100*53")</f>
        <v>100*53</v>
      </c>
      <c r="H482" s="338" t="str">
        <f>IFERROR(__xludf.DUMMYFUNCTION("""COMPUTED_VALUE"""),"Флексопечать")</f>
        <v>Флексопечать</v>
      </c>
      <c r="I482" s="338" t="str">
        <f>IFERROR(__xludf.DUMMYFUNCTION("""COMPUTED_VALUE"""),"Bg-330")</f>
        <v>Bg-330</v>
      </c>
      <c r="J482" s="536" t="str">
        <f>IFERROR(__xludf.DUMMYFUNCTION("""COMPUTED_VALUE"""),"3*105000")</f>
        <v>3*105000</v>
      </c>
      <c r="K482" s="537">
        <f>IFERROR(__xludf.DUMMYFUNCTION("""COMPUTED_VALUE"""),46198.0)</f>
        <v>46198</v>
      </c>
      <c r="L482" s="537"/>
      <c r="M482" s="338" t="str">
        <f>IFERROR(__xludf.DUMMYFUNCTION("""COMPUTED_VALUE"""),"Термо Топ")</f>
        <v>Термо Топ</v>
      </c>
      <c r="N482" s="338" t="str">
        <f>IFERROR(__xludf.DUMMYFUNCTION("""COMPUTED_VALUE"""),"Отгружен")</f>
        <v>Отгружен</v>
      </c>
      <c r="O482" s="537"/>
      <c r="P482" s="338"/>
      <c r="Q482" s="338" t="str">
        <f>IFERROR(__xludf.DUMMYFUNCTION("""COMPUTED_VALUE"""),"г. Домодедово, деревня Шишкино, 49с1
Часы работы: с 9:30 до 19:00, каждый день
Контактное лицо: +7(999)145-40-73 Виктория
Точка на карте: https://yandex.ru/maps/-/CLCgyO7H (зеленый забор с табличкой Торрефакто)")</f>
        <v>г. Домодедово, деревня Шишкино, 49с1
Часы работы: с 9:30 до 19:00, каждый день
Контактное лицо: +7(999)145-40-73 Виктория
Точка на карте: https://yandex.ru/maps/-/CLCgyO7H (зеленый забор с табличкой Торрефакто)</v>
      </c>
      <c r="R482" s="338"/>
      <c r="S482" s="338"/>
      <c r="T482" s="338"/>
      <c r="U482" s="338"/>
      <c r="V482" s="338"/>
      <c r="W482" s="338"/>
      <c r="X482" s="338"/>
      <c r="Y482" s="338"/>
      <c r="Z482" s="338"/>
    </row>
    <row r="483" ht="22.5" customHeight="1">
      <c r="A483" s="528" t="str">
        <f>IFERROR(__xludf.DUMMYFUNCTION("""COMPUTED_VALUE"""),"Калье")</f>
        <v>Калье</v>
      </c>
      <c r="B483" s="528"/>
      <c r="C483" s="528" t="str">
        <f>IFERROR(__xludf.DUMMYFUNCTION("""COMPUTED_VALUE"""),"Тест СофтТач лака Линейка ТачЛав/АдриЛав")</f>
        <v>Тест СофтТач лака Линейка ТачЛав/АдриЛав</v>
      </c>
      <c r="D483" s="528">
        <f>IFERROR(__xludf.DUMMYFUNCTION("""COMPUTED_VALUE"""),3379.0)</f>
        <v>3379</v>
      </c>
      <c r="E483" s="528" t="str">
        <f>IFERROR(__xludf.DUMMYFUNCTION("""COMPUTED_VALUE"""),"Татьяна Денисова")</f>
        <v>Татьяна Денисова</v>
      </c>
      <c r="F483" s="535" t="str">
        <f>IFERROR(__xludf.DUMMYFUNCTION("""COMPUTED_VALUE"""),"ТЕСТ")</f>
        <v>ТЕСТ</v>
      </c>
      <c r="G483" s="536" t="str">
        <f>IFERROR(__xludf.DUMMYFUNCTION("""COMPUTED_VALUE"""),"130*170")</f>
        <v>130*170</v>
      </c>
      <c r="H483" s="338" t="str">
        <f>IFERROR(__xludf.DUMMYFUNCTION("""COMPUTED_VALUE"""),"Цифра+Полуротация")</f>
        <v>Цифра+Полуротация</v>
      </c>
      <c r="I483" s="338" t="str">
        <f>IFERROR(__xludf.DUMMYFUNCTION("""COMPUTED_VALUE"""),"LS(ЦПМ)")</f>
        <v>LS(ЦПМ)</v>
      </c>
      <c r="J483" s="536" t="str">
        <f>IFERROR(__xludf.DUMMYFUNCTION("""COMPUTED_VALUE"""),"2*10")</f>
        <v>2*10</v>
      </c>
      <c r="K483" s="537">
        <f>IFERROR(__xludf.DUMMYFUNCTION("""COMPUTED_VALUE"""),46197.0)</f>
        <v>46197</v>
      </c>
      <c r="L483" s="537"/>
      <c r="M483" s="338" t="str">
        <f>IFERROR(__xludf.DUMMYFUNCTION("""COMPUTED_VALUE"""),"Пленка PP белая акрил")</f>
        <v>Пленка PP белая акрил</v>
      </c>
      <c r="N483" s="338" t="str">
        <f>IFERROR(__xludf.DUMMYFUNCTION("""COMPUTED_VALUE"""),"Отгружен")</f>
        <v>Отгружен</v>
      </c>
      <c r="O483" s="537"/>
      <c r="P483" s="338"/>
      <c r="Q483" s="338" t="str">
        <f>IFERROR(__xludf.DUMMYFUNCTION("""COMPUTED_VALUE"""),"Сама заказываю ТК")</f>
        <v>Сама заказываю ТК</v>
      </c>
      <c r="R483" s="338"/>
      <c r="S483" s="338"/>
      <c r="T483" s="338"/>
      <c r="U483" s="338"/>
      <c r="V483" s="338"/>
      <c r="W483" s="338"/>
      <c r="X483" s="338"/>
      <c r="Y483" s="338"/>
      <c r="Z483" s="338"/>
    </row>
    <row r="484" ht="22.5" customHeight="1">
      <c r="A484" s="528" t="str">
        <f>IFERROR(__xludf.DUMMYFUNCTION("""COMPUTED_VALUE"""),"ООО ""ПРЕДПРИЯТИЕ ""ФЭСТ""")</f>
        <v>ООО "ПРЕДПРИЯТИЕ "ФЭСТ"</v>
      </c>
      <c r="B484" s="528"/>
      <c r="C484" s="528" t="str">
        <f>IFERROR(__xludf.DUMMYFUNCTION("""COMPUTED_VALUE"""),"Этикетка Автомобильная ФЭСТ приказ 260н шк 9063 (кр фут)")</f>
        <v>Этикетка Автомобильная ФЭСТ приказ 260н шк 9063 (кр фут)</v>
      </c>
      <c r="D484" s="528">
        <f>IFERROR(__xludf.DUMMYFUNCTION("""COMPUTED_VALUE"""),3388.0)</f>
        <v>3388</v>
      </c>
      <c r="E484" s="528" t="str">
        <f>IFERROR(__xludf.DUMMYFUNCTION("""COMPUTED_VALUE"""),"Баранов Александр")</f>
        <v>Баранов Александр</v>
      </c>
      <c r="F484" s="535" t="str">
        <f>IFERROR(__xludf.DUMMYFUNCTION("""COMPUTED_VALUE"""),"Новая")</f>
        <v>Новая</v>
      </c>
      <c r="G484" s="536" t="str">
        <f>IFERROR(__xludf.DUMMYFUNCTION("""COMPUTED_VALUE"""),"120*165")</f>
        <v>120*165</v>
      </c>
      <c r="H484" s="338" t="str">
        <f>IFERROR(__xludf.DUMMYFUNCTION("""COMPUTED_VALUE"""),"Флексопечать")</f>
        <v>Флексопечать</v>
      </c>
      <c r="I484" s="338" t="str">
        <f>IFERROR(__xludf.DUMMYFUNCTION("""COMPUTED_VALUE"""),"Bg-330")</f>
        <v>Bg-330</v>
      </c>
      <c r="J484" s="536">
        <f>IFERROR(__xludf.DUMMYFUNCTION("""COMPUTED_VALUE"""),6150.0)</f>
        <v>6150</v>
      </c>
      <c r="K484" s="537">
        <f>IFERROR(__xludf.DUMMYFUNCTION("""COMPUTED_VALUE"""),46197.0)</f>
        <v>46197</v>
      </c>
      <c r="L484" s="537"/>
      <c r="M484" s="338" t="str">
        <f>IFERROR(__xludf.DUMMYFUNCTION("""COMPUTED_VALUE"""),"Бумага полуглянец каучук")</f>
        <v>Бумага полуглянец каучук</v>
      </c>
      <c r="N484" s="338" t="str">
        <f>IFERROR(__xludf.DUMMYFUNCTION("""COMPUTED_VALUE"""),"Отгружен")</f>
        <v>Отгружен</v>
      </c>
      <c r="O484" s="537"/>
      <c r="P484" s="338" t="str">
        <f>IFERROR(__xludf.DUMMYFUNCTION("""COMPUTED_VALUE"""),"ДЕЛАЕМ БЛАНК , ПОПАСТЬ В ЭТИКЕТКУ ОТ ЗАКАЗЧИКА , НАМОТКА 2050")</f>
        <v>ДЕЛАЕМ БЛАНК , ПОПАСТЬ В ЭТИКЕТКУ ОТ ЗАКАЗЧИКА , НАМОТКА 2050</v>
      </c>
      <c r="Q484" s="338"/>
      <c r="R484" s="338"/>
      <c r="S484" s="338"/>
      <c r="T484" s="338"/>
      <c r="U484" s="338"/>
      <c r="V484" s="338"/>
      <c r="W484" s="338"/>
      <c r="X484" s="338"/>
      <c r="Y484" s="338"/>
      <c r="Z484" s="338"/>
    </row>
    <row r="485" ht="22.5" customHeight="1">
      <c r="A485" s="528" t="str">
        <f>IFERROR(__xludf.DUMMYFUNCTION("""COMPUTED_VALUE"""),"ООО ОЗОН ВКУС")</f>
        <v>ООО ОЗОН ВКУС</v>
      </c>
      <c r="B485" s="528"/>
      <c r="C485" s="528" t="str">
        <f>IFERROR(__xludf.DUMMYFUNCTION("""COMPUTED_VALUE"""),"Этикетка ""Юдзу вкус этого лета""")</f>
        <v>Этикетка "Юдзу вкус этого лета"</v>
      </c>
      <c r="D485" s="528">
        <f>IFERROR(__xludf.DUMMYFUNCTION("""COMPUTED_VALUE"""),3392.0)</f>
        <v>3392</v>
      </c>
      <c r="E485" s="528" t="str">
        <f>IFERROR(__xludf.DUMMYFUNCTION("""COMPUTED_VALUE"""),"Римма Лукина")</f>
        <v>Римма Лукина</v>
      </c>
      <c r="F485" s="535" t="str">
        <f>IFERROR(__xludf.DUMMYFUNCTION("""COMPUTED_VALUE"""),"Новая")</f>
        <v>Новая</v>
      </c>
      <c r="G485" s="536" t="str">
        <f>IFERROR(__xludf.DUMMYFUNCTION("""COMPUTED_VALUE"""),"45*240")</f>
        <v>45*240</v>
      </c>
      <c r="H485" s="338" t="str">
        <f>IFERROR(__xludf.DUMMYFUNCTION("""COMPUTED_VALUE"""),"Флексопечать")</f>
        <v>Флексопечать</v>
      </c>
      <c r="I485" s="338" t="str">
        <f>IFERROR(__xludf.DUMMYFUNCTION("""COMPUTED_VALUE"""),"Bg-330")</f>
        <v>Bg-330</v>
      </c>
      <c r="J485" s="536">
        <f>IFERROR(__xludf.DUMMYFUNCTION("""COMPUTED_VALUE"""),4000.0)</f>
        <v>4000</v>
      </c>
      <c r="K485" s="537">
        <f>IFERROR(__xludf.DUMMYFUNCTION("""COMPUTED_VALUE"""),46198.0)</f>
        <v>46198</v>
      </c>
      <c r="L485" s="537"/>
      <c r="M485" s="338" t="str">
        <f>IFERROR(__xludf.DUMMYFUNCTION("""COMPUTED_VALUE"""),"Термоэко")</f>
        <v>Термоэко</v>
      </c>
      <c r="N485" s="338" t="str">
        <f>IFERROR(__xludf.DUMMYFUNCTION("""COMPUTED_VALUE"""),"Отгружен")</f>
        <v>Отгружен</v>
      </c>
      <c r="O485" s="537"/>
      <c r="P485" s="338" t="str">
        <f>IFERROR(__xludf.DUMMYFUNCTION("""COMPUTED_VALUE"""),"ОЧЕНЬ ВАЖНО отгрузить в понедельник. как всегда доки в эдо , паспорта качества")</f>
        <v>ОЧЕНЬ ВАЖНО отгрузить в понедельник. как всегда доки в эдо , паспорта качества</v>
      </c>
      <c r="Q485" s="338" t="str">
        <f>IFERROR(__xludf.DUMMYFUNCTION("""COMPUTED_VALUE"""),"г. Москва , ул Мироновская 36")</f>
        <v>г. Москва , ул Мироновская 36</v>
      </c>
      <c r="R485" s="338"/>
      <c r="S485" s="338"/>
      <c r="T485" s="338"/>
      <c r="U485" s="338"/>
      <c r="V485" s="338"/>
      <c r="W485" s="338"/>
      <c r="X485" s="338"/>
      <c r="Y485" s="338"/>
      <c r="Z485" s="338"/>
    </row>
    <row r="486" ht="22.5" customHeight="1">
      <c r="A486" s="528" t="str">
        <f>IFERROR(__xludf.DUMMYFUNCTION("""COMPUTED_VALUE"""),"ООО""ФерЭльГам""")</f>
        <v>ООО"ФерЭльГам"</v>
      </c>
      <c r="B486" s="528"/>
      <c r="C486" s="528" t="str">
        <f>IFERROR(__xludf.DUMMYFUNCTION("""COMPUTED_VALUE"""),"470836 Салат Морковь по-корейски 400 г Магнит этик.")</f>
        <v>470836 Салат Морковь по-корейски 400 г Магнит этик.</v>
      </c>
      <c r="D486" s="528">
        <f>IFERROR(__xludf.DUMMYFUNCTION("""COMPUTED_VALUE"""),3396.0)</f>
        <v>3396</v>
      </c>
      <c r="E486" s="528" t="str">
        <f>IFERROR(__xludf.DUMMYFUNCTION("""COMPUTED_VALUE"""),"Баранов Александр")</f>
        <v>Баранов Александр</v>
      </c>
      <c r="F486" s="535" t="str">
        <f>IFERROR(__xludf.DUMMYFUNCTION("""COMPUTED_VALUE"""),"Новая")</f>
        <v>Новая</v>
      </c>
      <c r="G486" s="536" t="str">
        <f>IFERROR(__xludf.DUMMYFUNCTION("""COMPUTED_VALUE"""),"д110")</f>
        <v>д110</v>
      </c>
      <c r="H486" s="338" t="str">
        <f>IFERROR(__xludf.DUMMYFUNCTION("""COMPUTED_VALUE"""),"Флексопечать")</f>
        <v>Флексопечать</v>
      </c>
      <c r="I486" s="338" t="str">
        <f>IFERROR(__xludf.DUMMYFUNCTION("""COMPUTED_VALUE"""),"Wg-450")</f>
        <v>Wg-450</v>
      </c>
      <c r="J486" s="536">
        <f>IFERROR(__xludf.DUMMYFUNCTION("""COMPUTED_VALUE"""),20000.0)</f>
        <v>20000</v>
      </c>
      <c r="K486" s="537">
        <f>IFERROR(__xludf.DUMMYFUNCTION("""COMPUTED_VALUE"""),46185.0)</f>
        <v>46185</v>
      </c>
      <c r="L486" s="537"/>
      <c r="M486" s="338" t="str">
        <f>IFERROR(__xludf.DUMMYFUNCTION("""COMPUTED_VALUE"""),"Пленка PP белая акрил")</f>
        <v>Пленка PP белая акрил</v>
      </c>
      <c r="N486" s="338" t="str">
        <f>IFERROR(__xludf.DUMMYFUNCTION("""COMPUTED_VALUE"""),"Отгружен")</f>
        <v>Отгружен</v>
      </c>
      <c r="O486" s="537"/>
      <c r="P486" s="338">
        <f>IFERROR(__xludf.DUMMYFUNCTION("""COMPUTED_VALUE"""),3.0)</f>
        <v>3</v>
      </c>
      <c r="Q486" s="338"/>
      <c r="R486" s="338"/>
      <c r="S486" s="338"/>
      <c r="T486" s="338"/>
      <c r="U486" s="338"/>
      <c r="V486" s="338"/>
      <c r="W486" s="338"/>
      <c r="X486" s="338"/>
      <c r="Y486" s="338"/>
      <c r="Z486" s="338"/>
    </row>
    <row r="487" ht="22.5" customHeight="1">
      <c r="A487" s="528" t="str">
        <f>IFERROR(__xludf.DUMMYFUNCTION("""COMPUTED_VALUE"""),"ООО""ФерЭльГам""")</f>
        <v>ООО"ФерЭльГам"</v>
      </c>
      <c r="B487" s="528"/>
      <c r="C487" s="528" t="str">
        <f>IFERROR(__xludf.DUMMYFUNCTION("""COMPUTED_VALUE"""),"470357 Напиток Рассол огуречный 240 г этик.")</f>
        <v>470357 Напиток Рассол огуречный 240 г этик.</v>
      </c>
      <c r="D487" s="528">
        <f>IFERROR(__xludf.DUMMYFUNCTION("""COMPUTED_VALUE"""),3397.0)</f>
        <v>3397</v>
      </c>
      <c r="E487" s="528" t="str">
        <f>IFERROR(__xludf.DUMMYFUNCTION("""COMPUTED_VALUE"""),"Баранов Александр")</f>
        <v>Баранов Александр</v>
      </c>
      <c r="F487" s="535" t="str">
        <f>IFERROR(__xludf.DUMMYFUNCTION("""COMPUTED_VALUE"""),"Новая")</f>
        <v>Новая</v>
      </c>
      <c r="G487" s="536" t="str">
        <f>IFERROR(__xludf.DUMMYFUNCTION("""COMPUTED_VALUE"""),"60*160")</f>
        <v>60*160</v>
      </c>
      <c r="H487" s="338" t="str">
        <f>IFERROR(__xludf.DUMMYFUNCTION("""COMPUTED_VALUE"""),"Флексопечать")</f>
        <v>Флексопечать</v>
      </c>
      <c r="I487" s="338" t="str">
        <f>IFERROR(__xludf.DUMMYFUNCTION("""COMPUTED_VALUE"""),"Wg-450")</f>
        <v>Wg-450</v>
      </c>
      <c r="J487" s="536">
        <f>IFERROR(__xludf.DUMMYFUNCTION("""COMPUTED_VALUE"""),10000.0)</f>
        <v>10000</v>
      </c>
      <c r="K487" s="537">
        <f>IFERROR(__xludf.DUMMYFUNCTION("""COMPUTED_VALUE"""),46182.0)</f>
        <v>46182</v>
      </c>
      <c r="L487" s="537"/>
      <c r="M487" s="338" t="str">
        <f>IFERROR(__xludf.DUMMYFUNCTION("""COMPUTED_VALUE"""),"Пленка PP белая каучук")</f>
        <v>Пленка PP белая каучук</v>
      </c>
      <c r="N487" s="338" t="str">
        <f>IFERROR(__xludf.DUMMYFUNCTION("""COMPUTED_VALUE"""),"Отгружен")</f>
        <v>Отгружен</v>
      </c>
      <c r="O487" s="537"/>
      <c r="P487" s="338">
        <f>IFERROR(__xludf.DUMMYFUNCTION("""COMPUTED_VALUE"""),2.0)</f>
        <v>2</v>
      </c>
      <c r="Q487" s="338"/>
      <c r="R487" s="338"/>
      <c r="S487" s="338"/>
      <c r="T487" s="338"/>
      <c r="U487" s="338"/>
      <c r="V487" s="338"/>
      <c r="W487" s="338"/>
      <c r="X487" s="338"/>
      <c r="Y487" s="338"/>
      <c r="Z487" s="338"/>
    </row>
    <row r="488" ht="22.5" customHeight="1">
      <c r="A488" s="528" t="str">
        <f>IFERROR(__xludf.DUMMYFUNCTION("""COMPUTED_VALUE"""),"ООО""ФерЭльГам""")</f>
        <v>ООО"ФерЭльГам"</v>
      </c>
      <c r="B488" s="528"/>
      <c r="C488" s="528" t="str">
        <f>IFERROR(__xludf.DUMMYFUNCTION("""COMPUTED_VALUE"""),"470457 Перец соленый острый 200 г В/У этик. ")</f>
        <v>470457 Перец соленый острый 200 г В/У этик. </v>
      </c>
      <c r="D488" s="528">
        <f>IFERROR(__xludf.DUMMYFUNCTION("""COMPUTED_VALUE"""),3398.0)</f>
        <v>3398</v>
      </c>
      <c r="E488" s="528" t="str">
        <f>IFERROR(__xludf.DUMMYFUNCTION("""COMPUTED_VALUE"""),"Баранов Александр")</f>
        <v>Баранов Александр</v>
      </c>
      <c r="F488" s="535" t="str">
        <f>IFERROR(__xludf.DUMMYFUNCTION("""COMPUTED_VALUE"""),"Новая")</f>
        <v>Новая</v>
      </c>
      <c r="G488" s="536" t="str">
        <f>IFERROR(__xludf.DUMMYFUNCTION("""COMPUTED_VALUE"""),"48*122")</f>
        <v>48*122</v>
      </c>
      <c r="H488" s="338" t="str">
        <f>IFERROR(__xludf.DUMMYFUNCTION("""COMPUTED_VALUE"""),"Флексопечать")</f>
        <v>Флексопечать</v>
      </c>
      <c r="I488" s="338" t="str">
        <f>IFERROR(__xludf.DUMMYFUNCTION("""COMPUTED_VALUE"""),"Bg-330")</f>
        <v>Bg-330</v>
      </c>
      <c r="J488" s="536">
        <f>IFERROR(__xludf.DUMMYFUNCTION("""COMPUTED_VALUE"""),20000.0)</f>
        <v>20000</v>
      </c>
      <c r="K488" s="537">
        <f>IFERROR(__xludf.DUMMYFUNCTION("""COMPUTED_VALUE"""),46185.0)</f>
        <v>46185</v>
      </c>
      <c r="L488" s="537"/>
      <c r="M488" s="338" t="str">
        <f>IFERROR(__xludf.DUMMYFUNCTION("""COMPUTED_VALUE"""),"Пленка PP белая акрил")</f>
        <v>Пленка PP белая акрил</v>
      </c>
      <c r="N488" s="338" t="str">
        <f>IFERROR(__xludf.DUMMYFUNCTION("""COMPUTED_VALUE"""),"Отгружен")</f>
        <v>Отгружен</v>
      </c>
      <c r="O488" s="537"/>
      <c r="P488" s="338">
        <f>IFERROR(__xludf.DUMMYFUNCTION("""COMPUTED_VALUE"""),1.0)</f>
        <v>1</v>
      </c>
      <c r="Q488" s="338"/>
      <c r="R488" s="338"/>
      <c r="S488" s="338"/>
      <c r="T488" s="338"/>
      <c r="U488" s="338"/>
      <c r="V488" s="338"/>
      <c r="W488" s="338"/>
      <c r="X488" s="338"/>
      <c r="Y488" s="338"/>
      <c r="Z488" s="338"/>
    </row>
    <row r="489" ht="22.5" customHeight="1">
      <c r="A489" s="528" t="str">
        <f>IFERROR(__xludf.DUMMYFUNCTION("""COMPUTED_VALUE"""),"Калье")</f>
        <v>Калье</v>
      </c>
      <c r="B489" s="528"/>
      <c r="C489" s="528" t="str">
        <f>IFERROR(__xludf.DUMMYFUNCTION("""COMPUTED_VALUE"""),"Бальзам + шампунь Nuar жидкое золото, 1000 мл ")</f>
        <v>Бальзам + шампунь Nuar жидкое золото, 1000 мл </v>
      </c>
      <c r="D489" s="528" t="str">
        <f>IFERROR(__xludf.DUMMYFUNCTION("""COMPUTED_VALUE"""),"3238/3239")</f>
        <v>3238/3239</v>
      </c>
      <c r="E489" s="528" t="str">
        <f>IFERROR(__xludf.DUMMYFUNCTION("""COMPUTED_VALUE"""),"Татьяна Денисова")</f>
        <v>Татьяна Денисова</v>
      </c>
      <c r="F489" s="535" t="str">
        <f>IFERROR(__xludf.DUMMYFUNCTION("""COMPUTED_VALUE"""),"Новая")</f>
        <v>Новая</v>
      </c>
      <c r="G489" s="536" t="str">
        <f>IFERROR(__xludf.DUMMYFUNCTION("""COMPUTED_VALUE"""),"170*230")</f>
        <v>170*230</v>
      </c>
      <c r="H489" s="338" t="str">
        <f>IFERROR(__xludf.DUMMYFUNCTION("""COMPUTED_VALUE"""),"Флексопечать")</f>
        <v>Флексопечать</v>
      </c>
      <c r="I489" s="338" t="str">
        <f>IFERROR(__xludf.DUMMYFUNCTION("""COMPUTED_VALUE"""),"Bg-330")</f>
        <v>Bg-330</v>
      </c>
      <c r="J489" s="536" t="str">
        <f>IFERROR(__xludf.DUMMYFUNCTION("""COMPUTED_VALUE"""),"2*10000")</f>
        <v>2*10000</v>
      </c>
      <c r="K489" s="537">
        <f>IFERROR(__xludf.DUMMYFUNCTION("""COMPUTED_VALUE"""),46191.0)</f>
        <v>46191</v>
      </c>
      <c r="L489" s="537"/>
      <c r="M489" s="338" t="str">
        <f>IFERROR(__xludf.DUMMYFUNCTION("""COMPUTED_VALUE"""),"Пленка PP прозрачная")</f>
        <v>Пленка PP прозрачная</v>
      </c>
      <c r="N489" s="338" t="str">
        <f>IFERROR(__xludf.DUMMYFUNCTION("""COMPUTED_VALUE"""),"Отгружен")</f>
        <v>Отгружен</v>
      </c>
      <c r="O489" s="537"/>
      <c r="P489" s="338" t="str">
        <f>IFERROR(__xludf.DUMMYFUNCTION("""COMPUTED_VALUE"""),"Приладка как обычно в раб дни до 17:30 ")</f>
        <v>Приладка как обычно в раб дни до 17:30 </v>
      </c>
      <c r="Q489" s="338" t="str">
        <f>IFERROR(__xludf.DUMMYFUNCTION("""COMPUTED_VALUE"""),"Сама заказываю ТК")</f>
        <v>Сама заказываю ТК</v>
      </c>
      <c r="R489" s="338"/>
      <c r="S489" s="338"/>
      <c r="T489" s="338"/>
      <c r="U489" s="338"/>
      <c r="V489" s="338"/>
      <c r="W489" s="338"/>
      <c r="X489" s="338"/>
      <c r="Y489" s="338"/>
      <c r="Z489" s="338"/>
    </row>
    <row r="490" ht="22.5" customHeight="1">
      <c r="A490" s="528" t="str">
        <f>IFERROR(__xludf.DUMMYFUNCTION("""COMPUTED_VALUE"""),"Калье")</f>
        <v>Калье</v>
      </c>
      <c r="B490" s="528"/>
      <c r="C490" s="528" t="str">
        <f>IFERROR(__xludf.DUMMYFUNCTION("""COMPUTED_VALUE"""),"Color Boom 400 мл Розовый блонд 2 вида Шампунь и Бальзам-маска")</f>
        <v>Color Boom 400 мл Розовый блонд 2 вида Шампунь и Бальзам-маска</v>
      </c>
      <c r="D490" s="528" t="str">
        <f>IFERROR(__xludf.DUMMYFUNCTION("""COMPUTED_VALUE"""),"3312/3313")</f>
        <v>3312/3313</v>
      </c>
      <c r="E490" s="528" t="str">
        <f>IFERROR(__xludf.DUMMYFUNCTION("""COMPUTED_VALUE"""),"Татьяна Денисова")</f>
        <v>Татьяна Денисова</v>
      </c>
      <c r="F490" s="535" t="str">
        <f>IFERROR(__xludf.DUMMYFUNCTION("""COMPUTED_VALUE"""),"Новая")</f>
        <v>Новая</v>
      </c>
      <c r="G490" s="536" t="str">
        <f>IFERROR(__xludf.DUMMYFUNCTION("""COMPUTED_VALUE"""),"130*170")</f>
        <v>130*170</v>
      </c>
      <c r="H490" s="338" t="str">
        <f>IFERROR(__xludf.DUMMYFUNCTION("""COMPUTED_VALUE"""),"Флексопечать")</f>
        <v>Флексопечать</v>
      </c>
      <c r="I490" s="338" t="str">
        <f>IFERROR(__xludf.DUMMYFUNCTION("""COMPUTED_VALUE"""),"Bg-330")</f>
        <v>Bg-330</v>
      </c>
      <c r="J490" s="536" t="str">
        <f>IFERROR(__xludf.DUMMYFUNCTION("""COMPUTED_VALUE"""),"2*3000")</f>
        <v>2*3000</v>
      </c>
      <c r="K490" s="537">
        <f>IFERROR(__xludf.DUMMYFUNCTION("""COMPUTED_VALUE"""),46196.0)</f>
        <v>46196</v>
      </c>
      <c r="L490" s="537"/>
      <c r="M490" s="338" t="str">
        <f>IFERROR(__xludf.DUMMYFUNCTION("""COMPUTED_VALUE"""),"Пленка метализированная акрил")</f>
        <v>Пленка метализированная акрил</v>
      </c>
      <c r="N490" s="338" t="str">
        <f>IFERROR(__xludf.DUMMYFUNCTION("""COMPUTED_VALUE"""),"Отгружен")</f>
        <v>Отгружен</v>
      </c>
      <c r="O490" s="537"/>
      <c r="P490" s="338" t="str">
        <f>IFERROR(__xludf.DUMMYFUNCTION("""COMPUTED_VALUE"""),"Приладка как обычно в раб дни до 17:30 ")</f>
        <v>Приладка как обычно в раб дни до 17:30 </v>
      </c>
      <c r="Q490" s="338" t="str">
        <f>IFERROR(__xludf.DUMMYFUNCTION("""COMPUTED_VALUE"""),"Сама заказываю ТК")</f>
        <v>Сама заказываю ТК</v>
      </c>
      <c r="R490" s="338"/>
      <c r="S490" s="338"/>
      <c r="T490" s="338"/>
      <c r="U490" s="338"/>
      <c r="V490" s="338"/>
      <c r="W490" s="338"/>
      <c r="X490" s="338"/>
      <c r="Y490" s="338"/>
      <c r="Z490" s="338"/>
    </row>
    <row r="491" ht="22.5" customHeight="1">
      <c r="A491" s="528" t="str">
        <f>IFERROR(__xludf.DUMMYFUNCTION("""COMPUTED_VALUE"""),"ООО ОЗОН ВКУС")</f>
        <v>ООО ОЗОН ВКУС</v>
      </c>
      <c r="B491" s="528"/>
      <c r="C491" s="528" t="str">
        <f>IFERROR(__xludf.DUMMYFUNCTION("""COMPUTED_VALUE"""),"Стикер  160*45 пантон 304")</f>
        <v>Стикер  160*45 пантон 304</v>
      </c>
      <c r="D491" s="528">
        <f>IFERROR(__xludf.DUMMYFUNCTION("""COMPUTED_VALUE"""),3401.0)</f>
        <v>3401</v>
      </c>
      <c r="E491" s="528" t="str">
        <f>IFERROR(__xludf.DUMMYFUNCTION("""COMPUTED_VALUE"""),"Римма Лукина")</f>
        <v>Римма Лукина</v>
      </c>
      <c r="F491" s="535" t="str">
        <f>IFERROR(__xludf.DUMMYFUNCTION("""COMPUTED_VALUE"""),"Новая")</f>
        <v>Новая</v>
      </c>
      <c r="G491" s="536" t="str">
        <f>IFERROR(__xludf.DUMMYFUNCTION("""COMPUTED_VALUE"""),"45*160")</f>
        <v>45*160</v>
      </c>
      <c r="H491" s="338" t="str">
        <f>IFERROR(__xludf.DUMMYFUNCTION("""COMPUTED_VALUE"""),"Флексопечать")</f>
        <v>Флексопечать</v>
      </c>
      <c r="I491" s="338" t="str">
        <f>IFERROR(__xludf.DUMMYFUNCTION("""COMPUTED_VALUE"""),"Bg-330")</f>
        <v>Bg-330</v>
      </c>
      <c r="J491" s="536">
        <f>IFERROR(__xludf.DUMMYFUNCTION("""COMPUTED_VALUE"""),5000.0)</f>
        <v>5000</v>
      </c>
      <c r="K491" s="537">
        <f>IFERROR(__xludf.DUMMYFUNCTION("""COMPUTED_VALUE"""),46198.0)</f>
        <v>46198</v>
      </c>
      <c r="L491" s="537"/>
      <c r="M491" s="338" t="str">
        <f>IFERROR(__xludf.DUMMYFUNCTION("""COMPUTED_VALUE"""),"Термоэко")</f>
        <v>Термоэко</v>
      </c>
      <c r="N491" s="338" t="str">
        <f>IFERROR(__xludf.DUMMYFUNCTION("""COMPUTED_VALUE"""),"Отгружен")</f>
        <v>Отгружен</v>
      </c>
      <c r="O491" s="537"/>
      <c r="P491" s="338" t="str">
        <f>IFERROR(__xludf.DUMMYFUNCTION("""COMPUTED_VALUE"""),"ОЧЕНЬ ВАЖНО отгрузить в понедельник. как всегда доки в эдо , паспорта качества")</f>
        <v>ОЧЕНЬ ВАЖНО отгрузить в понедельник. как всегда доки в эдо , паспорта качества</v>
      </c>
      <c r="Q491" s="338" t="str">
        <f>IFERROR(__xludf.DUMMYFUNCTION("""COMPUTED_VALUE"""),"г. Москва , ул Мироновская 33")</f>
        <v>г. Москва , ул Мироновская 33</v>
      </c>
      <c r="R491" s="338"/>
      <c r="S491" s="338"/>
      <c r="T491" s="338"/>
      <c r="U491" s="338"/>
      <c r="V491" s="338"/>
      <c r="W491" s="338"/>
      <c r="X491" s="338"/>
      <c r="Y491" s="338"/>
      <c r="Z491" s="338"/>
    </row>
    <row r="492" ht="22.5" customHeight="1">
      <c r="A492" s="528" t="str">
        <f>IFERROR(__xludf.DUMMYFUNCTION("""COMPUTED_VALUE"""),"ООО ОЗОН ВКУС")</f>
        <v>ООО ОЗОН ВКУС</v>
      </c>
      <c r="B492" s="528"/>
      <c r="C492" s="528" t="str">
        <f>IFERROR(__xludf.DUMMYFUNCTION("""COMPUTED_VALUE"""),"Стикер 240*45 пантон 304")</f>
        <v>Стикер 240*45 пантон 304</v>
      </c>
      <c r="D492" s="528">
        <f>IFERROR(__xludf.DUMMYFUNCTION("""COMPUTED_VALUE"""),3402.0)</f>
        <v>3402</v>
      </c>
      <c r="E492" s="528" t="str">
        <f>IFERROR(__xludf.DUMMYFUNCTION("""COMPUTED_VALUE"""),"Римма Лукина")</f>
        <v>Римма Лукина</v>
      </c>
      <c r="F492" s="535" t="str">
        <f>IFERROR(__xludf.DUMMYFUNCTION("""COMPUTED_VALUE"""),"Новая")</f>
        <v>Новая</v>
      </c>
      <c r="G492" s="536" t="str">
        <f>IFERROR(__xludf.DUMMYFUNCTION("""COMPUTED_VALUE"""),"45*240")</f>
        <v>45*240</v>
      </c>
      <c r="H492" s="338" t="str">
        <f>IFERROR(__xludf.DUMMYFUNCTION("""COMPUTED_VALUE"""),"Флексопечать")</f>
        <v>Флексопечать</v>
      </c>
      <c r="I492" s="338" t="str">
        <f>IFERROR(__xludf.DUMMYFUNCTION("""COMPUTED_VALUE"""),"Bg-330")</f>
        <v>Bg-330</v>
      </c>
      <c r="J492" s="536">
        <f>IFERROR(__xludf.DUMMYFUNCTION("""COMPUTED_VALUE"""),7000.0)</f>
        <v>7000</v>
      </c>
      <c r="K492" s="537">
        <f>IFERROR(__xludf.DUMMYFUNCTION("""COMPUTED_VALUE"""),46198.0)</f>
        <v>46198</v>
      </c>
      <c r="L492" s="537"/>
      <c r="M492" s="338" t="str">
        <f>IFERROR(__xludf.DUMMYFUNCTION("""COMPUTED_VALUE"""),"Термоэко")</f>
        <v>Термоэко</v>
      </c>
      <c r="N492" s="338" t="str">
        <f>IFERROR(__xludf.DUMMYFUNCTION("""COMPUTED_VALUE"""),"Отгружен")</f>
        <v>Отгружен</v>
      </c>
      <c r="O492" s="537"/>
      <c r="P492" s="338" t="str">
        <f>IFERROR(__xludf.DUMMYFUNCTION("""COMPUTED_VALUE"""),"ОЧЕНЬ ВАЖНО отгрузить в понедельник. как всегда доки в эдо , паспорта качества")</f>
        <v>ОЧЕНЬ ВАЖНО отгрузить в понедельник. как всегда доки в эдо , паспорта качества</v>
      </c>
      <c r="Q492" s="338" t="str">
        <f>IFERROR(__xludf.DUMMYFUNCTION("""COMPUTED_VALUE"""),"г. Москва , ул Мироновская 35")</f>
        <v>г. Москва , ул Мироновская 35</v>
      </c>
      <c r="R492" s="338"/>
      <c r="S492" s="338"/>
      <c r="T492" s="338"/>
      <c r="U492" s="338"/>
      <c r="V492" s="338"/>
      <c r="W492" s="338"/>
      <c r="X492" s="338"/>
      <c r="Y492" s="338"/>
      <c r="Z492" s="338"/>
    </row>
    <row r="493" ht="22.5" customHeight="1">
      <c r="A493" s="528" t="str">
        <f>IFERROR(__xludf.DUMMYFUNCTION("""COMPUTED_VALUE"""),"ООО""ФерЭльГам""")</f>
        <v>ООО"ФерЭльГам"</v>
      </c>
      <c r="B493" s="528"/>
      <c r="C493" s="528" t="str">
        <f>IFERROR(__xludf.DUMMYFUNCTION("""COMPUTED_VALUE"""),"470757 Капуста квашеная с морковью 700 г Чижик этик.")</f>
        <v>470757 Капуста квашеная с морковью 700 г Чижик этик.</v>
      </c>
      <c r="D493" s="528">
        <f>IFERROR(__xludf.DUMMYFUNCTION("""COMPUTED_VALUE"""),3435.0)</f>
        <v>3435</v>
      </c>
      <c r="E493" s="528" t="str">
        <f>IFERROR(__xludf.DUMMYFUNCTION("""COMPUTED_VALUE"""),"Баранов Александр")</f>
        <v>Баранов Александр</v>
      </c>
      <c r="F493" s="535" t="str">
        <f>IFERROR(__xludf.DUMMYFUNCTION("""COMPUTED_VALUE"""),"Повтор")</f>
        <v>Повтор</v>
      </c>
      <c r="G493" s="536" t="str">
        <f>IFERROR(__xludf.DUMMYFUNCTION("""COMPUTED_VALUE"""),"д110")</f>
        <v>д110</v>
      </c>
      <c r="H493" s="338" t="str">
        <f>IFERROR(__xludf.DUMMYFUNCTION("""COMPUTED_VALUE"""),"Флексопечать")</f>
        <v>Флексопечать</v>
      </c>
      <c r="I493" s="338" t="str">
        <f>IFERROR(__xludf.DUMMYFUNCTION("""COMPUTED_VALUE"""),"Wg-450")</f>
        <v>Wg-450</v>
      </c>
      <c r="J493" s="536">
        <f>IFERROR(__xludf.DUMMYFUNCTION("""COMPUTED_VALUE"""),150000.0)</f>
        <v>150000</v>
      </c>
      <c r="K493" s="537">
        <f>IFERROR(__xludf.DUMMYFUNCTION("""COMPUTED_VALUE"""),46199.0)</f>
        <v>46199</v>
      </c>
      <c r="L493" s="537"/>
      <c r="M493" s="338" t="str">
        <f>IFERROR(__xludf.DUMMYFUNCTION("""COMPUTED_VALUE"""),"Пленка PP белая каучук")</f>
        <v>Пленка PP белая каучук</v>
      </c>
      <c r="N493" s="338" t="str">
        <f>IFERROR(__xludf.DUMMYFUNCTION("""COMPUTED_VALUE"""),"Отгружен")</f>
        <v>Отгружен</v>
      </c>
      <c r="O493" s="537"/>
      <c r="P493" s="338">
        <f>IFERROR(__xludf.DUMMYFUNCTION("""COMPUTED_VALUE"""),5.0)</f>
        <v>5</v>
      </c>
      <c r="Q493" s="338"/>
      <c r="R493" s="338"/>
      <c r="S493" s="338"/>
      <c r="T493" s="338"/>
      <c r="U493" s="338"/>
      <c r="V493" s="338"/>
      <c r="W493" s="338"/>
      <c r="X493" s="338"/>
      <c r="Y493" s="338"/>
      <c r="Z493" s="338"/>
    </row>
    <row r="494" ht="22.5" customHeight="1">
      <c r="A494" s="528" t="str">
        <f>IFERROR(__xludf.DUMMYFUNCTION("""COMPUTED_VALUE"""),"ООО""ФерЭльГам""")</f>
        <v>ООО"ФерЭльГам"</v>
      </c>
      <c r="B494" s="528"/>
      <c r="C494" s="528" t="str">
        <f>IFERROR(__xludf.DUMMYFUNCTION("""COMPUTED_VALUE"""),"470435 Огурцы соленые корнишоны 500 г этик.")</f>
        <v>470435 Огурцы соленые корнишоны 500 г этик.</v>
      </c>
      <c r="D494" s="528">
        <f>IFERROR(__xludf.DUMMYFUNCTION("""COMPUTED_VALUE"""),3444.0)</f>
        <v>3444</v>
      </c>
      <c r="E494" s="528" t="str">
        <f>IFERROR(__xludf.DUMMYFUNCTION("""COMPUTED_VALUE"""),"Баранов Александр")</f>
        <v>Баранов Александр</v>
      </c>
      <c r="F494" s="535" t="str">
        <f>IFERROR(__xludf.DUMMYFUNCTION("""COMPUTED_VALUE"""),"Повтор")</f>
        <v>Повтор</v>
      </c>
      <c r="G494" s="536" t="str">
        <f>IFERROR(__xludf.DUMMYFUNCTION("""COMPUTED_VALUE"""),"д110")</f>
        <v>д110</v>
      </c>
      <c r="H494" s="338" t="str">
        <f>IFERROR(__xludf.DUMMYFUNCTION("""COMPUTED_VALUE"""),"Флексопечать")</f>
        <v>Флексопечать</v>
      </c>
      <c r="I494" s="338" t="str">
        <f>IFERROR(__xludf.DUMMYFUNCTION("""COMPUTED_VALUE"""),"Wg-450")</f>
        <v>Wg-450</v>
      </c>
      <c r="J494" s="536">
        <f>IFERROR(__xludf.DUMMYFUNCTION("""COMPUTED_VALUE"""),30000.0)</f>
        <v>30000</v>
      </c>
      <c r="K494" s="537">
        <f>IFERROR(__xludf.DUMMYFUNCTION("""COMPUTED_VALUE"""),46199.0)</f>
        <v>46199</v>
      </c>
      <c r="L494" s="537"/>
      <c r="M494" s="338" t="str">
        <f>IFERROR(__xludf.DUMMYFUNCTION("""COMPUTED_VALUE"""),"Пленка PP белая каучук")</f>
        <v>Пленка PP белая каучук</v>
      </c>
      <c r="N494" s="338" t="str">
        <f>IFERROR(__xludf.DUMMYFUNCTION("""COMPUTED_VALUE"""),"Отгружен")</f>
        <v>Отгружен</v>
      </c>
      <c r="O494" s="537"/>
      <c r="P494" s="338">
        <f>IFERROR(__xludf.DUMMYFUNCTION("""COMPUTED_VALUE"""),10.0)</f>
        <v>10</v>
      </c>
      <c r="Q494" s="338"/>
      <c r="R494" s="338"/>
      <c r="S494" s="338"/>
      <c r="T494" s="338"/>
      <c r="U494" s="338"/>
      <c r="V494" s="338"/>
      <c r="W494" s="338"/>
      <c r="X494" s="338"/>
      <c r="Y494" s="338"/>
      <c r="Z494" s="338"/>
    </row>
    <row r="495" ht="22.5" customHeight="1">
      <c r="A495" s="528" t="str">
        <f>IFERROR(__xludf.DUMMYFUNCTION("""COMPUTED_VALUE"""),"ООО""ФерЭльГам""")</f>
        <v>ООО"ФерЭльГам"</v>
      </c>
      <c r="B495" s="528"/>
      <c r="C495" s="528" t="str">
        <f>IFERROR(__xludf.DUMMYFUNCTION("""COMPUTED_VALUE"""),"470789 Салат Морковь по-корейски 200 г Магнит этик.")</f>
        <v>470789 Салат Морковь по-корейски 200 г Магнит этик.</v>
      </c>
      <c r="D495" s="528">
        <f>IFERROR(__xludf.DUMMYFUNCTION("""COMPUTED_VALUE"""),3445.0)</f>
        <v>3445</v>
      </c>
      <c r="E495" s="528" t="str">
        <f>IFERROR(__xludf.DUMMYFUNCTION("""COMPUTED_VALUE"""),"Баранов Александр")</f>
        <v>Баранов Александр</v>
      </c>
      <c r="F495" s="535" t="str">
        <f>IFERROR(__xludf.DUMMYFUNCTION("""COMPUTED_VALUE"""),"Повтор")</f>
        <v>Повтор</v>
      </c>
      <c r="G495" s="536" t="str">
        <f>IFERROR(__xludf.DUMMYFUNCTION("""COMPUTED_VALUE"""),"д110")</f>
        <v>д110</v>
      </c>
      <c r="H495" s="338" t="str">
        <f>IFERROR(__xludf.DUMMYFUNCTION("""COMPUTED_VALUE"""),"Флексопечать")</f>
        <v>Флексопечать</v>
      </c>
      <c r="I495" s="338" t="str">
        <f>IFERROR(__xludf.DUMMYFUNCTION("""COMPUTED_VALUE"""),"Wg-450")</f>
        <v>Wg-450</v>
      </c>
      <c r="J495" s="536">
        <f>IFERROR(__xludf.DUMMYFUNCTION("""COMPUTED_VALUE"""),60000.0)</f>
        <v>60000</v>
      </c>
      <c r="K495" s="537">
        <f>IFERROR(__xludf.DUMMYFUNCTION("""COMPUTED_VALUE"""),46199.0)</f>
        <v>46199</v>
      </c>
      <c r="L495" s="537"/>
      <c r="M495" s="338" t="str">
        <f>IFERROR(__xludf.DUMMYFUNCTION("""COMPUTED_VALUE"""),"Пленка PP белая каучук")</f>
        <v>Пленка PP белая каучук</v>
      </c>
      <c r="N495" s="338" t="str">
        <f>IFERROR(__xludf.DUMMYFUNCTION("""COMPUTED_VALUE"""),"Отгружен")</f>
        <v>Отгружен</v>
      </c>
      <c r="O495" s="537"/>
      <c r="P495" s="338">
        <f>IFERROR(__xludf.DUMMYFUNCTION("""COMPUTED_VALUE"""),6.0)</f>
        <v>6</v>
      </c>
      <c r="Q495" s="338"/>
      <c r="R495" s="338"/>
      <c r="S495" s="338"/>
      <c r="T495" s="338"/>
      <c r="U495" s="338"/>
      <c r="V495" s="338"/>
      <c r="W495" s="338"/>
      <c r="X495" s="338"/>
      <c r="Y495" s="338"/>
      <c r="Z495" s="338"/>
    </row>
    <row r="496" ht="22.5" customHeight="1">
      <c r="A496" s="528" t="str">
        <f>IFERROR(__xludf.DUMMYFUNCTION("""COMPUTED_VALUE"""),"ООО""ФерЭльГам""")</f>
        <v>ООО"ФерЭльГам"</v>
      </c>
      <c r="B496" s="528"/>
      <c r="C496" s="528" t="str">
        <f>IFERROR(__xludf.DUMMYFUNCTION("""COMPUTED_VALUE"""),"470654 Черемша соленая 200 г В/У этик.")</f>
        <v>470654 Черемша соленая 200 г В/У этик.</v>
      </c>
      <c r="D496" s="528">
        <f>IFERROR(__xludf.DUMMYFUNCTION("""COMPUTED_VALUE"""),3446.0)</f>
        <v>3446</v>
      </c>
      <c r="E496" s="528" t="str">
        <f>IFERROR(__xludf.DUMMYFUNCTION("""COMPUTED_VALUE"""),"Баранов Александр")</f>
        <v>Баранов Александр</v>
      </c>
      <c r="F496" s="535" t="str">
        <f>IFERROR(__xludf.DUMMYFUNCTION("""COMPUTED_VALUE"""),"Повтор")</f>
        <v>Повтор</v>
      </c>
      <c r="G496" s="536" t="str">
        <f>IFERROR(__xludf.DUMMYFUNCTION("""COMPUTED_VALUE"""),"48*122")</f>
        <v>48*122</v>
      </c>
      <c r="H496" s="338" t="str">
        <f>IFERROR(__xludf.DUMMYFUNCTION("""COMPUTED_VALUE"""),"Флексопечать")</f>
        <v>Флексопечать</v>
      </c>
      <c r="I496" s="338" t="str">
        <f>IFERROR(__xludf.DUMMYFUNCTION("""COMPUTED_VALUE"""),"Wg-450")</f>
        <v>Wg-450</v>
      </c>
      <c r="J496" s="536">
        <f>IFERROR(__xludf.DUMMYFUNCTION("""COMPUTED_VALUE"""),10000.0)</f>
        <v>10000</v>
      </c>
      <c r="K496" s="537">
        <f>IFERROR(__xludf.DUMMYFUNCTION("""COMPUTED_VALUE"""),46199.0)</f>
        <v>46199</v>
      </c>
      <c r="L496" s="537"/>
      <c r="M496" s="338" t="str">
        <f>IFERROR(__xludf.DUMMYFUNCTION("""COMPUTED_VALUE"""),"Пленка PP белая каучук")</f>
        <v>Пленка PP белая каучук</v>
      </c>
      <c r="N496" s="338" t="str">
        <f>IFERROR(__xludf.DUMMYFUNCTION("""COMPUTED_VALUE"""),"Отгружен")</f>
        <v>Отгружен</v>
      </c>
      <c r="O496" s="537"/>
      <c r="P496" s="338">
        <f>IFERROR(__xludf.DUMMYFUNCTION("""COMPUTED_VALUE"""),9.0)</f>
        <v>9</v>
      </c>
      <c r="Q496" s="338"/>
      <c r="R496" s="338"/>
      <c r="S496" s="338"/>
      <c r="T496" s="338"/>
      <c r="U496" s="338"/>
      <c r="V496" s="338"/>
      <c r="W496" s="338"/>
      <c r="X496" s="338"/>
      <c r="Y496" s="338"/>
      <c r="Z496" s="338"/>
    </row>
    <row r="497" ht="22.5" customHeight="1">
      <c r="A497" s="528" t="str">
        <f>IFERROR(__xludf.DUMMYFUNCTION("""COMPUTED_VALUE"""),"ООО ОЗОН ВКУС")</f>
        <v>ООО ОЗОН ВКУС</v>
      </c>
      <c r="B497" s="528"/>
      <c r="C497" s="528" t="str">
        <f>IFERROR(__xludf.DUMMYFUNCTION("""COMPUTED_VALUE"""),"Стикер 76*118 пантон 304")</f>
        <v>Стикер 76*118 пантон 304</v>
      </c>
      <c r="D497" s="528">
        <f>IFERROR(__xludf.DUMMYFUNCTION("""COMPUTED_VALUE"""),3399.0)</f>
        <v>3399</v>
      </c>
      <c r="E497" s="528" t="str">
        <f>IFERROR(__xludf.DUMMYFUNCTION("""COMPUTED_VALUE"""),"Римма Лукина")</f>
        <v>Римма Лукина</v>
      </c>
      <c r="F497" s="535" t="str">
        <f>IFERROR(__xludf.DUMMYFUNCTION("""COMPUTED_VALUE"""),"Новая")</f>
        <v>Новая</v>
      </c>
      <c r="G497" s="536" t="str">
        <f>IFERROR(__xludf.DUMMYFUNCTION("""COMPUTED_VALUE"""),"76*118")</f>
        <v>76*118</v>
      </c>
      <c r="H497" s="338" t="str">
        <f>IFERROR(__xludf.DUMMYFUNCTION("""COMPUTED_VALUE"""),"Флексопечать")</f>
        <v>Флексопечать</v>
      </c>
      <c r="I497" s="338" t="str">
        <f>IFERROR(__xludf.DUMMYFUNCTION("""COMPUTED_VALUE"""),"Bg-330")</f>
        <v>Bg-330</v>
      </c>
      <c r="J497" s="536">
        <f>IFERROR(__xludf.DUMMYFUNCTION("""COMPUTED_VALUE"""),5000.0)</f>
        <v>5000</v>
      </c>
      <c r="K497" s="537">
        <f>IFERROR(__xludf.DUMMYFUNCTION("""COMPUTED_VALUE"""),46198.0)</f>
        <v>46198</v>
      </c>
      <c r="L497" s="537"/>
      <c r="M497" s="338" t="str">
        <f>IFERROR(__xludf.DUMMYFUNCTION("""COMPUTED_VALUE"""),"Термоэко")</f>
        <v>Термоэко</v>
      </c>
      <c r="N497" s="338" t="str">
        <f>IFERROR(__xludf.DUMMYFUNCTION("""COMPUTED_VALUE"""),"Отгружен")</f>
        <v>Отгружен</v>
      </c>
      <c r="O497" s="537">
        <f>IFERROR(__xludf.DUMMYFUNCTION("""COMPUTED_VALUE"""),46201.0)</f>
        <v>46201</v>
      </c>
      <c r="P497" s="338" t="str">
        <f>IFERROR(__xludf.DUMMYFUNCTION("""COMPUTED_VALUE"""),"ОЧЕНЬ ВАЖНО отгрузить в понедельник. как всегда доки в эдо , паспорта качества")</f>
        <v>ОЧЕНЬ ВАЖНО отгрузить в понедельник. как всегда доки в эдо , паспорта качества</v>
      </c>
      <c r="Q497" s="338" t="str">
        <f>IFERROR(__xludf.DUMMYFUNCTION("""COMPUTED_VALUE"""),"г. Москва , ул Мироновская 34")</f>
        <v>г. Москва , ул Мироновская 34</v>
      </c>
      <c r="R497" s="338"/>
      <c r="S497" s="338"/>
      <c r="T497" s="338"/>
      <c r="U497" s="338"/>
      <c r="V497" s="338"/>
      <c r="W497" s="338"/>
      <c r="X497" s="338"/>
      <c r="Y497" s="338"/>
      <c r="Z497" s="338"/>
    </row>
    <row r="498" ht="22.5" customHeight="1">
      <c r="A498" s="528" t="str">
        <f>IFERROR(__xludf.DUMMYFUNCTION("""COMPUTED_VALUE"""),"ООО""ФерЭльГам""")</f>
        <v>ООО"ФерЭльГам"</v>
      </c>
      <c r="B498" s="528"/>
      <c r="C498" s="528" t="str">
        <f>IFERROR(__xludf.DUMMYFUNCTION("""COMPUTED_VALUE"""),"470560 Спаржа по-корейски 200 г (Магнит) этик.")</f>
        <v>470560 Спаржа по-корейски 200 г (Магнит) этик.</v>
      </c>
      <c r="D498" s="528">
        <f>IFERROR(__xludf.DUMMYFUNCTION("""COMPUTED_VALUE"""),3447.0)</f>
        <v>3447</v>
      </c>
      <c r="E498" s="528" t="str">
        <f>IFERROR(__xludf.DUMMYFUNCTION("""COMPUTED_VALUE"""),"Баранов Александр")</f>
        <v>Баранов Александр</v>
      </c>
      <c r="F498" s="535" t="str">
        <f>IFERROR(__xludf.DUMMYFUNCTION("""COMPUTED_VALUE"""),"Повтор")</f>
        <v>Повтор</v>
      </c>
      <c r="G498" s="536" t="str">
        <f>IFERROR(__xludf.DUMMYFUNCTION("""COMPUTED_VALUE"""),"д110")</f>
        <v>д110</v>
      </c>
      <c r="H498" s="338" t="str">
        <f>IFERROR(__xludf.DUMMYFUNCTION("""COMPUTED_VALUE"""),"Флексопечать")</f>
        <v>Флексопечать</v>
      </c>
      <c r="I498" s="338" t="str">
        <f>IFERROR(__xludf.DUMMYFUNCTION("""COMPUTED_VALUE"""),"Wg-450")</f>
        <v>Wg-450</v>
      </c>
      <c r="J498" s="536">
        <f>IFERROR(__xludf.DUMMYFUNCTION("""COMPUTED_VALUE"""),20000.0)</f>
        <v>20000</v>
      </c>
      <c r="K498" s="537">
        <f>IFERROR(__xludf.DUMMYFUNCTION("""COMPUTED_VALUE"""),46199.0)</f>
        <v>46199</v>
      </c>
      <c r="L498" s="537"/>
      <c r="M498" s="338" t="str">
        <f>IFERROR(__xludf.DUMMYFUNCTION("""COMPUTED_VALUE"""),"Пленка PP белая каучук")</f>
        <v>Пленка PP белая каучук</v>
      </c>
      <c r="N498" s="338" t="str">
        <f>IFERROR(__xludf.DUMMYFUNCTION("""COMPUTED_VALUE"""),"Отгружен")</f>
        <v>Отгружен</v>
      </c>
      <c r="O498" s="537"/>
      <c r="P498" s="338">
        <f>IFERROR(__xludf.DUMMYFUNCTION("""COMPUTED_VALUE"""),7.0)</f>
        <v>7</v>
      </c>
      <c r="Q498" s="338"/>
      <c r="R498" s="338"/>
      <c r="S498" s="338"/>
      <c r="T498" s="338"/>
      <c r="U498" s="338"/>
      <c r="V498" s="338"/>
      <c r="W498" s="338"/>
      <c r="X498" s="338"/>
      <c r="Y498" s="338"/>
      <c r="Z498" s="338"/>
    </row>
    <row r="499" ht="22.5" customHeight="1">
      <c r="A499" s="528" t="str">
        <f>IFERROR(__xludf.DUMMYFUNCTION("""COMPUTED_VALUE"""),"ООО ОЗОН ВКУС")</f>
        <v>ООО ОЗОН ВКУС</v>
      </c>
      <c r="B499" s="528"/>
      <c r="C499" s="528" t="str">
        <f>IFERROR(__xludf.DUMMYFUNCTION("""COMPUTED_VALUE"""),"Этикетка ""Важно, что ешь""")</f>
        <v>Этикетка "Важно, что ешь"</v>
      </c>
      <c r="D499" s="528">
        <f>IFERROR(__xludf.DUMMYFUNCTION("""COMPUTED_VALUE"""),3436.0)</f>
        <v>3436</v>
      </c>
      <c r="E499" s="528" t="str">
        <f>IFERROR(__xludf.DUMMYFUNCTION("""COMPUTED_VALUE"""),"Римма Лукина")</f>
        <v>Римма Лукина</v>
      </c>
      <c r="F499" s="535" t="str">
        <f>IFERROR(__xludf.DUMMYFUNCTION("""COMPUTED_VALUE"""),"Повтор")</f>
        <v>Повтор</v>
      </c>
      <c r="G499" s="536" t="str">
        <f>IFERROR(__xludf.DUMMYFUNCTION("""COMPUTED_VALUE"""),"D 70")</f>
        <v>D 70</v>
      </c>
      <c r="H499" s="338" t="str">
        <f>IFERROR(__xludf.DUMMYFUNCTION("""COMPUTED_VALUE"""),"Флексопечать")</f>
        <v>Флексопечать</v>
      </c>
      <c r="I499" s="338" t="str">
        <f>IFERROR(__xludf.DUMMYFUNCTION("""COMPUTED_VALUE"""),"Bg-330")</f>
        <v>Bg-330</v>
      </c>
      <c r="J499" s="536">
        <f>IFERROR(__xludf.DUMMYFUNCTION("""COMPUTED_VALUE"""),100000.0)</f>
        <v>100000</v>
      </c>
      <c r="K499" s="537">
        <f>IFERROR(__xludf.DUMMYFUNCTION("""COMPUTED_VALUE"""),46198.0)</f>
        <v>46198</v>
      </c>
      <c r="L499" s="537"/>
      <c r="M499" s="338" t="str">
        <f>IFERROR(__xludf.DUMMYFUNCTION("""COMPUTED_VALUE"""),"Бумага полуглянец акрил")</f>
        <v>Бумага полуглянец акрил</v>
      </c>
      <c r="N499" s="338" t="str">
        <f>IFERROR(__xludf.DUMMYFUNCTION("""COMPUTED_VALUE"""),"Отгружен")</f>
        <v>Отгружен</v>
      </c>
      <c r="O499" s="537">
        <f>IFERROR(__xludf.DUMMYFUNCTION("""COMPUTED_VALUE"""),46201.0)</f>
        <v>46201</v>
      </c>
      <c r="P499" s="338" t="str">
        <f>IFERROR(__xludf.DUMMYFUNCTION("""COMPUTED_VALUE"""),"ОЧЕНЬ ВАЖНО отгрузить в понедельник. как всегда доки в эдо , паспорта качества")</f>
        <v>ОЧЕНЬ ВАЖНО отгрузить в понедельник. как всегда доки в эдо , паспорта качества</v>
      </c>
      <c r="Q499" s="338" t="str">
        <f>IFERROR(__xludf.DUMMYFUNCTION("""COMPUTED_VALUE"""),"г. Москва , ул Мироновская 37")</f>
        <v>г. Москва , ул Мироновская 37</v>
      </c>
      <c r="R499" s="338"/>
      <c r="S499" s="338"/>
      <c r="T499" s="338"/>
      <c r="U499" s="338"/>
      <c r="V499" s="338"/>
      <c r="W499" s="338"/>
      <c r="X499" s="338"/>
      <c r="Y499" s="338"/>
      <c r="Z499" s="338"/>
    </row>
    <row r="500" ht="22.5" customHeight="1">
      <c r="A500" s="528" t="str">
        <f>IFERROR(__xludf.DUMMYFUNCTION("""COMPUTED_VALUE"""),"ООО""ФерЭльГам""")</f>
        <v>ООО"ФерЭльГам"</v>
      </c>
      <c r="B500" s="528"/>
      <c r="C500" s="528" t="str">
        <f>IFERROR(__xludf.DUMMYFUNCTION("""COMPUTED_VALUE"""),"450351 Огурцы соленые 1000 г global village этик.")</f>
        <v>450351 Огурцы соленые 1000 г global village этик.</v>
      </c>
      <c r="D500" s="528">
        <f>IFERROR(__xludf.DUMMYFUNCTION("""COMPUTED_VALUE"""),3459.0)</f>
        <v>3459</v>
      </c>
      <c r="E500" s="528" t="str">
        <f>IFERROR(__xludf.DUMMYFUNCTION("""COMPUTED_VALUE"""),"Баранов Александр")</f>
        <v>Баранов Александр</v>
      </c>
      <c r="F500" s="535" t="str">
        <f>IFERROR(__xludf.DUMMYFUNCTION("""COMPUTED_VALUE"""),"Повтор")</f>
        <v>Повтор</v>
      </c>
      <c r="G500" s="536" t="str">
        <f>IFERROR(__xludf.DUMMYFUNCTION("""COMPUTED_VALUE"""),"д99")</f>
        <v>д99</v>
      </c>
      <c r="H500" s="338" t="str">
        <f>IFERROR(__xludf.DUMMYFUNCTION("""COMPUTED_VALUE"""),"Флексопечать")</f>
        <v>Флексопечать</v>
      </c>
      <c r="I500" s="338" t="str">
        <f>IFERROR(__xludf.DUMMYFUNCTION("""COMPUTED_VALUE"""),"Wg-450")</f>
        <v>Wg-450</v>
      </c>
      <c r="J500" s="536">
        <f>IFERROR(__xludf.DUMMYFUNCTION("""COMPUTED_VALUE"""),100000.0)</f>
        <v>100000</v>
      </c>
      <c r="K500" s="537">
        <f>IFERROR(__xludf.DUMMYFUNCTION("""COMPUTED_VALUE"""),46199.0)</f>
        <v>46199</v>
      </c>
      <c r="L500" s="537"/>
      <c r="M500" s="338" t="str">
        <f>IFERROR(__xludf.DUMMYFUNCTION("""COMPUTED_VALUE"""),"Пленка PP белая каучук")</f>
        <v>Пленка PP белая каучук</v>
      </c>
      <c r="N500" s="338" t="str">
        <f>IFERROR(__xludf.DUMMYFUNCTION("""COMPUTED_VALUE"""),"Отгружен")</f>
        <v>Отгружен</v>
      </c>
      <c r="O500" s="537"/>
      <c r="P500" s="338">
        <f>IFERROR(__xludf.DUMMYFUNCTION("""COMPUTED_VALUE"""),8.0)</f>
        <v>8</v>
      </c>
      <c r="Q500" s="338"/>
      <c r="R500" s="338"/>
      <c r="S500" s="338"/>
      <c r="T500" s="338"/>
      <c r="U500" s="338"/>
      <c r="V500" s="338"/>
      <c r="W500" s="338"/>
      <c r="X500" s="338"/>
      <c r="Y500" s="338"/>
      <c r="Z500" s="338"/>
    </row>
    <row r="501" ht="22.5" customHeight="1">
      <c r="A501" s="528" t="str">
        <f>IFERROR(__xludf.DUMMYFUNCTION("""COMPUTED_VALUE"""),"ООО""ФерЭльГам""")</f>
        <v>ООО"ФерЭльГам"</v>
      </c>
      <c r="B501" s="528"/>
      <c r="C501" s="528" t="str">
        <f>IFERROR(__xludf.DUMMYFUNCTION("""COMPUTED_VALUE"""),"471045 Капуста маринованная Три цитруса 350г. этик.")</f>
        <v>471045 Капуста маринованная Три цитруса 350г. этик.</v>
      </c>
      <c r="D501" s="528">
        <f>IFERROR(__xludf.DUMMYFUNCTION("""COMPUTED_VALUE"""),3460.0)</f>
        <v>3460</v>
      </c>
      <c r="E501" s="528" t="str">
        <f>IFERROR(__xludf.DUMMYFUNCTION("""COMPUTED_VALUE"""),"Баранов Александр")</f>
        <v>Баранов Александр</v>
      </c>
      <c r="F501" s="535" t="str">
        <f>IFERROR(__xludf.DUMMYFUNCTION("""COMPUTED_VALUE"""),"Повтор")</f>
        <v>Повтор</v>
      </c>
      <c r="G501" s="536" t="str">
        <f>IFERROR(__xludf.DUMMYFUNCTION("""COMPUTED_VALUE"""),"д99")</f>
        <v>д99</v>
      </c>
      <c r="H501" s="338" t="str">
        <f>IFERROR(__xludf.DUMMYFUNCTION("""COMPUTED_VALUE"""),"Флексопечать")</f>
        <v>Флексопечать</v>
      </c>
      <c r="I501" s="338" t="str">
        <f>IFERROR(__xludf.DUMMYFUNCTION("""COMPUTED_VALUE"""),"Wg-450")</f>
        <v>Wg-450</v>
      </c>
      <c r="J501" s="536">
        <f>IFERROR(__xludf.DUMMYFUNCTION("""COMPUTED_VALUE"""),30000.0)</f>
        <v>30000</v>
      </c>
      <c r="K501" s="537">
        <f>IFERROR(__xludf.DUMMYFUNCTION("""COMPUTED_VALUE"""),46199.0)</f>
        <v>46199</v>
      </c>
      <c r="L501" s="537"/>
      <c r="M501" s="338" t="str">
        <f>IFERROR(__xludf.DUMMYFUNCTION("""COMPUTED_VALUE"""),"Пленка PP белая каучук")</f>
        <v>Пленка PP белая каучук</v>
      </c>
      <c r="N501" s="338" t="str">
        <f>IFERROR(__xludf.DUMMYFUNCTION("""COMPUTED_VALUE"""),"Отгружен")</f>
        <v>Отгружен</v>
      </c>
      <c r="O501" s="537"/>
      <c r="P501" s="338"/>
      <c r="Q501" s="338"/>
      <c r="R501" s="338"/>
      <c r="S501" s="338"/>
      <c r="T501" s="338"/>
      <c r="U501" s="338"/>
      <c r="V501" s="338"/>
      <c r="W501" s="338"/>
      <c r="X501" s="338"/>
      <c r="Y501" s="338"/>
      <c r="Z501" s="338"/>
    </row>
    <row r="502" ht="22.5" customHeight="1">
      <c r="A502" s="528" t="str">
        <f>IFERROR(__xludf.DUMMYFUNCTION("""COMPUTED_VALUE"""),"ООО Рыбный двор")</f>
        <v>ООО Рыбный двор</v>
      </c>
      <c r="B502" s="528"/>
      <c r="C502" s="528" t="str">
        <f>IFERROR(__xludf.DUMMYFUNCTION("""COMPUTED_VALUE"""),"Этикетка ""Камбала вяленая 100гр""")</f>
        <v>Этикетка "Камбала вяленая 100гр"</v>
      </c>
      <c r="D502" s="528">
        <f>IFERROR(__xludf.DUMMYFUNCTION("""COMPUTED_VALUE"""),3468.0)</f>
        <v>3468</v>
      </c>
      <c r="E502" s="528" t="str">
        <f>IFERROR(__xludf.DUMMYFUNCTION("""COMPUTED_VALUE"""),"Римма Лукина")</f>
        <v>Римма Лукина</v>
      </c>
      <c r="F502" s="535" t="str">
        <f>IFERROR(__xludf.DUMMYFUNCTION("""COMPUTED_VALUE"""),"Повтор")</f>
        <v>Повтор</v>
      </c>
      <c r="G502" s="536"/>
      <c r="H502" s="338" t="str">
        <f>IFERROR(__xludf.DUMMYFUNCTION("""COMPUTED_VALUE"""),"Флексопечать")</f>
        <v>Флексопечать</v>
      </c>
      <c r="I502" s="338" t="str">
        <f>IFERROR(__xludf.DUMMYFUNCTION("""COMPUTED_VALUE"""),"Bg-330")</f>
        <v>Bg-330</v>
      </c>
      <c r="J502" s="536">
        <f>IFERROR(__xludf.DUMMYFUNCTION("""COMPUTED_VALUE"""),20000.0)</f>
        <v>20000</v>
      </c>
      <c r="K502" s="537">
        <f>IFERROR(__xludf.DUMMYFUNCTION("""COMPUTED_VALUE"""),46198.0)</f>
        <v>46198</v>
      </c>
      <c r="L502" s="537"/>
      <c r="M502" s="338" t="str">
        <f>IFERROR(__xludf.DUMMYFUNCTION("""COMPUTED_VALUE"""),"Пленка PP белая акрил")</f>
        <v>Пленка PP белая акрил</v>
      </c>
      <c r="N502" s="338" t="str">
        <f>IFERROR(__xludf.DUMMYFUNCTION("""COMPUTED_VALUE"""),"Отгружен")</f>
        <v>Отгружен</v>
      </c>
      <c r="O502" s="537"/>
      <c r="P502" s="338" t="str">
        <f>IFERROR(__xludf.DUMMYFUNCTION("""COMPUTED_VALUE"""),"отгрузка в среду , можно раньше, паспорта качества. Просдедить чтобы положили документыУПД. Последние две поставки были без документов. Возможно не наша вина. Но достается мне")</f>
        <v>отгрузка в среду , можно раньше, паспорта качества. Просдедить чтобы положили документыУПД. Последние две поставки были без документов. Возможно не наша вина. Но достается мне</v>
      </c>
      <c r="Q502" s="338" t="str">
        <f>IFERROR(__xludf.DUMMYFUNCTION("""COMPUTED_VALUE"""),"г.Воронеж, проспект Патриотов, 65Н Герасимов Алексей 
+79932999262")</f>
        <v>г.Воронеж, проспект Патриотов, 65Н Герасимов Алексей 
+79932999262</v>
      </c>
      <c r="R502" s="338"/>
      <c r="S502" s="338"/>
      <c r="T502" s="338"/>
      <c r="U502" s="338"/>
      <c r="V502" s="338"/>
      <c r="W502" s="338"/>
      <c r="X502" s="338"/>
      <c r="Y502" s="338"/>
      <c r="Z502" s="338"/>
    </row>
    <row r="503" ht="22.5" customHeight="1">
      <c r="A503" s="528" t="str">
        <f>IFERROR(__xludf.DUMMYFUNCTION("""COMPUTED_VALUE"""),"ООО Рыбный двор")</f>
        <v>ООО Рыбный двор</v>
      </c>
      <c r="B503" s="528"/>
      <c r="C503" s="528" t="str">
        <f>IFERROR(__xludf.DUMMYFUNCTION("""COMPUTED_VALUE"""),"Этикетка ""Камбала вяленая 100гр"" V2")</f>
        <v>Этикетка "Камбала вяленая 100гр" V2</v>
      </c>
      <c r="D503" s="528">
        <f>IFERROR(__xludf.DUMMYFUNCTION("""COMPUTED_VALUE"""),3469.0)</f>
        <v>3469</v>
      </c>
      <c r="E503" s="528" t="str">
        <f>IFERROR(__xludf.DUMMYFUNCTION("""COMPUTED_VALUE"""),"Римма Лукина")</f>
        <v>Римма Лукина</v>
      </c>
      <c r="F503" s="535" t="str">
        <f>IFERROR(__xludf.DUMMYFUNCTION("""COMPUTED_VALUE"""),"Новая")</f>
        <v>Новая</v>
      </c>
      <c r="G503" s="536"/>
      <c r="H503" s="338" t="str">
        <f>IFERROR(__xludf.DUMMYFUNCTION("""COMPUTED_VALUE"""),"Флексопечать")</f>
        <v>Флексопечать</v>
      </c>
      <c r="I503" s="338" t="str">
        <f>IFERROR(__xludf.DUMMYFUNCTION("""COMPUTED_VALUE"""),"Bg-330")</f>
        <v>Bg-330</v>
      </c>
      <c r="J503" s="536">
        <f>IFERROR(__xludf.DUMMYFUNCTION("""COMPUTED_VALUE"""),10000.0)</f>
        <v>10000</v>
      </c>
      <c r="K503" s="537">
        <f>IFERROR(__xludf.DUMMYFUNCTION("""COMPUTED_VALUE"""),46198.0)</f>
        <v>46198</v>
      </c>
      <c r="L503" s="537"/>
      <c r="M503" s="338" t="str">
        <f>IFERROR(__xludf.DUMMYFUNCTION("""COMPUTED_VALUE"""),"Пленка PP белая акрил")</f>
        <v>Пленка PP белая акрил</v>
      </c>
      <c r="N503" s="338" t="str">
        <f>IFERROR(__xludf.DUMMYFUNCTION("""COMPUTED_VALUE"""),"Отгружен")</f>
        <v>Отгружен</v>
      </c>
      <c r="O503" s="537">
        <f>IFERROR(__xludf.DUMMYFUNCTION("""COMPUTED_VALUE"""),46203.0)</f>
        <v>46203</v>
      </c>
      <c r="P503" s="338" t="str">
        <f>IFERROR(__xludf.DUMMYFUNCTION("""COMPUTED_VALUE"""),"отгрузка в среду , можно раньше, паспорта качества. Просдедить чтобы положили документыУПД. Последние две поставки были без документов. Возможно не наша вина. Но достается мне")</f>
        <v>отгрузка в среду , можно раньше, паспорта качества. Просдедить чтобы положили документыУПД. Последние две поставки были без документов. Возможно не наша вина. Но достается мне</v>
      </c>
      <c r="Q503" s="338" t="str">
        <f>IFERROR(__xludf.DUMMYFUNCTION("""COMPUTED_VALUE"""),"г.Воронеж, проспект Патриотов, 65Н Герасимов Алексей 
+79932999262")</f>
        <v>г.Воронеж, проспект Патриотов, 65Н Герасимов Алексей 
+79932999262</v>
      </c>
      <c r="R503" s="338"/>
      <c r="S503" s="338"/>
      <c r="T503" s="338"/>
      <c r="U503" s="338"/>
      <c r="V503" s="338"/>
      <c r="W503" s="338"/>
      <c r="X503" s="338"/>
      <c r="Y503" s="338"/>
      <c r="Z503" s="338"/>
    </row>
    <row r="504" ht="22.5" customHeight="1">
      <c r="A504" s="528" t="str">
        <f>IFERROR(__xludf.DUMMYFUNCTION("""COMPUTED_VALUE"""),"ООО РУССКО")</f>
        <v>ООО РУССКО</v>
      </c>
      <c r="B504" s="528"/>
      <c r="C504" s="528" t="str">
        <f>IFERROR(__xludf.DUMMYFUNCTION("""COMPUTED_VALUE"""),"Этикетка Лапша быстрого приготовления Чизи Рамен со вкусом острого перца Чили и сыра Чеддер")</f>
        <v>Этикетка Лапша быстрого приготовления Чизи Рамен со вкусом острого перца Чили и сыра Чеддер</v>
      </c>
      <c r="D504" s="528">
        <f>IFERROR(__xludf.DUMMYFUNCTION("""COMPUTED_VALUE"""),3483.0)</f>
        <v>3483</v>
      </c>
      <c r="E504" s="528" t="str">
        <f>IFERROR(__xludf.DUMMYFUNCTION("""COMPUTED_VALUE"""),"Шаповалова Юлия")</f>
        <v>Шаповалова Юлия</v>
      </c>
      <c r="F504" s="535" t="str">
        <f>IFERROR(__xludf.DUMMYFUNCTION("""COMPUTED_VALUE"""),"Новая")</f>
        <v>Новая</v>
      </c>
      <c r="G504" s="536" t="str">
        <f>IFERROR(__xludf.DUMMYFUNCTION("""COMPUTED_VALUE"""),"70*100")</f>
        <v>70*100</v>
      </c>
      <c r="H504" s="338" t="str">
        <f>IFERROR(__xludf.DUMMYFUNCTION("""COMPUTED_VALUE"""),"Флексопечать")</f>
        <v>Флексопечать</v>
      </c>
      <c r="I504" s="338" t="str">
        <f>IFERROR(__xludf.DUMMYFUNCTION("""COMPUTED_VALUE"""),"G-160")</f>
        <v>G-160</v>
      </c>
      <c r="J504" s="536" t="str">
        <f>IFERROR(__xludf.DUMMYFUNCTION("""COMPUTED_VALUE"""),"50 000")</f>
        <v>50 000</v>
      </c>
      <c r="K504" s="537">
        <f>IFERROR(__xludf.DUMMYFUNCTION("""COMPUTED_VALUE"""),46202.0)</f>
        <v>46202</v>
      </c>
      <c r="L504" s="537"/>
      <c r="M504" s="338" t="str">
        <f>IFERROR(__xludf.DUMMYFUNCTION("""COMPUTED_VALUE"""),"Бумага полуглянец акрил")</f>
        <v>Бумага полуглянец акрил</v>
      </c>
      <c r="N504" s="338" t="str">
        <f>IFERROR(__xludf.DUMMYFUNCTION("""COMPUTED_VALUE"""),"Отгружен")</f>
        <v>Отгружен</v>
      </c>
      <c r="O504" s="537"/>
      <c r="P504" s="338"/>
      <c r="Q504" s="338" t="str">
        <f>IFERROR(__xludf.DUMMYFUNCTION("""COMPUTED_VALUE"""),"Пушкино, мкрн Мамонтовка, ул. Рабочая, 1, с3склад ЛигК,
с 9:00-17:00, въезд до 16:30,
89122505588, 8(495) 775-01-38")</f>
        <v>Пушкино, мкрн Мамонтовка, ул. Рабочая, 1, с3склад ЛигК,
с 9:00-17:00, въезд до 16:30,
89122505588, 8(495) 775-01-38</v>
      </c>
      <c r="R504" s="338"/>
      <c r="S504" s="338"/>
      <c r="T504" s="338"/>
      <c r="U504" s="338"/>
      <c r="V504" s="338"/>
      <c r="W504" s="338"/>
      <c r="X504" s="338"/>
      <c r="Y504" s="338"/>
      <c r="Z504" s="338"/>
    </row>
    <row r="505" ht="22.5" customHeight="1">
      <c r="A505" s="528" t="str">
        <f>IFERROR(__xludf.DUMMYFUNCTION("""COMPUTED_VALUE"""),"ООО РУССКО")</f>
        <v>ООО РУССКО</v>
      </c>
      <c r="B505" s="528"/>
      <c r="C505" s="528" t="str">
        <f>IFERROR(__xludf.DUMMYFUNCTION("""COMPUTED_VALUE"""),"Этикетка Лапша быстрого приготовления Чизи Рамен со вкусом сыра Чеддер")</f>
        <v>Этикетка Лапша быстрого приготовления Чизи Рамен со вкусом сыра Чеддер</v>
      </c>
      <c r="D505" s="528">
        <f>IFERROR(__xludf.DUMMYFUNCTION("""COMPUTED_VALUE"""),3484.0)</f>
        <v>3484</v>
      </c>
      <c r="E505" s="528" t="str">
        <f>IFERROR(__xludf.DUMMYFUNCTION("""COMPUTED_VALUE"""),"Шаповалова Юлия")</f>
        <v>Шаповалова Юлия</v>
      </c>
      <c r="F505" s="535" t="str">
        <f>IFERROR(__xludf.DUMMYFUNCTION("""COMPUTED_VALUE"""),"Новая")</f>
        <v>Новая</v>
      </c>
      <c r="G505" s="536" t="str">
        <f>IFERROR(__xludf.DUMMYFUNCTION("""COMPUTED_VALUE"""),"70*100")</f>
        <v>70*100</v>
      </c>
      <c r="H505" s="338" t="str">
        <f>IFERROR(__xludf.DUMMYFUNCTION("""COMPUTED_VALUE"""),"Флексопечать")</f>
        <v>Флексопечать</v>
      </c>
      <c r="I505" s="338" t="str">
        <f>IFERROR(__xludf.DUMMYFUNCTION("""COMPUTED_VALUE"""),"G-160")</f>
        <v>G-160</v>
      </c>
      <c r="J505" s="536" t="str">
        <f>IFERROR(__xludf.DUMMYFUNCTION("""COMPUTED_VALUE"""),"50 000")</f>
        <v>50 000</v>
      </c>
      <c r="K505" s="537">
        <f>IFERROR(__xludf.DUMMYFUNCTION("""COMPUTED_VALUE"""),46202.0)</f>
        <v>46202</v>
      </c>
      <c r="L505" s="537"/>
      <c r="M505" s="338" t="str">
        <f>IFERROR(__xludf.DUMMYFUNCTION("""COMPUTED_VALUE"""),"Бумага полуглянец акрил")</f>
        <v>Бумага полуглянец акрил</v>
      </c>
      <c r="N505" s="338" t="str">
        <f>IFERROR(__xludf.DUMMYFUNCTION("""COMPUTED_VALUE"""),"Отгружен")</f>
        <v>Отгружен</v>
      </c>
      <c r="O505" s="537"/>
      <c r="P505" s="338"/>
      <c r="Q505" s="338" t="str">
        <f>IFERROR(__xludf.DUMMYFUNCTION("""COMPUTED_VALUE"""),"Пушкино, мкрн Мамонтовка, ул. Рабочая, 1, с3склад ЛигК,
с 9:00-17:00, въезд до 16:30,
89122505588, 8(495) 775-01-38")</f>
        <v>Пушкино, мкрн Мамонтовка, ул. Рабочая, 1, с3склад ЛигК,
с 9:00-17:00, въезд до 16:30,
89122505588, 8(495) 775-01-38</v>
      </c>
      <c r="R505" s="338"/>
      <c r="S505" s="338"/>
      <c r="T505" s="338"/>
      <c r="U505" s="338"/>
      <c r="V505" s="338"/>
      <c r="W505" s="338"/>
      <c r="X505" s="338"/>
      <c r="Y505" s="338"/>
      <c r="Z505" s="338"/>
    </row>
    <row r="506" ht="22.5" customHeight="1">
      <c r="A506" s="528" t="str">
        <f>IFERROR(__xludf.DUMMYFUNCTION("""COMPUTED_VALUE"""),"ООО РУССКО")</f>
        <v>ООО РУССКО</v>
      </c>
      <c r="B506" s="528"/>
      <c r="C506" s="528" t="str">
        <f>IFERROR(__xludf.DUMMYFUNCTION("""COMPUTED_VALUE"""),"Этикетка Лапша быстрого приготовления Чизи Рамен со вкусом сыра Чеддер и Маскарпоне")</f>
        <v>Этикетка Лапша быстрого приготовления Чизи Рамен со вкусом сыра Чеддер и Маскарпоне</v>
      </c>
      <c r="D506" s="528">
        <f>IFERROR(__xludf.DUMMYFUNCTION("""COMPUTED_VALUE"""),3485.0)</f>
        <v>3485</v>
      </c>
      <c r="E506" s="528" t="str">
        <f>IFERROR(__xludf.DUMMYFUNCTION("""COMPUTED_VALUE"""),"Шаповалова Юлия")</f>
        <v>Шаповалова Юлия</v>
      </c>
      <c r="F506" s="535" t="str">
        <f>IFERROR(__xludf.DUMMYFUNCTION("""COMPUTED_VALUE"""),"Новая")</f>
        <v>Новая</v>
      </c>
      <c r="G506" s="536" t="str">
        <f>IFERROR(__xludf.DUMMYFUNCTION("""COMPUTED_VALUE"""),"70*100")</f>
        <v>70*100</v>
      </c>
      <c r="H506" s="338" t="str">
        <f>IFERROR(__xludf.DUMMYFUNCTION("""COMPUTED_VALUE"""),"Флексопечать")</f>
        <v>Флексопечать</v>
      </c>
      <c r="I506" s="338" t="str">
        <f>IFERROR(__xludf.DUMMYFUNCTION("""COMPUTED_VALUE"""),"G-160")</f>
        <v>G-160</v>
      </c>
      <c r="J506" s="536" t="str">
        <f>IFERROR(__xludf.DUMMYFUNCTION("""COMPUTED_VALUE"""),"50 000")</f>
        <v>50 000</v>
      </c>
      <c r="K506" s="537">
        <f>IFERROR(__xludf.DUMMYFUNCTION("""COMPUTED_VALUE"""),46202.0)</f>
        <v>46202</v>
      </c>
      <c r="L506" s="537"/>
      <c r="M506" s="338" t="str">
        <f>IFERROR(__xludf.DUMMYFUNCTION("""COMPUTED_VALUE"""),"Бумага полуглянец акрил")</f>
        <v>Бумага полуглянец акрил</v>
      </c>
      <c r="N506" s="338" t="str">
        <f>IFERROR(__xludf.DUMMYFUNCTION("""COMPUTED_VALUE"""),"Отгружен")</f>
        <v>Отгружен</v>
      </c>
      <c r="O506" s="537"/>
      <c r="P506" s="338"/>
      <c r="Q506" s="338" t="str">
        <f>IFERROR(__xludf.DUMMYFUNCTION("""COMPUTED_VALUE"""),"Пушкино, мкрн Мамонтовка, ул. Рабочая, 1, с3склад ЛигК,
с 9:00-17:00, въезд до 16:30,
89122505588, 8(495) 775-01-38")</f>
        <v>Пушкино, мкрн Мамонтовка, ул. Рабочая, 1, с3склад ЛигК,
с 9:00-17:00, въезд до 16:30,
89122505588, 8(495) 775-01-38</v>
      </c>
      <c r="R506" s="338"/>
      <c r="S506" s="338"/>
      <c r="T506" s="338"/>
      <c r="U506" s="338"/>
      <c r="V506" s="338"/>
      <c r="W506" s="338"/>
      <c r="X506" s="338"/>
      <c r="Y506" s="338"/>
      <c r="Z506" s="338"/>
    </row>
    <row r="507" ht="22.5" customHeight="1">
      <c r="A507" s="528" t="str">
        <f>IFERROR(__xludf.DUMMYFUNCTION("""COMPUTED_VALUE"""),"ООО РУССКО")</f>
        <v>ООО РУССКО</v>
      </c>
      <c r="B507" s="528"/>
      <c r="C507" s="528" t="str">
        <f>IFERROR(__xludf.DUMMYFUNCTION("""COMPUTED_VALUE"""),"Этикетка Лапша быстрого приготовления Чизи Рамен острый вкус")</f>
        <v>Этикетка Лапша быстрого приготовления Чизи Рамен острый вкус</v>
      </c>
      <c r="D507" s="528">
        <f>IFERROR(__xludf.DUMMYFUNCTION("""COMPUTED_VALUE"""),3486.0)</f>
        <v>3486</v>
      </c>
      <c r="E507" s="528" t="str">
        <f>IFERROR(__xludf.DUMMYFUNCTION("""COMPUTED_VALUE"""),"Шаповалова Юлия")</f>
        <v>Шаповалова Юлия</v>
      </c>
      <c r="F507" s="535" t="str">
        <f>IFERROR(__xludf.DUMMYFUNCTION("""COMPUTED_VALUE"""),"Новая")</f>
        <v>Новая</v>
      </c>
      <c r="G507" s="536" t="str">
        <f>IFERROR(__xludf.DUMMYFUNCTION("""COMPUTED_VALUE"""),"70*100")</f>
        <v>70*100</v>
      </c>
      <c r="H507" s="338" t="str">
        <f>IFERROR(__xludf.DUMMYFUNCTION("""COMPUTED_VALUE"""),"Флексопечать")</f>
        <v>Флексопечать</v>
      </c>
      <c r="I507" s="338" t="str">
        <f>IFERROR(__xludf.DUMMYFUNCTION("""COMPUTED_VALUE"""),"G-160")</f>
        <v>G-160</v>
      </c>
      <c r="J507" s="536" t="str">
        <f>IFERROR(__xludf.DUMMYFUNCTION("""COMPUTED_VALUE"""),"50 000")</f>
        <v>50 000</v>
      </c>
      <c r="K507" s="537">
        <f>IFERROR(__xludf.DUMMYFUNCTION("""COMPUTED_VALUE"""),46202.0)</f>
        <v>46202</v>
      </c>
      <c r="L507" s="537"/>
      <c r="M507" s="338" t="str">
        <f>IFERROR(__xludf.DUMMYFUNCTION("""COMPUTED_VALUE"""),"Бумага полуглянец акрил")</f>
        <v>Бумага полуглянец акрил</v>
      </c>
      <c r="N507" s="338" t="str">
        <f>IFERROR(__xludf.DUMMYFUNCTION("""COMPUTED_VALUE"""),"Отгружен")</f>
        <v>Отгружен</v>
      </c>
      <c r="O507" s="537"/>
      <c r="P507" s="338"/>
      <c r="Q507" s="338" t="str">
        <f>IFERROR(__xludf.DUMMYFUNCTION("""COMPUTED_VALUE"""),"Пушкино, мкрн Мамонтовка, ул. Рабочая, 1, с3склад ЛигК,
с 9:00-17:00, въезд до 16:30,
89122505588, 8(495) 775-01-38")</f>
        <v>Пушкино, мкрн Мамонтовка, ул. Рабочая, 1, с3склад ЛигК,
с 9:00-17:00, въезд до 16:30,
89122505588, 8(495) 775-01-38</v>
      </c>
      <c r="R507" s="338"/>
      <c r="S507" s="338"/>
      <c r="T507" s="338"/>
      <c r="U507" s="338"/>
      <c r="V507" s="338"/>
      <c r="W507" s="338"/>
      <c r="X507" s="338"/>
      <c r="Y507" s="338"/>
      <c r="Z507" s="338"/>
    </row>
    <row r="508" ht="22.5" customHeight="1">
      <c r="A508" s="528" t="str">
        <f>IFERROR(__xludf.DUMMYFUNCTION("""COMPUTED_VALUE"""),"ООО РУССКО")</f>
        <v>ООО РУССКО</v>
      </c>
      <c r="B508" s="528"/>
      <c r="C508" s="528" t="str">
        <f>IFERROR(__xludf.DUMMYFUNCTION("""COMPUTED_VALUE"""),"Этикетка ЛАПША БЫСТРОГО ПРИГОТОВЛЕНИЯ «РАМЕН НЕЖНЫЙ СО ВКУСОМ СЫРА»")</f>
        <v>Этикетка ЛАПША БЫСТРОГО ПРИГОТОВЛЕНИЯ «РАМЕН НЕЖНЫЙ СО ВКУСОМ СЫРА»</v>
      </c>
      <c r="D508" s="528">
        <f>IFERROR(__xludf.DUMMYFUNCTION("""COMPUTED_VALUE"""),3487.0)</f>
        <v>3487</v>
      </c>
      <c r="E508" s="528" t="str">
        <f>IFERROR(__xludf.DUMMYFUNCTION("""COMPUTED_VALUE"""),"Шаповалова Юлия")</f>
        <v>Шаповалова Юлия</v>
      </c>
      <c r="F508" s="535" t="str">
        <f>IFERROR(__xludf.DUMMYFUNCTION("""COMPUTED_VALUE"""),"Новая")</f>
        <v>Новая</v>
      </c>
      <c r="G508" s="536" t="str">
        <f>IFERROR(__xludf.DUMMYFUNCTION("""COMPUTED_VALUE"""),"70*100")</f>
        <v>70*100</v>
      </c>
      <c r="H508" s="338" t="str">
        <f>IFERROR(__xludf.DUMMYFUNCTION("""COMPUTED_VALUE"""),"Флексопечать")</f>
        <v>Флексопечать</v>
      </c>
      <c r="I508" s="338" t="str">
        <f>IFERROR(__xludf.DUMMYFUNCTION("""COMPUTED_VALUE"""),"G-160")</f>
        <v>G-160</v>
      </c>
      <c r="J508" s="536" t="str">
        <f>IFERROR(__xludf.DUMMYFUNCTION("""COMPUTED_VALUE"""),"50 000")</f>
        <v>50 000</v>
      </c>
      <c r="K508" s="537">
        <f>IFERROR(__xludf.DUMMYFUNCTION("""COMPUTED_VALUE"""),46202.0)</f>
        <v>46202</v>
      </c>
      <c r="L508" s="537"/>
      <c r="M508" s="338" t="str">
        <f>IFERROR(__xludf.DUMMYFUNCTION("""COMPUTED_VALUE"""),"Бумага полуглянец акрил")</f>
        <v>Бумага полуглянец акрил</v>
      </c>
      <c r="N508" s="338" t="str">
        <f>IFERROR(__xludf.DUMMYFUNCTION("""COMPUTED_VALUE"""),"Отгружен")</f>
        <v>Отгружен</v>
      </c>
      <c r="O508" s="537"/>
      <c r="P508" s="338"/>
      <c r="Q508" s="338" t="str">
        <f>IFERROR(__xludf.DUMMYFUNCTION("""COMPUTED_VALUE"""),"Пушкино, мкрн Мамонтовка, ул. Рабочая, 1, с3склад ЛигК,
с 9:00-17:00, въезд до 16:30,
89122505588, 8(495) 775-01-38")</f>
        <v>Пушкино, мкрн Мамонтовка, ул. Рабочая, 1, с3склад ЛигК,
с 9:00-17:00, въезд до 16:30,
89122505588, 8(495) 775-01-38</v>
      </c>
      <c r="R508" s="338"/>
      <c r="S508" s="338"/>
      <c r="T508" s="338"/>
      <c r="U508" s="338"/>
      <c r="V508" s="338"/>
      <c r="W508" s="338"/>
      <c r="X508" s="338"/>
      <c r="Y508" s="338"/>
      <c r="Z508" s="338"/>
    </row>
    <row r="509" ht="22.5" customHeight="1">
      <c r="A509" s="528" t="str">
        <f>IFERROR(__xludf.DUMMYFUNCTION("""COMPUTED_VALUE"""),"ООО""ФерЭльГам""")</f>
        <v>ООО"ФерЭльГам"</v>
      </c>
      <c r="B509" s="528"/>
      <c r="C509" s="528" t="str">
        <f>IFERROR(__xludf.DUMMYFUNCTION("""COMPUTED_VALUE"""),"470226 Капуста с клюквой 500 г (ДИКСИ) этик.")</f>
        <v>470226 Капуста с клюквой 500 г (ДИКСИ) этик.</v>
      </c>
      <c r="D509" s="528">
        <f>IFERROR(__xludf.DUMMYFUNCTION("""COMPUTED_VALUE"""),3503.0)</f>
        <v>3503</v>
      </c>
      <c r="E509" s="528" t="str">
        <f>IFERROR(__xludf.DUMMYFUNCTION("""COMPUTED_VALUE"""),"Баранов Александр")</f>
        <v>Баранов Александр</v>
      </c>
      <c r="F509" s="535" t="str">
        <f>IFERROR(__xludf.DUMMYFUNCTION("""COMPUTED_VALUE"""),"Новая")</f>
        <v>Новая</v>
      </c>
      <c r="G509" s="536" t="str">
        <f>IFERROR(__xludf.DUMMYFUNCTION("""COMPUTED_VALUE"""),"Д110")</f>
        <v>Д110</v>
      </c>
      <c r="H509" s="338" t="str">
        <f>IFERROR(__xludf.DUMMYFUNCTION("""COMPUTED_VALUE"""),"Флексопечать")</f>
        <v>Флексопечать</v>
      </c>
      <c r="I509" s="338" t="str">
        <f>IFERROR(__xludf.DUMMYFUNCTION("""COMPUTED_VALUE"""),"Wg-450")</f>
        <v>Wg-450</v>
      </c>
      <c r="J509" s="536">
        <f>IFERROR(__xludf.DUMMYFUNCTION("""COMPUTED_VALUE"""),30000.0)</f>
        <v>30000</v>
      </c>
      <c r="K509" s="537">
        <f>IFERROR(__xludf.DUMMYFUNCTION("""COMPUTED_VALUE"""),46199.0)</f>
        <v>46199</v>
      </c>
      <c r="L509" s="537"/>
      <c r="M509" s="338" t="str">
        <f>IFERROR(__xludf.DUMMYFUNCTION("""COMPUTED_VALUE"""),"Пленка PP белая каучук")</f>
        <v>Пленка PP белая каучук</v>
      </c>
      <c r="N509" s="338" t="str">
        <f>IFERROR(__xludf.DUMMYFUNCTION("""COMPUTED_VALUE"""),"Отгружен")</f>
        <v>Отгружен</v>
      </c>
      <c r="O509" s="537"/>
      <c r="P509" s="338"/>
      <c r="Q509" s="338"/>
      <c r="R509" s="338"/>
      <c r="S509" s="338"/>
      <c r="T509" s="338"/>
      <c r="U509" s="338"/>
      <c r="V509" s="338"/>
      <c r="W509" s="338"/>
      <c r="X509" s="338"/>
      <c r="Y509" s="338"/>
      <c r="Z509" s="338"/>
    </row>
    <row r="510" ht="22.5" customHeight="1">
      <c r="A510" s="528" t="str">
        <f>IFERROR(__xludf.DUMMYFUNCTION("""COMPUTED_VALUE"""),"ООО""ФерЭльГам""")</f>
        <v>ООО"ФерЭльГам"</v>
      </c>
      <c r="B510" s="528"/>
      <c r="C510" s="528" t="str">
        <f>IFERROR(__xludf.DUMMYFUNCTION("""COMPUTED_VALUE"""),"471049 Капуста маринованная ""Диет"" 350 г этик.")</f>
        <v>471049 Капуста маринованная "Диет" 350 г этик.</v>
      </c>
      <c r="D510" s="528">
        <f>IFERROR(__xludf.DUMMYFUNCTION("""COMPUTED_VALUE"""),3504.0)</f>
        <v>3504</v>
      </c>
      <c r="E510" s="528" t="str">
        <f>IFERROR(__xludf.DUMMYFUNCTION("""COMPUTED_VALUE"""),"Баранов Александр")</f>
        <v>Баранов Александр</v>
      </c>
      <c r="F510" s="535" t="str">
        <f>IFERROR(__xludf.DUMMYFUNCTION("""COMPUTED_VALUE"""),"Новая")</f>
        <v>Новая</v>
      </c>
      <c r="G510" s="536" t="str">
        <f>IFERROR(__xludf.DUMMYFUNCTION("""COMPUTED_VALUE"""),"Д110")</f>
        <v>Д110</v>
      </c>
      <c r="H510" s="338" t="str">
        <f>IFERROR(__xludf.DUMMYFUNCTION("""COMPUTED_VALUE"""),"Флексопечать")</f>
        <v>Флексопечать</v>
      </c>
      <c r="I510" s="338" t="str">
        <f>IFERROR(__xludf.DUMMYFUNCTION("""COMPUTED_VALUE"""),"Wg-450")</f>
        <v>Wg-450</v>
      </c>
      <c r="J510" s="536">
        <f>IFERROR(__xludf.DUMMYFUNCTION("""COMPUTED_VALUE"""),20000.0)</f>
        <v>20000</v>
      </c>
      <c r="K510" s="537">
        <f>IFERROR(__xludf.DUMMYFUNCTION("""COMPUTED_VALUE"""),46203.0)</f>
        <v>46203</v>
      </c>
      <c r="L510" s="537"/>
      <c r="M510" s="338" t="str">
        <f>IFERROR(__xludf.DUMMYFUNCTION("""COMPUTED_VALUE"""),"Пленка PP белая каучук")</f>
        <v>Пленка PP белая каучук</v>
      </c>
      <c r="N510" s="338" t="str">
        <f>IFERROR(__xludf.DUMMYFUNCTION("""COMPUTED_VALUE"""),"Отгружен")</f>
        <v>Отгружен</v>
      </c>
      <c r="O510" s="537"/>
      <c r="P510" s="338"/>
      <c r="Q510" s="338"/>
      <c r="R510" s="338"/>
      <c r="S510" s="338"/>
      <c r="T510" s="338"/>
      <c r="U510" s="338"/>
      <c r="V510" s="338"/>
      <c r="W510" s="338"/>
      <c r="X510" s="338"/>
      <c r="Y510" s="338"/>
      <c r="Z510" s="338"/>
    </row>
    <row r="511" ht="22.5" customHeight="1">
      <c r="A511" s="528" t="str">
        <f>IFERROR(__xludf.DUMMYFUNCTION("""COMPUTED_VALUE"""),"ООО""ФерЭльГам""")</f>
        <v>ООО"ФерЭльГам"</v>
      </c>
      <c r="B511" s="528"/>
      <c r="C511" s="528" t="str">
        <f>IFERROR(__xludf.DUMMYFUNCTION("""COMPUTED_VALUE"""),"470339 Морковь по-корейски 300 г этик.")</f>
        <v>470339 Морковь по-корейски 300 г этик.</v>
      </c>
      <c r="D511" s="528">
        <f>IFERROR(__xludf.DUMMYFUNCTION("""COMPUTED_VALUE"""),3505.0)</f>
        <v>3505</v>
      </c>
      <c r="E511" s="528" t="str">
        <f>IFERROR(__xludf.DUMMYFUNCTION("""COMPUTED_VALUE"""),"Баранов Александр")</f>
        <v>Баранов Александр</v>
      </c>
      <c r="F511" s="535" t="str">
        <f>IFERROR(__xludf.DUMMYFUNCTION("""COMPUTED_VALUE"""),"Повтор с изменениями")</f>
        <v>Повтор с изменениями</v>
      </c>
      <c r="G511" s="536" t="str">
        <f>IFERROR(__xludf.DUMMYFUNCTION("""COMPUTED_VALUE"""),"д110")</f>
        <v>д110</v>
      </c>
      <c r="H511" s="338" t="str">
        <f>IFERROR(__xludf.DUMMYFUNCTION("""COMPUTED_VALUE"""),"Флексопечать")</f>
        <v>Флексопечать</v>
      </c>
      <c r="I511" s="338" t="str">
        <f>IFERROR(__xludf.DUMMYFUNCTION("""COMPUTED_VALUE"""),"Wg-450")</f>
        <v>Wg-450</v>
      </c>
      <c r="J511" s="536">
        <f>IFERROR(__xludf.DUMMYFUNCTION("""COMPUTED_VALUE"""),40000.0)</f>
        <v>40000</v>
      </c>
      <c r="K511" s="537">
        <f>IFERROR(__xludf.DUMMYFUNCTION("""COMPUTED_VALUE"""),46199.0)</f>
        <v>46199</v>
      </c>
      <c r="L511" s="537"/>
      <c r="M511" s="338" t="str">
        <f>IFERROR(__xludf.DUMMYFUNCTION("""COMPUTED_VALUE"""),"Пленка PP белая каучук")</f>
        <v>Пленка PP белая каучук</v>
      </c>
      <c r="N511" s="338" t="str">
        <f>IFERROR(__xludf.DUMMYFUNCTION("""COMPUTED_VALUE"""),"Отгружен")</f>
        <v>Отгружен</v>
      </c>
      <c r="O511" s="537"/>
      <c r="P511" s="338"/>
      <c r="Q511" s="338"/>
      <c r="R511" s="338"/>
      <c r="S511" s="338"/>
      <c r="T511" s="338"/>
      <c r="U511" s="338"/>
      <c r="V511" s="338"/>
      <c r="W511" s="338"/>
      <c r="X511" s="338"/>
      <c r="Y511" s="338"/>
      <c r="Z511" s="338"/>
    </row>
    <row r="512" ht="22.5" customHeight="1">
      <c r="A512" s="528" t="str">
        <f>IFERROR(__xludf.DUMMYFUNCTION("""COMPUTED_VALUE"""),"ООО""ФерЭльГам""")</f>
        <v>ООО"ФерЭльГам"</v>
      </c>
      <c r="B512" s="528"/>
      <c r="C512" s="528" t="str">
        <f>IFERROR(__xludf.DUMMYFUNCTION("""COMPUTED_VALUE"""),"470706 Чеснок красный 250 г Дольки этик.")</f>
        <v>470706 Чеснок красный 250 г Дольки этик.</v>
      </c>
      <c r="D512" s="528">
        <f>IFERROR(__xludf.DUMMYFUNCTION("""COMPUTED_VALUE"""),3506.0)</f>
        <v>3506</v>
      </c>
      <c r="E512" s="528" t="str">
        <f>IFERROR(__xludf.DUMMYFUNCTION("""COMPUTED_VALUE"""),"Баранов Александр")</f>
        <v>Баранов Александр</v>
      </c>
      <c r="F512" s="535" t="str">
        <f>IFERROR(__xludf.DUMMYFUNCTION("""COMPUTED_VALUE"""),"Новая")</f>
        <v>Новая</v>
      </c>
      <c r="G512" s="536" t="str">
        <f>IFERROR(__xludf.DUMMYFUNCTION("""COMPUTED_VALUE"""),"д75")</f>
        <v>д75</v>
      </c>
      <c r="H512" s="338" t="str">
        <f>IFERROR(__xludf.DUMMYFUNCTION("""COMPUTED_VALUE"""),"Флексопечать")</f>
        <v>Флексопечать</v>
      </c>
      <c r="I512" s="338" t="str">
        <f>IFERROR(__xludf.DUMMYFUNCTION("""COMPUTED_VALUE"""),"Wg-450")</f>
        <v>Wg-450</v>
      </c>
      <c r="J512" s="536">
        <f>IFERROR(__xludf.DUMMYFUNCTION("""COMPUTED_VALUE"""),10000.0)</f>
        <v>10000</v>
      </c>
      <c r="K512" s="537">
        <f>IFERROR(__xludf.DUMMYFUNCTION("""COMPUTED_VALUE"""),46199.0)</f>
        <v>46199</v>
      </c>
      <c r="L512" s="537"/>
      <c r="M512" s="338" t="str">
        <f>IFERROR(__xludf.DUMMYFUNCTION("""COMPUTED_VALUE"""),"Пленка PP белая каучук")</f>
        <v>Пленка PP белая каучук</v>
      </c>
      <c r="N512" s="338" t="str">
        <f>IFERROR(__xludf.DUMMYFUNCTION("""COMPUTED_VALUE"""),"Отгружен")</f>
        <v>Отгружен</v>
      </c>
      <c r="O512" s="537"/>
      <c r="P512" s="338"/>
      <c r="Q512" s="338"/>
      <c r="R512" s="338"/>
      <c r="S512" s="338"/>
      <c r="T512" s="338"/>
      <c r="U512" s="338"/>
      <c r="V512" s="338"/>
      <c r="W512" s="338"/>
      <c r="X512" s="338"/>
      <c r="Y512" s="338"/>
      <c r="Z512" s="338"/>
    </row>
    <row r="513" ht="22.5" customHeight="1">
      <c r="A513" s="528" t="str">
        <f>IFERROR(__xludf.DUMMYFUNCTION("""COMPUTED_VALUE"""),"ООО «Мэйджор Терминал»")</f>
        <v>ООО «Мэйджор Терминал»</v>
      </c>
      <c r="B513" s="528"/>
      <c r="C513" s="528" t="str">
        <f>IFERROR(__xludf.DUMMYFUNCTION("""COMPUTED_VALUE"""),"Стикер 80*125 без печати п/г")</f>
        <v>Стикер 80*125 без печати п/г</v>
      </c>
      <c r="D513" s="528">
        <f>IFERROR(__xludf.DUMMYFUNCTION("""COMPUTED_VALUE"""),3512.0)</f>
        <v>3512</v>
      </c>
      <c r="E513" s="528" t="str">
        <f>IFERROR(__xludf.DUMMYFUNCTION("""COMPUTED_VALUE"""),"Римма Лукина")</f>
        <v>Римма Лукина</v>
      </c>
      <c r="F513" s="535" t="str">
        <f>IFERROR(__xludf.DUMMYFUNCTION("""COMPUTED_VALUE"""),"ТЕСТ")</f>
        <v>ТЕСТ</v>
      </c>
      <c r="G513" s="536" t="str">
        <f>IFERROR(__xludf.DUMMYFUNCTION("""COMPUTED_VALUE"""),"80*125")</f>
        <v>80*125</v>
      </c>
      <c r="H513" s="338"/>
      <c r="I513" s="338"/>
      <c r="J513" s="536" t="str">
        <f>IFERROR(__xludf.DUMMYFUNCTION("""COMPUTED_VALUE"""),"200-300")</f>
        <v>200-300</v>
      </c>
      <c r="K513" s="537">
        <f>IFERROR(__xludf.DUMMYFUNCTION("""COMPUTED_VALUE"""),46203.0)</f>
        <v>46203</v>
      </c>
      <c r="L513" s="537"/>
      <c r="M513" s="338" t="str">
        <f>IFERROR(__xludf.DUMMYFUNCTION("""COMPUTED_VALUE"""),"Бумага полуглянец акрил")</f>
        <v>Бумага полуглянец акрил</v>
      </c>
      <c r="N513" s="338" t="str">
        <f>IFERROR(__xludf.DUMMYFUNCTION("""COMPUTED_VALUE"""),"Отгружен")</f>
        <v>Отгружен</v>
      </c>
      <c r="O513" s="537"/>
      <c r="P513" s="338"/>
      <c r="Q513" s="338" t="str">
        <f>IFERROR(__xludf.DUMMYFUNCTION("""COMPUTED_VALUE"""),"М.О.   Истринский р-он, с. Павловская Слобода, ул. Ленина 85/2.
Заранее необходимо заказать пропуск.
 Виталий Рубцов +7 966 176 33 52")</f>
        <v>М.О.   Истринский р-он, с. Павловская Слобода, ул. Ленина 85/2.
Заранее необходимо заказать пропуск.
 Виталий Рубцов +7 966 176 33 52</v>
      </c>
      <c r="R513" s="338"/>
      <c r="S513" s="338"/>
      <c r="T513" s="338"/>
      <c r="U513" s="338"/>
      <c r="V513" s="338"/>
      <c r="W513" s="338"/>
      <c r="X513" s="338"/>
      <c r="Y513" s="338"/>
      <c r="Z513" s="338"/>
    </row>
    <row r="514" ht="22.5" customHeight="1">
      <c r="A514" s="528" t="str">
        <f>IFERROR(__xludf.DUMMYFUNCTION("""COMPUTED_VALUE"""),"ООО «Мэйджор Терминал»")</f>
        <v>ООО «Мэйджор Терминал»</v>
      </c>
      <c r="B514" s="528"/>
      <c r="C514" s="528" t="str">
        <f>IFERROR(__xludf.DUMMYFUNCTION("""COMPUTED_VALUE"""),"Стикер 58*40 без печати  термо эко")</f>
        <v>Стикер 58*40 без печати  термо эко</v>
      </c>
      <c r="D514" s="528">
        <f>IFERROR(__xludf.DUMMYFUNCTION("""COMPUTED_VALUE"""),3513.0)</f>
        <v>3513</v>
      </c>
      <c r="E514" s="528" t="str">
        <f>IFERROR(__xludf.DUMMYFUNCTION("""COMPUTED_VALUE"""),"Римма Лукина")</f>
        <v>Римма Лукина</v>
      </c>
      <c r="F514" s="535" t="str">
        <f>IFERROR(__xludf.DUMMYFUNCTION("""COMPUTED_VALUE"""),"ТЕСТ")</f>
        <v>ТЕСТ</v>
      </c>
      <c r="G514" s="536" t="str">
        <f>IFERROR(__xludf.DUMMYFUNCTION("""COMPUTED_VALUE"""),"58*40")</f>
        <v>58*40</v>
      </c>
      <c r="H514" s="338"/>
      <c r="I514" s="338"/>
      <c r="J514" s="536" t="str">
        <f>IFERROR(__xludf.DUMMYFUNCTION("""COMPUTED_VALUE"""),"200-300")</f>
        <v>200-300</v>
      </c>
      <c r="K514" s="537">
        <f>IFERROR(__xludf.DUMMYFUNCTION("""COMPUTED_VALUE"""),46203.0)</f>
        <v>46203</v>
      </c>
      <c r="L514" s="537"/>
      <c r="M514" s="338" t="str">
        <f>IFERROR(__xludf.DUMMYFUNCTION("""COMPUTED_VALUE"""),"Термоэко")</f>
        <v>Термоэко</v>
      </c>
      <c r="N514" s="338" t="str">
        <f>IFERROR(__xludf.DUMMYFUNCTION("""COMPUTED_VALUE"""),"Отгружен")</f>
        <v>Отгружен</v>
      </c>
      <c r="O514" s="537"/>
      <c r="P514" s="338"/>
      <c r="Q514" s="338" t="str">
        <f>IFERROR(__xludf.DUMMYFUNCTION("""COMPUTED_VALUE"""),"М.О.   Истринский р-он, с. Павловская Слобода, ул. Ленина 85/2.
Заранее необходимо заказать пропуск.
 Виталий Рубцов +7 966 176 33 52")</f>
        <v>М.О.   Истринский р-он, с. Павловская Слобода, ул. Ленина 85/2.
Заранее необходимо заказать пропуск.
 Виталий Рубцов +7 966 176 33 52</v>
      </c>
      <c r="R514" s="338"/>
      <c r="S514" s="338"/>
      <c r="T514" s="338"/>
      <c r="U514" s="338"/>
      <c r="V514" s="338"/>
      <c r="W514" s="338"/>
      <c r="X514" s="338"/>
      <c r="Y514" s="338"/>
      <c r="Z514" s="338"/>
    </row>
    <row r="515" ht="22.5" customHeight="1">
      <c r="A515" s="528" t="str">
        <f>IFERROR(__xludf.DUMMYFUNCTION("""COMPUTED_VALUE"""),"ООО «Мэйджор Терминал»")</f>
        <v>ООО «Мэйджор Терминал»</v>
      </c>
      <c r="B515" s="528"/>
      <c r="C515" s="528" t="str">
        <f>IFERROR(__xludf.DUMMYFUNCTION("""COMPUTED_VALUE"""),"Стикер 46*70 без печати термо эко")</f>
        <v>Стикер 46*70 без печати термо эко</v>
      </c>
      <c r="D515" s="528">
        <f>IFERROR(__xludf.DUMMYFUNCTION("""COMPUTED_VALUE"""),3514.0)</f>
        <v>3514</v>
      </c>
      <c r="E515" s="528" t="str">
        <f>IFERROR(__xludf.DUMMYFUNCTION("""COMPUTED_VALUE"""),"Римма Лукина")</f>
        <v>Римма Лукина</v>
      </c>
      <c r="F515" s="535" t="str">
        <f>IFERROR(__xludf.DUMMYFUNCTION("""COMPUTED_VALUE"""),"ТЕСТ")</f>
        <v>ТЕСТ</v>
      </c>
      <c r="G515" s="536" t="str">
        <f>IFERROR(__xludf.DUMMYFUNCTION("""COMPUTED_VALUE"""),"46*70")</f>
        <v>46*70</v>
      </c>
      <c r="H515" s="338"/>
      <c r="I515" s="338"/>
      <c r="J515" s="536" t="str">
        <f>IFERROR(__xludf.DUMMYFUNCTION("""COMPUTED_VALUE"""),"200-300")</f>
        <v>200-300</v>
      </c>
      <c r="K515" s="537">
        <f>IFERROR(__xludf.DUMMYFUNCTION("""COMPUTED_VALUE"""),46203.0)</f>
        <v>46203</v>
      </c>
      <c r="L515" s="537"/>
      <c r="M515" s="338" t="str">
        <f>IFERROR(__xludf.DUMMYFUNCTION("""COMPUTED_VALUE"""),"Термоэко")</f>
        <v>Термоэко</v>
      </c>
      <c r="N515" s="338" t="str">
        <f>IFERROR(__xludf.DUMMYFUNCTION("""COMPUTED_VALUE"""),"Отгружен")</f>
        <v>Отгружен</v>
      </c>
      <c r="O515" s="537"/>
      <c r="P515" s="338"/>
      <c r="Q515" s="338" t="str">
        <f>IFERROR(__xludf.DUMMYFUNCTION("""COMPUTED_VALUE"""),"М.О.   Истринский р-он, с. Павловская Слобода, ул. Ленина 85/2.
Заранее необходимо заказать пропуск.
 Виталий Рубцов +7 966 176 33 52")</f>
        <v>М.О.   Истринский р-он, с. Павловская Слобода, ул. Ленина 85/2.
Заранее необходимо заказать пропуск.
 Виталий Рубцов +7 966 176 33 52</v>
      </c>
      <c r="R515" s="338"/>
      <c r="S515" s="338"/>
      <c r="T515" s="338"/>
      <c r="U515" s="338"/>
      <c r="V515" s="338"/>
      <c r="W515" s="338"/>
      <c r="X515" s="338"/>
      <c r="Y515" s="338"/>
      <c r="Z515" s="338"/>
    </row>
    <row r="516" ht="22.5" customHeight="1">
      <c r="A516" s="528" t="str">
        <f>IFERROR(__xludf.DUMMYFUNCTION("""COMPUTED_VALUE"""),"ООО «Мэйджор Терминал»")</f>
        <v>ООО «Мэйджор Терминал»</v>
      </c>
      <c r="B516" s="528"/>
      <c r="C516" s="528" t="str">
        <f>IFERROR(__xludf.DUMMYFUNCTION("""COMPUTED_VALUE"""),"Стикер 70*34 без печати термо эко")</f>
        <v>Стикер 70*34 без печати термо эко</v>
      </c>
      <c r="D516" s="528">
        <f>IFERROR(__xludf.DUMMYFUNCTION("""COMPUTED_VALUE"""),3515.0)</f>
        <v>3515</v>
      </c>
      <c r="E516" s="528" t="str">
        <f>IFERROR(__xludf.DUMMYFUNCTION("""COMPUTED_VALUE"""),"Римма Лукина")</f>
        <v>Римма Лукина</v>
      </c>
      <c r="F516" s="535" t="str">
        <f>IFERROR(__xludf.DUMMYFUNCTION("""COMPUTED_VALUE"""),"ТЕСТ")</f>
        <v>ТЕСТ</v>
      </c>
      <c r="G516" s="536" t="str">
        <f>IFERROR(__xludf.DUMMYFUNCTION("""COMPUTED_VALUE"""),"70*34")</f>
        <v>70*34</v>
      </c>
      <c r="H516" s="338"/>
      <c r="I516" s="338"/>
      <c r="J516" s="536" t="str">
        <f>IFERROR(__xludf.DUMMYFUNCTION("""COMPUTED_VALUE"""),"200-300")</f>
        <v>200-300</v>
      </c>
      <c r="K516" s="537">
        <f>IFERROR(__xludf.DUMMYFUNCTION("""COMPUTED_VALUE"""),46203.0)</f>
        <v>46203</v>
      </c>
      <c r="L516" s="537"/>
      <c r="M516" s="338" t="str">
        <f>IFERROR(__xludf.DUMMYFUNCTION("""COMPUTED_VALUE"""),"Термоэко")</f>
        <v>Термоэко</v>
      </c>
      <c r="N516" s="338" t="str">
        <f>IFERROR(__xludf.DUMMYFUNCTION("""COMPUTED_VALUE"""),"Отгружен")</f>
        <v>Отгружен</v>
      </c>
      <c r="O516" s="537"/>
      <c r="P516" s="338"/>
      <c r="Q516" s="338" t="str">
        <f>IFERROR(__xludf.DUMMYFUNCTION("""COMPUTED_VALUE"""),"М.О.   Истринский р-он, с. Павловская Слобода, ул. Ленина 85/2.
Заранее необходимо заказать пропуск.
 Виталий Рубцов +7 966 176 33 52")</f>
        <v>М.О.   Истринский р-он, с. Павловская Слобода, ул. Ленина 85/2.
Заранее необходимо заказать пропуск.
 Виталий Рубцов +7 966 176 33 52</v>
      </c>
      <c r="R516" s="338"/>
      <c r="S516" s="338"/>
      <c r="T516" s="338"/>
      <c r="U516" s="338"/>
      <c r="V516" s="338"/>
      <c r="W516" s="338"/>
      <c r="X516" s="338"/>
      <c r="Y516" s="338"/>
      <c r="Z516" s="338"/>
    </row>
    <row r="517" ht="22.5" customHeight="1">
      <c r="A517" s="528" t="str">
        <f>IFERROR(__xludf.DUMMYFUNCTION("""COMPUTED_VALUE"""),"ООО Кимберли кларк")</f>
        <v>ООО Кимберли кларк</v>
      </c>
      <c r="B517" s="528"/>
      <c r="C517" s="528" t="str">
        <f>IFERROR(__xludf.DUMMYFUNCTION("""COMPUTED_VALUE"""),"61284489 T3 OD XPAD Накл/пакет S4 Jumbo 50x4")</f>
        <v>61284489 T3 OD XPAD Накл/пакет S4 Jumbo 50x4</v>
      </c>
      <c r="D517" s="528">
        <f>IFERROR(__xludf.DUMMYFUNCTION("""COMPUTED_VALUE"""),3516.0)</f>
        <v>3516</v>
      </c>
      <c r="E517" s="528" t="str">
        <f>IFERROR(__xludf.DUMMYFUNCTION("""COMPUTED_VALUE"""),"Римма Лукина")</f>
        <v>Римма Лукина</v>
      </c>
      <c r="F517" s="535" t="str">
        <f>IFERROR(__xludf.DUMMYFUNCTION("""COMPUTED_VALUE"""),"Повтор")</f>
        <v>Повтор</v>
      </c>
      <c r="G517" s="536" t="str">
        <f>IFERROR(__xludf.DUMMYFUNCTION("""COMPUTED_VALUE"""),"55*55")</f>
        <v>55*55</v>
      </c>
      <c r="H517" s="338" t="str">
        <f>IFERROR(__xludf.DUMMYFUNCTION("""COMPUTED_VALUE"""),"Флексопечать")</f>
        <v>Флексопечать</v>
      </c>
      <c r="I517" s="338" t="str">
        <f>IFERROR(__xludf.DUMMYFUNCTION("""COMPUTED_VALUE"""),"G-160")</f>
        <v>G-160</v>
      </c>
      <c r="J517" s="536">
        <f>IFERROR(__xludf.DUMMYFUNCTION("""COMPUTED_VALUE"""),7500.0)</f>
        <v>7500</v>
      </c>
      <c r="K517" s="537">
        <f>IFERROR(__xludf.DUMMYFUNCTION("""COMPUTED_VALUE"""),46199.0)</f>
        <v>46199</v>
      </c>
      <c r="L517" s="537"/>
      <c r="M517" s="338" t="str">
        <f>IFERROR(__xludf.DUMMYFUNCTION("""COMPUTED_VALUE"""),"Бумага полуглянец акрил")</f>
        <v>Бумага полуглянец акрил</v>
      </c>
      <c r="N517" s="338" t="str">
        <f>IFERROR(__xludf.DUMMYFUNCTION("""COMPUTED_VALUE"""),"Отгружен")</f>
        <v>Отгружен</v>
      </c>
      <c r="O517" s="537"/>
      <c r="P517"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4505098722")</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4505098722</v>
      </c>
      <c r="Q517"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17" s="338"/>
      <c r="S517" s="338"/>
      <c r="T517" s="338"/>
      <c r="U517" s="338"/>
      <c r="V517" s="338"/>
      <c r="W517" s="338"/>
      <c r="X517" s="338"/>
      <c r="Y517" s="338"/>
      <c r="Z517" s="338"/>
    </row>
    <row r="518" ht="22.5" customHeight="1">
      <c r="A518" s="528" t="str">
        <f>IFERROR(__xludf.DUMMYFUNCTION("""COMPUTED_VALUE"""),"ООО Кимберли кларк")</f>
        <v>ООО Кимберли кларк</v>
      </c>
      <c r="B518" s="528"/>
      <c r="C518" s="528" t="str">
        <f>IFERROR(__xludf.DUMMYFUNCTION("""COMPUTED_VALUE"""),"61284497 T3 OD XPAD Накл/пакет S5 Jumbo 42x4")</f>
        <v>61284497 T3 OD XPAD Накл/пакет S5 Jumbo 42x4</v>
      </c>
      <c r="D518" s="528">
        <f>IFERROR(__xludf.DUMMYFUNCTION("""COMPUTED_VALUE"""),3517.0)</f>
        <v>3517</v>
      </c>
      <c r="E518" s="528" t="str">
        <f>IFERROR(__xludf.DUMMYFUNCTION("""COMPUTED_VALUE"""),"Римма Лукина")</f>
        <v>Римма Лукина</v>
      </c>
      <c r="F518" s="535" t="str">
        <f>IFERROR(__xludf.DUMMYFUNCTION("""COMPUTED_VALUE"""),"Повтор")</f>
        <v>Повтор</v>
      </c>
      <c r="G518" s="536" t="str">
        <f>IFERROR(__xludf.DUMMYFUNCTION("""COMPUTED_VALUE"""),"55*55")</f>
        <v>55*55</v>
      </c>
      <c r="H518" s="338" t="str">
        <f>IFERROR(__xludf.DUMMYFUNCTION("""COMPUTED_VALUE"""),"Флексопечать")</f>
        <v>Флексопечать</v>
      </c>
      <c r="I518" s="338" t="str">
        <f>IFERROR(__xludf.DUMMYFUNCTION("""COMPUTED_VALUE"""),"G-160")</f>
        <v>G-160</v>
      </c>
      <c r="J518" s="536">
        <f>IFERROR(__xludf.DUMMYFUNCTION("""COMPUTED_VALUE"""),15000.0)</f>
        <v>15000</v>
      </c>
      <c r="K518" s="537">
        <f>IFERROR(__xludf.DUMMYFUNCTION("""COMPUTED_VALUE"""),46199.0)</f>
        <v>46199</v>
      </c>
      <c r="L518" s="537"/>
      <c r="M518" s="338" t="str">
        <f>IFERROR(__xludf.DUMMYFUNCTION("""COMPUTED_VALUE"""),"Бумага полуглянец акрил")</f>
        <v>Бумага полуглянец акрил</v>
      </c>
      <c r="N518" s="338" t="str">
        <f>IFERROR(__xludf.DUMMYFUNCTION("""COMPUTED_VALUE"""),"Отгружен")</f>
        <v>Отгружен</v>
      </c>
      <c r="O518" s="537"/>
      <c r="P518"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4505098723")</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4505098723</v>
      </c>
      <c r="Q518"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18" s="338"/>
      <c r="S518" s="338"/>
      <c r="T518" s="338"/>
      <c r="U518" s="338"/>
      <c r="V518" s="338"/>
      <c r="W518" s="338"/>
      <c r="X518" s="338"/>
      <c r="Y518" s="338"/>
      <c r="Z518" s="338"/>
    </row>
    <row r="519" ht="22.5" customHeight="1">
      <c r="A519" s="528" t="str">
        <f>IFERROR(__xludf.DUMMYFUNCTION("""COMPUTED_VALUE"""),"ООО Кимберли кларк")</f>
        <v>ООО Кимберли кларк</v>
      </c>
      <c r="B519" s="528"/>
      <c r="C519" s="528" t="str">
        <f>IFERROR(__xludf.DUMMYFUNCTION("""COMPUTED_VALUE"""),"61284794 НБ XPAD Наклейка/пакет S1 Giga 100х2")</f>
        <v>61284794 НБ XPAD Наклейка/пакет S1 Giga 100х2</v>
      </c>
      <c r="D519" s="528">
        <f>IFERROR(__xludf.DUMMYFUNCTION("""COMPUTED_VALUE"""),3518.0)</f>
        <v>3518</v>
      </c>
      <c r="E519" s="528" t="str">
        <f>IFERROR(__xludf.DUMMYFUNCTION("""COMPUTED_VALUE"""),"Римма Лукина")</f>
        <v>Римма Лукина</v>
      </c>
      <c r="F519" s="535" t="str">
        <f>IFERROR(__xludf.DUMMYFUNCTION("""COMPUTED_VALUE"""),"Повтор")</f>
        <v>Повтор</v>
      </c>
      <c r="G519" s="536" t="str">
        <f>IFERROR(__xludf.DUMMYFUNCTION("""COMPUTED_VALUE"""),"55*55")</f>
        <v>55*55</v>
      </c>
      <c r="H519" s="338" t="str">
        <f>IFERROR(__xludf.DUMMYFUNCTION("""COMPUTED_VALUE"""),"Флексопечать")</f>
        <v>Флексопечать</v>
      </c>
      <c r="I519" s="338" t="str">
        <f>IFERROR(__xludf.DUMMYFUNCTION("""COMPUTED_VALUE"""),"G-160")</f>
        <v>G-160</v>
      </c>
      <c r="J519" s="536">
        <f>IFERROR(__xludf.DUMMYFUNCTION("""COMPUTED_VALUE"""),7500.0)</f>
        <v>7500</v>
      </c>
      <c r="K519" s="537">
        <f>IFERROR(__xludf.DUMMYFUNCTION("""COMPUTED_VALUE"""),46199.0)</f>
        <v>46199</v>
      </c>
      <c r="L519" s="537"/>
      <c r="M519" s="338" t="str">
        <f>IFERROR(__xludf.DUMMYFUNCTION("""COMPUTED_VALUE"""),"Бумага полуглянец акрил")</f>
        <v>Бумага полуглянец акрил</v>
      </c>
      <c r="N519" s="338" t="str">
        <f>IFERROR(__xludf.DUMMYFUNCTION("""COMPUTED_VALUE"""),"Отгружен")</f>
        <v>Отгружен</v>
      </c>
      <c r="O519" s="537"/>
      <c r="P519"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4505098734")</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4505098734</v>
      </c>
      <c r="Q519"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19" s="338"/>
      <c r="S519" s="338"/>
      <c r="T519" s="338"/>
      <c r="U519" s="338"/>
      <c r="V519" s="338"/>
      <c r="W519" s="338"/>
      <c r="X519" s="338"/>
      <c r="Y519" s="338"/>
      <c r="Z519" s="338"/>
    </row>
    <row r="520" ht="22.5" customHeight="1">
      <c r="A520" s="528" t="str">
        <f>IFERROR(__xludf.DUMMYFUNCTION("""COMPUTED_VALUE"""),"ООО Кимберли кларк")</f>
        <v>ООО Кимберли кларк</v>
      </c>
      <c r="B520" s="528"/>
      <c r="C520" s="528" t="str">
        <f>IFERROR(__xludf.DUMMYFUNCTION("""COMPUTED_VALUE"""),"61284168 УК ПТГ1.5 Накл/пакет S5 Jumbo 42x4 УНИ Н")</f>
        <v>61284168 УК ПТГ1.5 Накл/пакет S5 Jumbo 42x4 УНИ Н</v>
      </c>
      <c r="D520" s="528">
        <f>IFERROR(__xludf.DUMMYFUNCTION("""COMPUTED_VALUE"""),3519.0)</f>
        <v>3519</v>
      </c>
      <c r="E520" s="528" t="str">
        <f>IFERROR(__xludf.DUMMYFUNCTION("""COMPUTED_VALUE"""),"Римма Лукина")</f>
        <v>Римма Лукина</v>
      </c>
      <c r="F520" s="535" t="str">
        <f>IFERROR(__xludf.DUMMYFUNCTION("""COMPUTED_VALUE"""),"Повтор")</f>
        <v>Повтор</v>
      </c>
      <c r="G520" s="536" t="str">
        <f>IFERROR(__xludf.DUMMYFUNCTION("""COMPUTED_VALUE"""),"55*55")</f>
        <v>55*55</v>
      </c>
      <c r="H520" s="338" t="str">
        <f>IFERROR(__xludf.DUMMYFUNCTION("""COMPUTED_VALUE"""),"Флексопечать")</f>
        <v>Флексопечать</v>
      </c>
      <c r="I520" s="338" t="str">
        <f>IFERROR(__xludf.DUMMYFUNCTION("""COMPUTED_VALUE"""),"G-160")</f>
        <v>G-160</v>
      </c>
      <c r="J520" s="536">
        <f>IFERROR(__xludf.DUMMYFUNCTION("""COMPUTED_VALUE"""),7500.0)</f>
        <v>7500</v>
      </c>
      <c r="K520" s="537">
        <f>IFERROR(__xludf.DUMMYFUNCTION("""COMPUTED_VALUE"""),46199.0)</f>
        <v>46199</v>
      </c>
      <c r="L520" s="537"/>
      <c r="M520" s="338" t="str">
        <f>IFERROR(__xludf.DUMMYFUNCTION("""COMPUTED_VALUE"""),"Бумага полуглянец акрил")</f>
        <v>Бумага полуглянец акрил</v>
      </c>
      <c r="N520" s="338" t="str">
        <f>IFERROR(__xludf.DUMMYFUNCTION("""COMPUTED_VALUE"""),"Отгружен")</f>
        <v>Отгружен</v>
      </c>
      <c r="O520" s="537"/>
      <c r="P520"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4505098721")</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4505098721</v>
      </c>
      <c r="Q520"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20" s="338"/>
      <c r="S520" s="338"/>
      <c r="T520" s="338"/>
      <c r="U520" s="338"/>
      <c r="V520" s="338"/>
      <c r="W520" s="338"/>
      <c r="X520" s="338"/>
      <c r="Y520" s="338"/>
      <c r="Z520" s="338"/>
    </row>
    <row r="521" ht="22.5" customHeight="1">
      <c r="A521" s="528" t="str">
        <f>IFERROR(__xludf.DUMMYFUNCTION("""COMPUTED_VALUE"""),"ООО Кимберли кларк")</f>
        <v>ООО Кимберли кларк</v>
      </c>
      <c r="B521" s="528"/>
      <c r="C521" s="528" t="str">
        <f>IFERROR(__xludf.DUMMYFUNCTION("""COMPUTED_VALUE"""),"61284565 УК ЧЗ Накл/пакет S4 Mega 66х2 Дев")</f>
        <v>61284565 УК ЧЗ Накл/пакет S4 Mega 66х2 Дев</v>
      </c>
      <c r="D521" s="528">
        <f>IFERROR(__xludf.DUMMYFUNCTION("""COMPUTED_VALUE"""),3520.0)</f>
        <v>3520</v>
      </c>
      <c r="E521" s="528" t="str">
        <f>IFERROR(__xludf.DUMMYFUNCTION("""COMPUTED_VALUE"""),"Римма Лукина")</f>
        <v>Римма Лукина</v>
      </c>
      <c r="F521" s="535" t="str">
        <f>IFERROR(__xludf.DUMMYFUNCTION("""COMPUTED_VALUE"""),"Повтор")</f>
        <v>Повтор</v>
      </c>
      <c r="G521" s="536" t="str">
        <f>IFERROR(__xludf.DUMMYFUNCTION("""COMPUTED_VALUE"""),"55*55")</f>
        <v>55*55</v>
      </c>
      <c r="H521" s="338" t="str">
        <f>IFERROR(__xludf.DUMMYFUNCTION("""COMPUTED_VALUE"""),"Флексопечать")</f>
        <v>Флексопечать</v>
      </c>
      <c r="I521" s="338" t="str">
        <f>IFERROR(__xludf.DUMMYFUNCTION("""COMPUTED_VALUE"""),"G-160")</f>
        <v>G-160</v>
      </c>
      <c r="J521" s="536">
        <f>IFERROR(__xludf.DUMMYFUNCTION("""COMPUTED_VALUE"""),10000.0)</f>
        <v>10000</v>
      </c>
      <c r="K521" s="537">
        <f>IFERROR(__xludf.DUMMYFUNCTION("""COMPUTED_VALUE"""),46199.0)</f>
        <v>46199</v>
      </c>
      <c r="L521" s="537"/>
      <c r="M521" s="338" t="str">
        <f>IFERROR(__xludf.DUMMYFUNCTION("""COMPUTED_VALUE"""),"Бумага полуглянец акрил")</f>
        <v>Бумага полуглянец акрил</v>
      </c>
      <c r="N521" s="338" t="str">
        <f>IFERROR(__xludf.DUMMYFUNCTION("""COMPUTED_VALUE"""),"Отгружен")</f>
        <v>Отгружен</v>
      </c>
      <c r="O521" s="537"/>
      <c r="P521"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4505098724")</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4505098724</v>
      </c>
      <c r="Q521"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21" s="338"/>
      <c r="S521" s="338"/>
      <c r="T521" s="338"/>
      <c r="U521" s="338"/>
      <c r="V521" s="338"/>
      <c r="W521" s="338"/>
      <c r="X521" s="338"/>
      <c r="Y521" s="338"/>
      <c r="Z521" s="338"/>
    </row>
    <row r="522" ht="22.5" customHeight="1">
      <c r="A522" s="528" t="str">
        <f>IFERROR(__xludf.DUMMYFUNCTION("""COMPUTED_VALUE"""),"ООО Кимберли кларк")</f>
        <v>ООО Кимберли кларк</v>
      </c>
      <c r="B522" s="528"/>
      <c r="C522" s="528" t="str">
        <f>IFERROR(__xludf.DUMMYFUNCTION("""COMPUTED_VALUE"""),"61284566 УК ЧЗ Накл/пакет S5 Mega 56x2 Дев")</f>
        <v>61284566 УК ЧЗ Накл/пакет S5 Mega 56x2 Дев</v>
      </c>
      <c r="D522" s="528">
        <f>IFERROR(__xludf.DUMMYFUNCTION("""COMPUTED_VALUE"""),3521.0)</f>
        <v>3521</v>
      </c>
      <c r="E522" s="528" t="str">
        <f>IFERROR(__xludf.DUMMYFUNCTION("""COMPUTED_VALUE"""),"Римма Лукина")</f>
        <v>Римма Лукина</v>
      </c>
      <c r="F522" s="535" t="str">
        <f>IFERROR(__xludf.DUMMYFUNCTION("""COMPUTED_VALUE"""),"Повтор")</f>
        <v>Повтор</v>
      </c>
      <c r="G522" s="536" t="str">
        <f>IFERROR(__xludf.DUMMYFUNCTION("""COMPUTED_VALUE"""),"55*55")</f>
        <v>55*55</v>
      </c>
      <c r="H522" s="338" t="str">
        <f>IFERROR(__xludf.DUMMYFUNCTION("""COMPUTED_VALUE"""),"Флексопечать")</f>
        <v>Флексопечать</v>
      </c>
      <c r="I522" s="338" t="str">
        <f>IFERROR(__xludf.DUMMYFUNCTION("""COMPUTED_VALUE"""),"G-160")</f>
        <v>G-160</v>
      </c>
      <c r="J522" s="536">
        <f>IFERROR(__xludf.DUMMYFUNCTION("""COMPUTED_VALUE"""),10000.0)</f>
        <v>10000</v>
      </c>
      <c r="K522" s="537">
        <f>IFERROR(__xludf.DUMMYFUNCTION("""COMPUTED_VALUE"""),46199.0)</f>
        <v>46199</v>
      </c>
      <c r="L522" s="537"/>
      <c r="M522" s="338" t="str">
        <f>IFERROR(__xludf.DUMMYFUNCTION("""COMPUTED_VALUE"""),"Бумага полуглянец акрил")</f>
        <v>Бумага полуглянец акрил</v>
      </c>
      <c r="N522" s="338" t="str">
        <f>IFERROR(__xludf.DUMMYFUNCTION("""COMPUTED_VALUE"""),"Отгружен")</f>
        <v>Отгружен</v>
      </c>
      <c r="O522" s="537"/>
      <c r="P522"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4505098725")</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4505098725</v>
      </c>
      <c r="Q522"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22" s="338"/>
      <c r="S522" s="338"/>
      <c r="T522" s="338"/>
      <c r="U522" s="338"/>
      <c r="V522" s="338"/>
      <c r="W522" s="338"/>
      <c r="X522" s="338"/>
      <c r="Y522" s="338"/>
      <c r="Z522" s="338"/>
    </row>
    <row r="523" ht="22.5" customHeight="1">
      <c r="A523" s="528" t="str">
        <f>IFERROR(__xludf.DUMMYFUNCTION("""COMPUTED_VALUE"""),"ООО Кимберли кларк")</f>
        <v>ООО Кимберли кларк</v>
      </c>
      <c r="B523" s="528"/>
      <c r="C523" s="528" t="str">
        <f>IFERROR(__xludf.DUMMYFUNCTION("""COMPUTED_VALUE"""),"61284567 УК ЧЗ Накл/пакет S5 Giga 64x2 Дев")</f>
        <v>61284567 УК ЧЗ Накл/пакет S5 Giga 64x2 Дев</v>
      </c>
      <c r="D523" s="528">
        <f>IFERROR(__xludf.DUMMYFUNCTION("""COMPUTED_VALUE"""),3522.0)</f>
        <v>3522</v>
      </c>
      <c r="E523" s="528" t="str">
        <f>IFERROR(__xludf.DUMMYFUNCTION("""COMPUTED_VALUE"""),"Римма Лукина")</f>
        <v>Римма Лукина</v>
      </c>
      <c r="F523" s="535" t="str">
        <f>IFERROR(__xludf.DUMMYFUNCTION("""COMPUTED_VALUE"""),"Повтор")</f>
        <v>Повтор</v>
      </c>
      <c r="G523" s="536" t="str">
        <f>IFERROR(__xludf.DUMMYFUNCTION("""COMPUTED_VALUE"""),"55*55")</f>
        <v>55*55</v>
      </c>
      <c r="H523" s="338" t="str">
        <f>IFERROR(__xludf.DUMMYFUNCTION("""COMPUTED_VALUE"""),"Флексопечать")</f>
        <v>Флексопечать</v>
      </c>
      <c r="I523" s="338" t="str">
        <f>IFERROR(__xludf.DUMMYFUNCTION("""COMPUTED_VALUE"""),"G-160")</f>
        <v>G-160</v>
      </c>
      <c r="J523" s="536">
        <f>IFERROR(__xludf.DUMMYFUNCTION("""COMPUTED_VALUE"""),12500.0)</f>
        <v>12500</v>
      </c>
      <c r="K523" s="537">
        <f>IFERROR(__xludf.DUMMYFUNCTION("""COMPUTED_VALUE"""),46199.0)</f>
        <v>46199</v>
      </c>
      <c r="L523" s="537"/>
      <c r="M523" s="338" t="str">
        <f>IFERROR(__xludf.DUMMYFUNCTION("""COMPUTED_VALUE"""),"Бумага полуглянец акрил")</f>
        <v>Бумага полуглянец акрил</v>
      </c>
      <c r="N523" s="338" t="str">
        <f>IFERROR(__xludf.DUMMYFUNCTION("""COMPUTED_VALUE"""),"Отгружен")</f>
        <v>Отгружен</v>
      </c>
      <c r="O523" s="537"/>
      <c r="P523"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4505098726")</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4505098726</v>
      </c>
      <c r="Q523"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23" s="338"/>
      <c r="S523" s="338"/>
      <c r="T523" s="338"/>
      <c r="U523" s="338"/>
      <c r="V523" s="338"/>
      <c r="W523" s="338"/>
      <c r="X523" s="338"/>
      <c r="Y523" s="338"/>
      <c r="Z523" s="338"/>
    </row>
    <row r="524" ht="22.5" customHeight="1">
      <c r="A524" s="528" t="str">
        <f>IFERROR(__xludf.DUMMYFUNCTION("""COMPUTED_VALUE"""),"ООО Кимберли кларк")</f>
        <v>ООО Кимберли кларк</v>
      </c>
      <c r="B524" s="528"/>
      <c r="C524" s="528" t="str">
        <f>IFERROR(__xludf.DUMMYFUNCTION("""COMPUTED_VALUE"""),"61284576 УК ЧЗ Накл/пакет S5 Mega 56x2 Мал")</f>
        <v>61284576 УК ЧЗ Накл/пакет S5 Mega 56x2 Мал</v>
      </c>
      <c r="D524" s="528">
        <f>IFERROR(__xludf.DUMMYFUNCTION("""COMPUTED_VALUE"""),3523.0)</f>
        <v>3523</v>
      </c>
      <c r="E524" s="528" t="str">
        <f>IFERROR(__xludf.DUMMYFUNCTION("""COMPUTED_VALUE"""),"Римма Лукина")</f>
        <v>Римма Лукина</v>
      </c>
      <c r="F524" s="535" t="str">
        <f>IFERROR(__xludf.DUMMYFUNCTION("""COMPUTED_VALUE"""),"Повтор")</f>
        <v>Повтор</v>
      </c>
      <c r="G524" s="536" t="str">
        <f>IFERROR(__xludf.DUMMYFUNCTION("""COMPUTED_VALUE"""),"55*55")</f>
        <v>55*55</v>
      </c>
      <c r="H524" s="338" t="str">
        <f>IFERROR(__xludf.DUMMYFUNCTION("""COMPUTED_VALUE"""),"Флексопечать")</f>
        <v>Флексопечать</v>
      </c>
      <c r="I524" s="338" t="str">
        <f>IFERROR(__xludf.DUMMYFUNCTION("""COMPUTED_VALUE"""),"G-160")</f>
        <v>G-160</v>
      </c>
      <c r="J524" s="536">
        <f>IFERROR(__xludf.DUMMYFUNCTION("""COMPUTED_VALUE"""),5000.0)</f>
        <v>5000</v>
      </c>
      <c r="K524" s="537">
        <f>IFERROR(__xludf.DUMMYFUNCTION("""COMPUTED_VALUE"""),46199.0)</f>
        <v>46199</v>
      </c>
      <c r="L524" s="537"/>
      <c r="M524" s="338" t="str">
        <f>IFERROR(__xludf.DUMMYFUNCTION("""COMPUTED_VALUE"""),"Бумага полуглянец акрил")</f>
        <v>Бумага полуглянец акрил</v>
      </c>
      <c r="N524" s="338" t="str">
        <f>IFERROR(__xludf.DUMMYFUNCTION("""COMPUTED_VALUE"""),"Отгружен")</f>
        <v>Отгружен</v>
      </c>
      <c r="O524" s="537"/>
      <c r="P524"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4505098727")</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4505098727</v>
      </c>
      <c r="Q524"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24" s="338"/>
      <c r="S524" s="338"/>
      <c r="T524" s="338"/>
      <c r="U524" s="338"/>
      <c r="V524" s="338"/>
      <c r="W524" s="338"/>
      <c r="X524" s="338"/>
      <c r="Y524" s="338"/>
      <c r="Z524" s="338"/>
    </row>
    <row r="525" ht="22.5" customHeight="1">
      <c r="A525" s="528" t="str">
        <f>IFERROR(__xludf.DUMMYFUNCTION("""COMPUTED_VALUE""")," ")</f>
        <v> </v>
      </c>
      <c r="B525" s="528"/>
      <c r="C525" s="528" t="str">
        <f>IFERROR(__xludf.DUMMYFUNCTION("""COMPUTED_VALUE"""),"61284577 УК ЧЗ Накл/пакет S3 Giga 94x2 Мал")</f>
        <v>61284577 УК ЧЗ Накл/пакет S3 Giga 94x2 Мал</v>
      </c>
      <c r="D525" s="528">
        <f>IFERROR(__xludf.DUMMYFUNCTION("""COMPUTED_VALUE"""),3524.0)</f>
        <v>3524</v>
      </c>
      <c r="E525" s="528" t="str">
        <f>IFERROR(__xludf.DUMMYFUNCTION("""COMPUTED_VALUE"""),"Римма Лукина")</f>
        <v>Римма Лукина</v>
      </c>
      <c r="F525" s="535" t="str">
        <f>IFERROR(__xludf.DUMMYFUNCTION("""COMPUTED_VALUE"""),"Повтор")</f>
        <v>Повтор</v>
      </c>
      <c r="G525" s="536" t="str">
        <f>IFERROR(__xludf.DUMMYFUNCTION("""COMPUTED_VALUE"""),"55*55")</f>
        <v>55*55</v>
      </c>
      <c r="H525" s="338" t="str">
        <f>IFERROR(__xludf.DUMMYFUNCTION("""COMPUTED_VALUE"""),"Флексопечать")</f>
        <v>Флексопечать</v>
      </c>
      <c r="I525" s="338" t="str">
        <f>IFERROR(__xludf.DUMMYFUNCTION("""COMPUTED_VALUE"""),"G-160")</f>
        <v>G-160</v>
      </c>
      <c r="J525" s="536">
        <f>IFERROR(__xludf.DUMMYFUNCTION("""COMPUTED_VALUE"""),7500.0)</f>
        <v>7500</v>
      </c>
      <c r="K525" s="537">
        <f>IFERROR(__xludf.DUMMYFUNCTION("""COMPUTED_VALUE"""),46199.0)</f>
        <v>46199</v>
      </c>
      <c r="L525" s="537"/>
      <c r="M525" s="338" t="str">
        <f>IFERROR(__xludf.DUMMYFUNCTION("""COMPUTED_VALUE"""),"Бумага полуглянец акрил")</f>
        <v>Бумага полуглянец акрил</v>
      </c>
      <c r="N525" s="338" t="str">
        <f>IFERROR(__xludf.DUMMYFUNCTION("""COMPUTED_VALUE"""),"Отгружен")</f>
        <v>Отгружен</v>
      </c>
      <c r="O525" s="537"/>
      <c r="P525"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4505098728")</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4505098728</v>
      </c>
      <c r="Q525"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25" s="338"/>
      <c r="S525" s="338"/>
      <c r="T525" s="338"/>
      <c r="U525" s="338"/>
      <c r="V525" s="338"/>
      <c r="W525" s="338"/>
      <c r="X525" s="338"/>
      <c r="Y525" s="338"/>
      <c r="Z525" s="338"/>
    </row>
    <row r="526" ht="22.5" customHeight="1">
      <c r="A526" s="528" t="str">
        <f>IFERROR(__xludf.DUMMYFUNCTION("""COMPUTED_VALUE"""),"ООО Кимберли кларк")</f>
        <v>ООО Кимберли кларк</v>
      </c>
      <c r="B526" s="528"/>
      <c r="C526" s="528" t="str">
        <f>IFERROR(__xludf.DUMMYFUNCTION("""COMPUTED_VALUE"""),"61284578 УК ЧЗ Накл/пакет S3 Giga 94x2 Дев")</f>
        <v>61284578 УК ЧЗ Накл/пакет S3 Giga 94x2 Дев</v>
      </c>
      <c r="D526" s="528">
        <f>IFERROR(__xludf.DUMMYFUNCTION("""COMPUTED_VALUE"""),3525.0)</f>
        <v>3525</v>
      </c>
      <c r="E526" s="528" t="str">
        <f>IFERROR(__xludf.DUMMYFUNCTION("""COMPUTED_VALUE"""),"Римма Лукина")</f>
        <v>Римма Лукина</v>
      </c>
      <c r="F526" s="535" t="str">
        <f>IFERROR(__xludf.DUMMYFUNCTION("""COMPUTED_VALUE"""),"Повтор")</f>
        <v>Повтор</v>
      </c>
      <c r="G526" s="536" t="str">
        <f>IFERROR(__xludf.DUMMYFUNCTION("""COMPUTED_VALUE"""),"55*55")</f>
        <v>55*55</v>
      </c>
      <c r="H526" s="338" t="str">
        <f>IFERROR(__xludf.DUMMYFUNCTION("""COMPUTED_VALUE"""),"Флексопечать")</f>
        <v>Флексопечать</v>
      </c>
      <c r="I526" s="338" t="str">
        <f>IFERROR(__xludf.DUMMYFUNCTION("""COMPUTED_VALUE"""),"G-160")</f>
        <v>G-160</v>
      </c>
      <c r="J526" s="536">
        <f>IFERROR(__xludf.DUMMYFUNCTION("""COMPUTED_VALUE"""),15000.0)</f>
        <v>15000</v>
      </c>
      <c r="K526" s="537">
        <f>IFERROR(__xludf.DUMMYFUNCTION("""COMPUTED_VALUE"""),46199.0)</f>
        <v>46199</v>
      </c>
      <c r="L526" s="537"/>
      <c r="M526" s="338" t="str">
        <f>IFERROR(__xludf.DUMMYFUNCTION("""COMPUTED_VALUE"""),"Бумага полуглянец акрил")</f>
        <v>Бумага полуглянец акрил</v>
      </c>
      <c r="N526" s="338" t="str">
        <f>IFERROR(__xludf.DUMMYFUNCTION("""COMPUTED_VALUE"""),"Отгружен")</f>
        <v>Отгружен</v>
      </c>
      <c r="O526" s="537"/>
      <c r="P526"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4505098729")</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4505098729</v>
      </c>
      <c r="Q526"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26" s="338"/>
      <c r="S526" s="338"/>
      <c r="T526" s="338"/>
      <c r="U526" s="338"/>
      <c r="V526" s="338"/>
      <c r="W526" s="338"/>
      <c r="X526" s="338"/>
      <c r="Y526" s="338"/>
      <c r="Z526" s="338"/>
    </row>
    <row r="527" ht="22.5" customHeight="1">
      <c r="A527" s="528" t="str">
        <f>IFERROR(__xludf.DUMMYFUNCTION("""COMPUTED_VALUE"""),"ООО Кимберли кларк")</f>
        <v>ООО Кимберли кларк</v>
      </c>
      <c r="B527" s="528"/>
      <c r="C527" s="528" t="str">
        <f>IFERROR(__xludf.DUMMYFUNCTION("""COMPUTED_VALUE"""),"61284579 УК ЧЗ Накл/пакет S4 Giga 80x2 Мал")</f>
        <v>61284579 УК ЧЗ Накл/пакет S4 Giga 80x2 Мал</v>
      </c>
      <c r="D527" s="528">
        <f>IFERROR(__xludf.DUMMYFUNCTION("""COMPUTED_VALUE"""),3526.0)</f>
        <v>3526</v>
      </c>
      <c r="E527" s="528" t="str">
        <f>IFERROR(__xludf.DUMMYFUNCTION("""COMPUTED_VALUE"""),"Римма Лукина")</f>
        <v>Римма Лукина</v>
      </c>
      <c r="F527" s="535" t="str">
        <f>IFERROR(__xludf.DUMMYFUNCTION("""COMPUTED_VALUE"""),"Повтор")</f>
        <v>Повтор</v>
      </c>
      <c r="G527" s="536" t="str">
        <f>IFERROR(__xludf.DUMMYFUNCTION("""COMPUTED_VALUE"""),"55*55")</f>
        <v>55*55</v>
      </c>
      <c r="H527" s="338" t="str">
        <f>IFERROR(__xludf.DUMMYFUNCTION("""COMPUTED_VALUE"""),"Флексопечать")</f>
        <v>Флексопечать</v>
      </c>
      <c r="I527" s="338" t="str">
        <f>IFERROR(__xludf.DUMMYFUNCTION("""COMPUTED_VALUE"""),"G-160")</f>
        <v>G-160</v>
      </c>
      <c r="J527" s="536">
        <f>IFERROR(__xludf.DUMMYFUNCTION("""COMPUTED_VALUE"""),15000.0)</f>
        <v>15000</v>
      </c>
      <c r="K527" s="537">
        <f>IFERROR(__xludf.DUMMYFUNCTION("""COMPUTED_VALUE"""),46199.0)</f>
        <v>46199</v>
      </c>
      <c r="L527" s="537"/>
      <c r="M527" s="338" t="str">
        <f>IFERROR(__xludf.DUMMYFUNCTION("""COMPUTED_VALUE"""),"Бумага полуглянец акрил")</f>
        <v>Бумага полуглянец акрил</v>
      </c>
      <c r="N527" s="338" t="str">
        <f>IFERROR(__xludf.DUMMYFUNCTION("""COMPUTED_VALUE"""),"Отгружен")</f>
        <v>Отгружен</v>
      </c>
      <c r="O527" s="537"/>
      <c r="P527"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4505098730")</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4505098730</v>
      </c>
      <c r="Q527"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27" s="338"/>
      <c r="S527" s="338"/>
      <c r="T527" s="338"/>
      <c r="U527" s="338"/>
      <c r="V527" s="338"/>
      <c r="W527" s="338"/>
      <c r="X527" s="338"/>
      <c r="Y527" s="338"/>
      <c r="Z527" s="338"/>
    </row>
    <row r="528" ht="22.5" customHeight="1">
      <c r="A528" s="528" t="str">
        <f>IFERROR(__xludf.DUMMYFUNCTION("""COMPUTED_VALUE"""),"ООО Кимберли кларк")</f>
        <v>ООО Кимберли кларк</v>
      </c>
      <c r="B528" s="528"/>
      <c r="C528" s="528" t="str">
        <f>IFERROR(__xludf.DUMMYFUNCTION("""COMPUTED_VALUE"""),"61284580 УК ЧЗ Накл/пакет S4 Giga 80x2 Дев")</f>
        <v>61284580 УК ЧЗ Накл/пакет S4 Giga 80x2 Дев</v>
      </c>
      <c r="D528" s="528">
        <f>IFERROR(__xludf.DUMMYFUNCTION("""COMPUTED_VALUE"""),3527.0)</f>
        <v>3527</v>
      </c>
      <c r="E528" s="528" t="str">
        <f>IFERROR(__xludf.DUMMYFUNCTION("""COMPUTED_VALUE"""),"Римма Лукина")</f>
        <v>Римма Лукина</v>
      </c>
      <c r="F528" s="535" t="str">
        <f>IFERROR(__xludf.DUMMYFUNCTION("""COMPUTED_VALUE"""),"Повтор")</f>
        <v>Повтор</v>
      </c>
      <c r="G528" s="536" t="str">
        <f>IFERROR(__xludf.DUMMYFUNCTION("""COMPUTED_VALUE"""),"55*55")</f>
        <v>55*55</v>
      </c>
      <c r="H528" s="338" t="str">
        <f>IFERROR(__xludf.DUMMYFUNCTION("""COMPUTED_VALUE"""),"Флексопечать")</f>
        <v>Флексопечать</v>
      </c>
      <c r="I528" s="338" t="str">
        <f>IFERROR(__xludf.DUMMYFUNCTION("""COMPUTED_VALUE"""),"G-160")</f>
        <v>G-160</v>
      </c>
      <c r="J528" s="536">
        <f>IFERROR(__xludf.DUMMYFUNCTION("""COMPUTED_VALUE"""),22500.0)</f>
        <v>22500</v>
      </c>
      <c r="K528" s="537">
        <f>IFERROR(__xludf.DUMMYFUNCTION("""COMPUTED_VALUE"""),46199.0)</f>
        <v>46199</v>
      </c>
      <c r="L528" s="537"/>
      <c r="M528" s="338" t="str">
        <f>IFERROR(__xludf.DUMMYFUNCTION("""COMPUTED_VALUE"""),"Бумага полуглянец акрил")</f>
        <v>Бумага полуглянец акрил</v>
      </c>
      <c r="N528" s="338" t="str">
        <f>IFERROR(__xludf.DUMMYFUNCTION("""COMPUTED_VALUE"""),"Отгружен")</f>
        <v>Отгружен</v>
      </c>
      <c r="O528" s="537"/>
      <c r="P528"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4505098731")</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4505098731</v>
      </c>
      <c r="Q528"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28" s="338"/>
      <c r="S528" s="338"/>
      <c r="T528" s="338"/>
      <c r="U528" s="338"/>
      <c r="V528" s="338"/>
      <c r="W528" s="338"/>
      <c r="X528" s="338"/>
      <c r="Y528" s="338"/>
      <c r="Z528" s="338"/>
    </row>
    <row r="529" ht="22.5" customHeight="1">
      <c r="A529" s="528" t="str">
        <f>IFERROR(__xludf.DUMMYFUNCTION("""COMPUTED_VALUE"""),"ООО Кимберли кларк")</f>
        <v>ООО Кимберли кларк</v>
      </c>
      <c r="B529" s="528"/>
      <c r="C529" s="528" t="str">
        <f>IFERROR(__xludf.DUMMYFUNCTION("""COMPUTED_VALUE"""),"61285169 НБ T5 Magic Наклейка/пакет S0 Jumbo 80х4")</f>
        <v>61285169 НБ T5 Magic Наклейка/пакет S0 Jumbo 80х4</v>
      </c>
      <c r="D529" s="528">
        <f>IFERROR(__xludf.DUMMYFUNCTION("""COMPUTED_VALUE"""),3528.0)</f>
        <v>3528</v>
      </c>
      <c r="E529" s="528" t="str">
        <f>IFERROR(__xludf.DUMMYFUNCTION("""COMPUTED_VALUE"""),"Римма Лукина")</f>
        <v>Римма Лукина</v>
      </c>
      <c r="F529" s="535" t="str">
        <f>IFERROR(__xludf.DUMMYFUNCTION("""COMPUTED_VALUE"""),"Повтор")</f>
        <v>Повтор</v>
      </c>
      <c r="G529" s="536" t="str">
        <f>IFERROR(__xludf.DUMMYFUNCTION("""COMPUTED_VALUE"""),"55*55")</f>
        <v>55*55</v>
      </c>
      <c r="H529" s="338" t="str">
        <f>IFERROR(__xludf.DUMMYFUNCTION("""COMPUTED_VALUE"""),"Флексопечать")</f>
        <v>Флексопечать</v>
      </c>
      <c r="I529" s="338" t="str">
        <f>IFERROR(__xludf.DUMMYFUNCTION("""COMPUTED_VALUE"""),"G-160")</f>
        <v>G-160</v>
      </c>
      <c r="J529" s="536">
        <f>IFERROR(__xludf.DUMMYFUNCTION("""COMPUTED_VALUE"""),5000.0)</f>
        <v>5000</v>
      </c>
      <c r="K529" s="537">
        <f>IFERROR(__xludf.DUMMYFUNCTION("""COMPUTED_VALUE"""),46199.0)</f>
        <v>46199</v>
      </c>
      <c r="L529" s="537"/>
      <c r="M529" s="338" t="str">
        <f>IFERROR(__xludf.DUMMYFUNCTION("""COMPUTED_VALUE"""),"Бумага полуглянец акрил")</f>
        <v>Бумага полуглянец акрил</v>
      </c>
      <c r="N529" s="338" t="str">
        <f>IFERROR(__xludf.DUMMYFUNCTION("""COMPUTED_VALUE"""),"Отгружен")</f>
        <v>Отгружен</v>
      </c>
      <c r="O529" s="537"/>
      <c r="P529"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4505098736")</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4505098736</v>
      </c>
      <c r="Q529"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29" s="338"/>
      <c r="S529" s="338"/>
      <c r="T529" s="338"/>
      <c r="U529" s="338"/>
      <c r="V529" s="338"/>
      <c r="W529" s="338"/>
      <c r="X529" s="338"/>
      <c r="Y529" s="338"/>
      <c r="Z529" s="338"/>
    </row>
    <row r="530" ht="22.5" customHeight="1">
      <c r="A530" s="528" t="str">
        <f>IFERROR(__xludf.DUMMYFUNCTION("""COMPUTED_VALUE"""),"ООО Кимберли кларк")</f>
        <v>ООО Кимберли кларк</v>
      </c>
      <c r="B530" s="528"/>
      <c r="C530" s="528" t="str">
        <f>IFERROR(__xludf.DUMMYFUNCTION("""COMPUTED_VALUE"""),"61285170 НБ T5 Magic Наклейка/пакет S1 Mega 84х2")</f>
        <v>61285170 НБ T5 Magic Наклейка/пакет S1 Mega 84х2</v>
      </c>
      <c r="D530" s="528">
        <f>IFERROR(__xludf.DUMMYFUNCTION("""COMPUTED_VALUE"""),3529.0)</f>
        <v>3529</v>
      </c>
      <c r="E530" s="528" t="str">
        <f>IFERROR(__xludf.DUMMYFUNCTION("""COMPUTED_VALUE"""),"Римма Лукина")</f>
        <v>Римма Лукина</v>
      </c>
      <c r="F530" s="535" t="str">
        <f>IFERROR(__xludf.DUMMYFUNCTION("""COMPUTED_VALUE"""),"Повтор")</f>
        <v>Повтор</v>
      </c>
      <c r="G530" s="536" t="str">
        <f>IFERROR(__xludf.DUMMYFUNCTION("""COMPUTED_VALUE"""),"55*55")</f>
        <v>55*55</v>
      </c>
      <c r="H530" s="338" t="str">
        <f>IFERROR(__xludf.DUMMYFUNCTION("""COMPUTED_VALUE"""),"Флексопечать")</f>
        <v>Флексопечать</v>
      </c>
      <c r="I530" s="338" t="str">
        <f>IFERROR(__xludf.DUMMYFUNCTION("""COMPUTED_VALUE"""),"G-160")</f>
        <v>G-160</v>
      </c>
      <c r="J530" s="536">
        <f>IFERROR(__xludf.DUMMYFUNCTION("""COMPUTED_VALUE"""),20000.0)</f>
        <v>20000</v>
      </c>
      <c r="K530" s="537">
        <f>IFERROR(__xludf.DUMMYFUNCTION("""COMPUTED_VALUE"""),46199.0)</f>
        <v>46199</v>
      </c>
      <c r="L530" s="537"/>
      <c r="M530" s="338" t="str">
        <f>IFERROR(__xludf.DUMMYFUNCTION("""COMPUTED_VALUE"""),"Бумага полуглянец акрил")</f>
        <v>Бумага полуглянец акрил</v>
      </c>
      <c r="N530" s="338" t="str">
        <f>IFERROR(__xludf.DUMMYFUNCTION("""COMPUTED_VALUE"""),"Отгружен")</f>
        <v>Отгружен</v>
      </c>
      <c r="O530" s="537"/>
      <c r="P530"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4505098737")</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4505098737</v>
      </c>
      <c r="Q530"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30" s="338"/>
      <c r="S530" s="338"/>
      <c r="T530" s="338"/>
      <c r="U530" s="338"/>
      <c r="V530" s="338"/>
      <c r="W530" s="338"/>
      <c r="X530" s="338"/>
      <c r="Y530" s="338"/>
      <c r="Z530" s="338"/>
    </row>
    <row r="531" ht="22.5" customHeight="1">
      <c r="A531" s="528" t="str">
        <f>IFERROR(__xludf.DUMMYFUNCTION("""COMPUTED_VALUE"""),"ООО Кимберли кларк")</f>
        <v>ООО Кимберли кларк</v>
      </c>
      <c r="B531" s="528"/>
      <c r="C531" s="528" t="str">
        <f>IFERROR(__xludf.DUMMYFUNCTION("""COMPUTED_VALUE"""),"61285174 НБ T5 Magic Наклейка/пакет S0 Conv 25х8")</f>
        <v>61285174 НБ T5 Magic Наклейка/пакет S0 Conv 25х8</v>
      </c>
      <c r="D531" s="528">
        <f>IFERROR(__xludf.DUMMYFUNCTION("""COMPUTED_VALUE"""),3530.0)</f>
        <v>3530</v>
      </c>
      <c r="E531" s="528" t="str">
        <f>IFERROR(__xludf.DUMMYFUNCTION("""COMPUTED_VALUE"""),"Римма Лукина")</f>
        <v>Римма Лукина</v>
      </c>
      <c r="F531" s="535" t="str">
        <f>IFERROR(__xludf.DUMMYFUNCTION("""COMPUTED_VALUE"""),"Повтор")</f>
        <v>Повтор</v>
      </c>
      <c r="G531" s="536" t="str">
        <f>IFERROR(__xludf.DUMMYFUNCTION("""COMPUTED_VALUE"""),"55*55")</f>
        <v>55*55</v>
      </c>
      <c r="H531" s="338" t="str">
        <f>IFERROR(__xludf.DUMMYFUNCTION("""COMPUTED_VALUE"""),"Флексопечать")</f>
        <v>Флексопечать</v>
      </c>
      <c r="I531" s="338" t="str">
        <f>IFERROR(__xludf.DUMMYFUNCTION("""COMPUTED_VALUE"""),"G-160")</f>
        <v>G-160</v>
      </c>
      <c r="J531" s="536">
        <f>IFERROR(__xludf.DUMMYFUNCTION("""COMPUTED_VALUE"""),10000.0)</f>
        <v>10000</v>
      </c>
      <c r="K531" s="537">
        <f>IFERROR(__xludf.DUMMYFUNCTION("""COMPUTED_VALUE"""),46199.0)</f>
        <v>46199</v>
      </c>
      <c r="L531" s="537"/>
      <c r="M531" s="338" t="str">
        <f>IFERROR(__xludf.DUMMYFUNCTION("""COMPUTED_VALUE"""),"Бумага полуглянец акрил")</f>
        <v>Бумага полуглянец акрил</v>
      </c>
      <c r="N531" s="338" t="str">
        <f>IFERROR(__xludf.DUMMYFUNCTION("""COMPUTED_VALUE"""),"Отгружен")</f>
        <v>Отгружен</v>
      </c>
      <c r="O531" s="537"/>
      <c r="P531"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4505098738")</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4505098738</v>
      </c>
      <c r="Q531"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31" s="338"/>
      <c r="S531" s="338"/>
      <c r="T531" s="338"/>
      <c r="U531" s="338"/>
      <c r="V531" s="338"/>
      <c r="W531" s="338"/>
      <c r="X531" s="338"/>
      <c r="Y531" s="338"/>
      <c r="Z531" s="338"/>
    </row>
    <row r="532" ht="22.5" customHeight="1">
      <c r="A532" s="528" t="str">
        <f>IFERROR(__xludf.DUMMYFUNCTION("""COMPUTED_VALUE"""),"ООО Кимберли кларк")</f>
        <v>ООО Кимберли кларк</v>
      </c>
      <c r="B532" s="528"/>
      <c r="C532" s="528" t="str">
        <f>IFERROR(__xludf.DUMMYFUNCTION("""COMPUTED_VALUE"""),"61285175 НБ T5 Magic Наклейка/пакет S1 Jumbo 50х2")</f>
        <v>61285175 НБ T5 Magic Наклейка/пакет S1 Jumbo 50х2</v>
      </c>
      <c r="D532" s="528">
        <f>IFERROR(__xludf.DUMMYFUNCTION("""COMPUTED_VALUE"""),3531.0)</f>
        <v>3531</v>
      </c>
      <c r="E532" s="528" t="str">
        <f>IFERROR(__xludf.DUMMYFUNCTION("""COMPUTED_VALUE"""),"Римма Лукина")</f>
        <v>Римма Лукина</v>
      </c>
      <c r="F532" s="535" t="str">
        <f>IFERROR(__xludf.DUMMYFUNCTION("""COMPUTED_VALUE"""),"Повтор")</f>
        <v>Повтор</v>
      </c>
      <c r="G532" s="536" t="str">
        <f>IFERROR(__xludf.DUMMYFUNCTION("""COMPUTED_VALUE"""),"55*55")</f>
        <v>55*55</v>
      </c>
      <c r="H532" s="338" t="str">
        <f>IFERROR(__xludf.DUMMYFUNCTION("""COMPUTED_VALUE"""),"Флексопечать")</f>
        <v>Флексопечать</v>
      </c>
      <c r="I532" s="338" t="str">
        <f>IFERROR(__xludf.DUMMYFUNCTION("""COMPUTED_VALUE"""),"G-160")</f>
        <v>G-160</v>
      </c>
      <c r="J532" s="536">
        <f>IFERROR(__xludf.DUMMYFUNCTION("""COMPUTED_VALUE"""),20000.0)</f>
        <v>20000</v>
      </c>
      <c r="K532" s="537">
        <f>IFERROR(__xludf.DUMMYFUNCTION("""COMPUTED_VALUE"""),46199.0)</f>
        <v>46199</v>
      </c>
      <c r="L532" s="537"/>
      <c r="M532" s="338" t="str">
        <f>IFERROR(__xludf.DUMMYFUNCTION("""COMPUTED_VALUE"""),"Бумага полуглянец акрил")</f>
        <v>Бумага полуглянец акрил</v>
      </c>
      <c r="N532" s="338" t="str">
        <f>IFERROR(__xludf.DUMMYFUNCTION("""COMPUTED_VALUE"""),"Отгружен")</f>
        <v>Отгружен</v>
      </c>
      <c r="O532" s="537"/>
      <c r="P532"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4505098739")</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4505098739</v>
      </c>
      <c r="Q532"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32" s="338"/>
      <c r="S532" s="338"/>
      <c r="T532" s="338"/>
      <c r="U532" s="338"/>
      <c r="V532" s="338"/>
      <c r="W532" s="338"/>
      <c r="X532" s="338"/>
      <c r="Y532" s="338"/>
      <c r="Z532" s="338"/>
    </row>
    <row r="533" ht="22.5" customHeight="1">
      <c r="A533" s="528" t="str">
        <f>IFERROR(__xludf.DUMMYFUNCTION("""COMPUTED_VALUE"""),"ООО Кимберли кларк")</f>
        <v>ООО Кимберли кларк</v>
      </c>
      <c r="B533" s="528"/>
      <c r="C533" s="528" t="str">
        <f>IFERROR(__xludf.DUMMYFUNCTION("""COMPUTED_VALUE"""),"61285176 НБ T5 Magic Наклейка/пакет S1 Giga 100х2")</f>
        <v>61285176 НБ T5 Magic Наклейка/пакет S1 Giga 100х2</v>
      </c>
      <c r="D533" s="528">
        <f>IFERROR(__xludf.DUMMYFUNCTION("""COMPUTED_VALUE"""),3532.0)</f>
        <v>3532</v>
      </c>
      <c r="E533" s="528" t="str">
        <f>IFERROR(__xludf.DUMMYFUNCTION("""COMPUTED_VALUE"""),"Римма Лукина")</f>
        <v>Римма Лукина</v>
      </c>
      <c r="F533" s="535" t="str">
        <f>IFERROR(__xludf.DUMMYFUNCTION("""COMPUTED_VALUE"""),"Повтор")</f>
        <v>Повтор</v>
      </c>
      <c r="G533" s="536" t="str">
        <f>IFERROR(__xludf.DUMMYFUNCTION("""COMPUTED_VALUE"""),"55*55")</f>
        <v>55*55</v>
      </c>
      <c r="H533" s="338" t="str">
        <f>IFERROR(__xludf.DUMMYFUNCTION("""COMPUTED_VALUE"""),"Флексопечать")</f>
        <v>Флексопечать</v>
      </c>
      <c r="I533" s="338" t="str">
        <f>IFERROR(__xludf.DUMMYFUNCTION("""COMPUTED_VALUE"""),"G-160")</f>
        <v>G-160</v>
      </c>
      <c r="J533" s="536">
        <f>IFERROR(__xludf.DUMMYFUNCTION("""COMPUTED_VALUE"""),10000.0)</f>
        <v>10000</v>
      </c>
      <c r="K533" s="537">
        <f>IFERROR(__xludf.DUMMYFUNCTION("""COMPUTED_VALUE"""),46199.0)</f>
        <v>46199</v>
      </c>
      <c r="L533" s="537"/>
      <c r="M533" s="338" t="str">
        <f>IFERROR(__xludf.DUMMYFUNCTION("""COMPUTED_VALUE"""),"Бумага полуглянец акрил")</f>
        <v>Бумага полуглянец акрил</v>
      </c>
      <c r="N533" s="338" t="str">
        <f>IFERROR(__xludf.DUMMYFUNCTION("""COMPUTED_VALUE"""),"Отгружен")</f>
        <v>Отгружен</v>
      </c>
      <c r="O533" s="537"/>
      <c r="P533"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4505098740")</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4505098740</v>
      </c>
      <c r="Q533"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33" s="338"/>
      <c r="S533" s="338"/>
      <c r="T533" s="338"/>
      <c r="U533" s="338"/>
      <c r="V533" s="338"/>
      <c r="W533" s="338"/>
      <c r="X533" s="338"/>
      <c r="Y533" s="338"/>
      <c r="Z533" s="338"/>
    </row>
    <row r="534" ht="22.5" customHeight="1">
      <c r="A534" s="528" t="str">
        <f>IFERROR(__xludf.DUMMYFUNCTION("""COMPUTED_VALUE"""),"ООО Кимберли кларк")</f>
        <v>ООО Кимберли кларк</v>
      </c>
      <c r="B534" s="528"/>
      <c r="C534" s="528" t="str">
        <f>IFERROR(__xludf.DUMMYFUNCTION("""COMPUTED_VALUE"""),"61285190 ЭС T5 Magic Наклейка/пакет S4 Conv 19х8")</f>
        <v>61285190 ЭС T5 Magic Наклейка/пакет S4 Conv 19х8</v>
      </c>
      <c r="D534" s="528">
        <f>IFERROR(__xludf.DUMMYFUNCTION("""COMPUTED_VALUE"""),3533.0)</f>
        <v>3533</v>
      </c>
      <c r="E534" s="528" t="str">
        <f>IFERROR(__xludf.DUMMYFUNCTION("""COMPUTED_VALUE"""),"Римма Лукина")</f>
        <v>Римма Лукина</v>
      </c>
      <c r="F534" s="535" t="str">
        <f>IFERROR(__xludf.DUMMYFUNCTION("""COMPUTED_VALUE"""),"Повтор")</f>
        <v>Повтор</v>
      </c>
      <c r="G534" s="536" t="str">
        <f>IFERROR(__xludf.DUMMYFUNCTION("""COMPUTED_VALUE"""),"55*55")</f>
        <v>55*55</v>
      </c>
      <c r="H534" s="338" t="str">
        <f>IFERROR(__xludf.DUMMYFUNCTION("""COMPUTED_VALUE"""),"Флексопечать")</f>
        <v>Флексопечать</v>
      </c>
      <c r="I534" s="338" t="str">
        <f>IFERROR(__xludf.DUMMYFUNCTION("""COMPUTED_VALUE"""),"G-160")</f>
        <v>G-160</v>
      </c>
      <c r="J534" s="536">
        <f>IFERROR(__xludf.DUMMYFUNCTION("""COMPUTED_VALUE"""),10000.0)</f>
        <v>10000</v>
      </c>
      <c r="K534" s="537">
        <f>IFERROR(__xludf.DUMMYFUNCTION("""COMPUTED_VALUE"""),46199.0)</f>
        <v>46199</v>
      </c>
      <c r="L534" s="537"/>
      <c r="M534" s="338" t="str">
        <f>IFERROR(__xludf.DUMMYFUNCTION("""COMPUTED_VALUE"""),"Бумага полуглянец акрил")</f>
        <v>Бумага полуглянец акрил</v>
      </c>
      <c r="N534" s="338" t="str">
        <f>IFERROR(__xludf.DUMMYFUNCTION("""COMPUTED_VALUE"""),"Отгружен")</f>
        <v>Отгружен</v>
      </c>
      <c r="O534" s="537"/>
      <c r="P534"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4505098741")</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4505098741</v>
      </c>
      <c r="Q534"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34" s="338"/>
      <c r="S534" s="338"/>
      <c r="T534" s="338"/>
      <c r="U534" s="338"/>
      <c r="V534" s="338"/>
      <c r="W534" s="338"/>
      <c r="X534" s="338"/>
      <c r="Y534" s="338"/>
      <c r="Z534" s="338"/>
    </row>
    <row r="535" ht="22.5" customHeight="1">
      <c r="A535" s="528" t="str">
        <f>IFERROR(__xludf.DUMMYFUNCTION("""COMPUTED_VALUE"""),"ООО Кимберли кларк")</f>
        <v>ООО Кимберли кларк</v>
      </c>
      <c r="B535" s="528"/>
      <c r="C535" s="528" t="str">
        <f>IFERROR(__xludf.DUMMYFUNCTION("""COMPUTED_VALUE"""),"61285191 ЭС T5 Magic Наклейка/пакет S3 Jumbo 40х4")</f>
        <v>61285191 ЭС T5 Magic Наклейка/пакет S3 Jumbo 40х4</v>
      </c>
      <c r="D535" s="528">
        <f>IFERROR(__xludf.DUMMYFUNCTION("""COMPUTED_VALUE"""),3534.0)</f>
        <v>3534</v>
      </c>
      <c r="E535" s="528" t="str">
        <f>IFERROR(__xludf.DUMMYFUNCTION("""COMPUTED_VALUE"""),"Римма Лукина")</f>
        <v>Римма Лукина</v>
      </c>
      <c r="F535" s="535" t="str">
        <f>IFERROR(__xludf.DUMMYFUNCTION("""COMPUTED_VALUE"""),"Повтор")</f>
        <v>Повтор</v>
      </c>
      <c r="G535" s="536" t="str">
        <f>IFERROR(__xludf.DUMMYFUNCTION("""COMPUTED_VALUE"""),"55*55")</f>
        <v>55*55</v>
      </c>
      <c r="H535" s="338" t="str">
        <f>IFERROR(__xludf.DUMMYFUNCTION("""COMPUTED_VALUE"""),"Флексопечать")</f>
        <v>Флексопечать</v>
      </c>
      <c r="I535" s="338" t="str">
        <f>IFERROR(__xludf.DUMMYFUNCTION("""COMPUTED_VALUE"""),"G-160")</f>
        <v>G-160</v>
      </c>
      <c r="J535" s="536">
        <f>IFERROR(__xludf.DUMMYFUNCTION("""COMPUTED_VALUE"""),7500.0)</f>
        <v>7500</v>
      </c>
      <c r="K535" s="537">
        <f>IFERROR(__xludf.DUMMYFUNCTION("""COMPUTED_VALUE"""),46199.0)</f>
        <v>46199</v>
      </c>
      <c r="L535" s="537"/>
      <c r="M535" s="338" t="str">
        <f>IFERROR(__xludf.DUMMYFUNCTION("""COMPUTED_VALUE"""),"Бумага полуглянец акрил")</f>
        <v>Бумага полуглянец акрил</v>
      </c>
      <c r="N535" s="338" t="str">
        <f>IFERROR(__xludf.DUMMYFUNCTION("""COMPUTED_VALUE"""),"Отгружен")</f>
        <v>Отгружен</v>
      </c>
      <c r="O535" s="537"/>
      <c r="P535"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4505098742")</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4505098742</v>
      </c>
      <c r="Q535"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35" s="338"/>
      <c r="S535" s="338"/>
      <c r="T535" s="338"/>
      <c r="U535" s="338"/>
      <c r="V535" s="338"/>
      <c r="W535" s="338"/>
      <c r="X535" s="338"/>
      <c r="Y535" s="338"/>
      <c r="Z535" s="338"/>
    </row>
    <row r="536" ht="22.5" customHeight="1">
      <c r="A536" s="528" t="str">
        <f>IFERROR(__xludf.DUMMYFUNCTION("""COMPUTED_VALUE"""),"ООО Кимберли кларк")</f>
        <v>ООО Кимберли кларк</v>
      </c>
      <c r="B536" s="528"/>
      <c r="C536" s="528" t="str">
        <f>IFERROR(__xludf.DUMMYFUNCTION("""COMPUTED_VALUE"""),"61285197 ЭС T5 Magic Наклейка/пакет S3 Conv 21х8")</f>
        <v>61285197 ЭС T5 Magic Наклейка/пакет S3 Conv 21х8</v>
      </c>
      <c r="D536" s="528">
        <f>IFERROR(__xludf.DUMMYFUNCTION("""COMPUTED_VALUE"""),3535.0)</f>
        <v>3535</v>
      </c>
      <c r="E536" s="528" t="str">
        <f>IFERROR(__xludf.DUMMYFUNCTION("""COMPUTED_VALUE"""),"Римма Лукина")</f>
        <v>Римма Лукина</v>
      </c>
      <c r="F536" s="535" t="str">
        <f>IFERROR(__xludf.DUMMYFUNCTION("""COMPUTED_VALUE"""),"Повтор")</f>
        <v>Повтор</v>
      </c>
      <c r="G536" s="536" t="str">
        <f>IFERROR(__xludf.DUMMYFUNCTION("""COMPUTED_VALUE"""),"55*55")</f>
        <v>55*55</v>
      </c>
      <c r="H536" s="338" t="str">
        <f>IFERROR(__xludf.DUMMYFUNCTION("""COMPUTED_VALUE"""),"Флексопечать")</f>
        <v>Флексопечать</v>
      </c>
      <c r="I536" s="338" t="str">
        <f>IFERROR(__xludf.DUMMYFUNCTION("""COMPUTED_VALUE"""),"G-160")</f>
        <v>G-160</v>
      </c>
      <c r="J536" s="536">
        <f>IFERROR(__xludf.DUMMYFUNCTION("""COMPUTED_VALUE"""),12500.0)</f>
        <v>12500</v>
      </c>
      <c r="K536" s="537">
        <f>IFERROR(__xludf.DUMMYFUNCTION("""COMPUTED_VALUE"""),46199.0)</f>
        <v>46199</v>
      </c>
      <c r="L536" s="537"/>
      <c r="M536" s="338" t="str">
        <f>IFERROR(__xludf.DUMMYFUNCTION("""COMPUTED_VALUE"""),"Бумага полуглянец акрил")</f>
        <v>Бумага полуглянец акрил</v>
      </c>
      <c r="N536" s="338" t="str">
        <f>IFERROR(__xludf.DUMMYFUNCTION("""COMPUTED_VALUE"""),"Отгружен")</f>
        <v>Отгружен</v>
      </c>
      <c r="O536" s="537"/>
      <c r="P536"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4505098743")</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4505098743</v>
      </c>
      <c r="Q536"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36" s="338"/>
      <c r="S536" s="338"/>
      <c r="T536" s="338"/>
      <c r="U536" s="338"/>
      <c r="V536" s="338"/>
      <c r="W536" s="338"/>
      <c r="X536" s="338"/>
      <c r="Y536" s="338"/>
      <c r="Z536" s="338"/>
    </row>
    <row r="537" ht="22.5" customHeight="1">
      <c r="A537" s="528" t="str">
        <f>IFERROR(__xludf.DUMMYFUNCTION("""COMPUTED_VALUE"""),"ООО Кимберли кларк")</f>
        <v>ООО Кимберли кларк</v>
      </c>
      <c r="B537" s="528"/>
      <c r="C537" s="528" t="str">
        <f>IFERROR(__xludf.DUMMYFUNCTION("""COMPUTED_VALUE"""),"61285198 ЭС T5 Magic Наклейка/пакет S4 Mega 54х2")</f>
        <v>61285198 ЭС T5 Magic Наклейка/пакет S4 Mega 54х2</v>
      </c>
      <c r="D537" s="528">
        <f>IFERROR(__xludf.DUMMYFUNCTION("""COMPUTED_VALUE"""),3536.0)</f>
        <v>3536</v>
      </c>
      <c r="E537" s="528" t="str">
        <f>IFERROR(__xludf.DUMMYFUNCTION("""COMPUTED_VALUE"""),"Римма Лукина")</f>
        <v>Римма Лукина</v>
      </c>
      <c r="F537" s="535" t="str">
        <f>IFERROR(__xludf.DUMMYFUNCTION("""COMPUTED_VALUE"""),"Повтор")</f>
        <v>Повтор</v>
      </c>
      <c r="G537" s="536" t="str">
        <f>IFERROR(__xludf.DUMMYFUNCTION("""COMPUTED_VALUE"""),"55*55")</f>
        <v>55*55</v>
      </c>
      <c r="H537" s="338" t="str">
        <f>IFERROR(__xludf.DUMMYFUNCTION("""COMPUTED_VALUE"""),"Флексопечать")</f>
        <v>Флексопечать</v>
      </c>
      <c r="I537" s="338" t="str">
        <f>IFERROR(__xludf.DUMMYFUNCTION("""COMPUTED_VALUE"""),"G-160")</f>
        <v>G-160</v>
      </c>
      <c r="J537" s="536">
        <f>IFERROR(__xludf.DUMMYFUNCTION("""COMPUTED_VALUE"""),20000.0)</f>
        <v>20000</v>
      </c>
      <c r="K537" s="537">
        <f>IFERROR(__xludf.DUMMYFUNCTION("""COMPUTED_VALUE"""),46199.0)</f>
        <v>46199</v>
      </c>
      <c r="L537" s="537"/>
      <c r="M537" s="338" t="str">
        <f>IFERROR(__xludf.DUMMYFUNCTION("""COMPUTED_VALUE"""),"Бумага полуглянец акрил")</f>
        <v>Бумага полуглянец акрил</v>
      </c>
      <c r="N537" s="338" t="str">
        <f>IFERROR(__xludf.DUMMYFUNCTION("""COMPUTED_VALUE"""),"Отгружен")</f>
        <v>Отгружен</v>
      </c>
      <c r="O537" s="537"/>
      <c r="P537"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4505098744")</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4505098744</v>
      </c>
      <c r="Q537"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37" s="338"/>
      <c r="S537" s="338"/>
      <c r="T537" s="338"/>
      <c r="U537" s="338"/>
      <c r="V537" s="338"/>
      <c r="W537" s="338"/>
      <c r="X537" s="338"/>
      <c r="Y537" s="338"/>
      <c r="Z537" s="338"/>
    </row>
    <row r="538" ht="22.5" customHeight="1">
      <c r="A538" s="528" t="str">
        <f>IFERROR(__xludf.DUMMYFUNCTION("""COMPUTED_VALUE"""),"ООО Кимберли кларк")</f>
        <v>ООО Кимберли кларк</v>
      </c>
      <c r="B538" s="528"/>
      <c r="C538" s="528" t="str">
        <f>IFERROR(__xludf.DUMMYFUNCTION("""COMPUTED_VALUE"""),"61285208 ЭС T5 Magic Наклейка/пакет S5 Conv 17х8")</f>
        <v>61285208 ЭС T5 Magic Наклейка/пакет S5 Conv 17х8</v>
      </c>
      <c r="D538" s="528">
        <f>IFERROR(__xludf.DUMMYFUNCTION("""COMPUTED_VALUE"""),3537.0)</f>
        <v>3537</v>
      </c>
      <c r="E538" s="528" t="str">
        <f>IFERROR(__xludf.DUMMYFUNCTION("""COMPUTED_VALUE"""),"Римма Лукина")</f>
        <v>Римма Лукина</v>
      </c>
      <c r="F538" s="535" t="str">
        <f>IFERROR(__xludf.DUMMYFUNCTION("""COMPUTED_VALUE"""),"Повтор")</f>
        <v>Повтор</v>
      </c>
      <c r="G538" s="536" t="str">
        <f>IFERROR(__xludf.DUMMYFUNCTION("""COMPUTED_VALUE"""),"55*55")</f>
        <v>55*55</v>
      </c>
      <c r="H538" s="338" t="str">
        <f>IFERROR(__xludf.DUMMYFUNCTION("""COMPUTED_VALUE"""),"Флексопечать")</f>
        <v>Флексопечать</v>
      </c>
      <c r="I538" s="338" t="str">
        <f>IFERROR(__xludf.DUMMYFUNCTION("""COMPUTED_VALUE"""),"G-160")</f>
        <v>G-160</v>
      </c>
      <c r="J538" s="536">
        <f>IFERROR(__xludf.DUMMYFUNCTION("""COMPUTED_VALUE"""),15000.0)</f>
        <v>15000</v>
      </c>
      <c r="K538" s="537">
        <f>IFERROR(__xludf.DUMMYFUNCTION("""COMPUTED_VALUE"""),46199.0)</f>
        <v>46199</v>
      </c>
      <c r="L538" s="537"/>
      <c r="M538" s="338" t="str">
        <f>IFERROR(__xludf.DUMMYFUNCTION("""COMPUTED_VALUE"""),"Бумага полуглянец акрил")</f>
        <v>Бумага полуглянец акрил</v>
      </c>
      <c r="N538" s="338" t="str">
        <f>IFERROR(__xludf.DUMMYFUNCTION("""COMPUTED_VALUE"""),"Отгружен")</f>
        <v>Отгружен</v>
      </c>
      <c r="O538" s="537"/>
      <c r="P538"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4505098745")</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4505098745</v>
      </c>
      <c r="Q538"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38" s="338"/>
      <c r="S538" s="338"/>
      <c r="T538" s="338"/>
      <c r="U538" s="338"/>
      <c r="V538" s="338"/>
      <c r="W538" s="338"/>
      <c r="X538" s="338"/>
      <c r="Y538" s="338"/>
      <c r="Z538" s="338"/>
    </row>
    <row r="539" ht="22.5" customHeight="1">
      <c r="A539" s="528" t="str">
        <f>IFERROR(__xludf.DUMMYFUNCTION("""COMPUTED_VALUE"""),"ООО Кимберли кларк")</f>
        <v>ООО Кимберли кларк</v>
      </c>
      <c r="B539" s="528"/>
      <c r="C539" s="528" t="str">
        <f>IFERROR(__xludf.DUMMYFUNCTION("""COMPUTED_VALUE"""),"61285212 ЭС T5 Magic Наклейка/пакет S4 Jumbo 33х4")</f>
        <v>61285212 ЭС T5 Magic Наклейка/пакет S4 Jumbo 33х4</v>
      </c>
      <c r="D539" s="528">
        <f>IFERROR(__xludf.DUMMYFUNCTION("""COMPUTED_VALUE"""),3538.0)</f>
        <v>3538</v>
      </c>
      <c r="E539" s="528" t="str">
        <f>IFERROR(__xludf.DUMMYFUNCTION("""COMPUTED_VALUE"""),"Римма Лукина")</f>
        <v>Римма Лукина</v>
      </c>
      <c r="F539" s="535" t="str">
        <f>IFERROR(__xludf.DUMMYFUNCTION("""COMPUTED_VALUE"""),"Повтор")</f>
        <v>Повтор</v>
      </c>
      <c r="G539" s="536" t="str">
        <f>IFERROR(__xludf.DUMMYFUNCTION("""COMPUTED_VALUE"""),"55*55")</f>
        <v>55*55</v>
      </c>
      <c r="H539" s="338" t="str">
        <f>IFERROR(__xludf.DUMMYFUNCTION("""COMPUTED_VALUE"""),"Флексопечать")</f>
        <v>Флексопечать</v>
      </c>
      <c r="I539" s="338" t="str">
        <f>IFERROR(__xludf.DUMMYFUNCTION("""COMPUTED_VALUE"""),"G-160")</f>
        <v>G-160</v>
      </c>
      <c r="J539" s="536">
        <f>IFERROR(__xludf.DUMMYFUNCTION("""COMPUTED_VALUE"""),7500.0)</f>
        <v>7500</v>
      </c>
      <c r="K539" s="537">
        <f>IFERROR(__xludf.DUMMYFUNCTION("""COMPUTED_VALUE"""),46199.0)</f>
        <v>46199</v>
      </c>
      <c r="L539" s="537"/>
      <c r="M539" s="338" t="str">
        <f>IFERROR(__xludf.DUMMYFUNCTION("""COMPUTED_VALUE"""),"Бумага полуглянец акрил")</f>
        <v>Бумага полуглянец акрил</v>
      </c>
      <c r="N539" s="338" t="str">
        <f>IFERROR(__xludf.DUMMYFUNCTION("""COMPUTED_VALUE"""),"Отгружен")</f>
        <v>Отгружен</v>
      </c>
      <c r="O539" s="537"/>
      <c r="P539"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4505098746")</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4505098746</v>
      </c>
      <c r="Q539"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39" s="338"/>
      <c r="S539" s="338"/>
      <c r="T539" s="338"/>
      <c r="U539" s="338"/>
      <c r="V539" s="338"/>
      <c r="W539" s="338"/>
      <c r="X539" s="338"/>
      <c r="Y539" s="338"/>
      <c r="Z539" s="338"/>
    </row>
    <row r="540" ht="22.5" customHeight="1">
      <c r="A540" s="528" t="str">
        <f>IFERROR(__xludf.DUMMYFUNCTION("""COMPUTED_VALUE"""),"ООО Кимберли кларк")</f>
        <v>ООО Кимберли кларк</v>
      </c>
      <c r="B540" s="528"/>
      <c r="C540" s="528" t="str">
        <f>IFERROR(__xludf.DUMMYFUNCTION("""COMPUTED_VALUE"""),"61285213 ЭС T5 Magic Наклейка/пакет S3 Mega 72х2")</f>
        <v>61285213 ЭС T5 Magic Наклейка/пакет S3 Mega 72х2</v>
      </c>
      <c r="D540" s="528">
        <f>IFERROR(__xludf.DUMMYFUNCTION("""COMPUTED_VALUE"""),3539.0)</f>
        <v>3539</v>
      </c>
      <c r="E540" s="528" t="str">
        <f>IFERROR(__xludf.DUMMYFUNCTION("""COMPUTED_VALUE"""),"Римма Лукина")</f>
        <v>Римма Лукина</v>
      </c>
      <c r="F540" s="535" t="str">
        <f>IFERROR(__xludf.DUMMYFUNCTION("""COMPUTED_VALUE"""),"Повтор")</f>
        <v>Повтор</v>
      </c>
      <c r="G540" s="536" t="str">
        <f>IFERROR(__xludf.DUMMYFUNCTION("""COMPUTED_VALUE"""),"55*55")</f>
        <v>55*55</v>
      </c>
      <c r="H540" s="338" t="str">
        <f>IFERROR(__xludf.DUMMYFUNCTION("""COMPUTED_VALUE"""),"Флексопечать")</f>
        <v>Флексопечать</v>
      </c>
      <c r="I540" s="338" t="str">
        <f>IFERROR(__xludf.DUMMYFUNCTION("""COMPUTED_VALUE"""),"G-160")</f>
        <v>G-160</v>
      </c>
      <c r="J540" s="536">
        <f>IFERROR(__xludf.DUMMYFUNCTION("""COMPUTED_VALUE"""),40000.0)</f>
        <v>40000</v>
      </c>
      <c r="K540" s="537">
        <f>IFERROR(__xludf.DUMMYFUNCTION("""COMPUTED_VALUE"""),46199.0)</f>
        <v>46199</v>
      </c>
      <c r="L540" s="537"/>
      <c r="M540" s="338" t="str">
        <f>IFERROR(__xludf.DUMMYFUNCTION("""COMPUTED_VALUE"""),"Бумага полуглянец акрил")</f>
        <v>Бумага полуглянец акрил</v>
      </c>
      <c r="N540" s="338" t="str">
        <f>IFERROR(__xludf.DUMMYFUNCTION("""COMPUTED_VALUE"""),"Отгружен")</f>
        <v>Отгружен</v>
      </c>
      <c r="O540" s="537"/>
      <c r="P540"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4505098747")</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4505098747</v>
      </c>
      <c r="Q540"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40" s="338"/>
      <c r="S540" s="338"/>
      <c r="T540" s="338"/>
      <c r="U540" s="338"/>
      <c r="V540" s="338"/>
      <c r="W540" s="338"/>
      <c r="X540" s="338"/>
      <c r="Y540" s="338"/>
      <c r="Z540" s="338"/>
    </row>
    <row r="541" ht="22.5" customHeight="1">
      <c r="A541" s="528" t="str">
        <f>IFERROR(__xludf.DUMMYFUNCTION("""COMPUTED_VALUE"""),"ООО Кимберли кларк")</f>
        <v>ООО Кимберли кларк</v>
      </c>
      <c r="B541" s="528"/>
      <c r="C541" s="528" t="str">
        <f>IFERROR(__xludf.DUMMYFUNCTION("""COMPUTED_VALUE"""),"61285214 ЭС T5 Magic Наклейка/пакет S5 Mega 42х4")</f>
        <v>61285214 ЭС T5 Magic Наклейка/пакет S5 Mega 42х4</v>
      </c>
      <c r="D541" s="528">
        <f>IFERROR(__xludf.DUMMYFUNCTION("""COMPUTED_VALUE"""),3540.0)</f>
        <v>3540</v>
      </c>
      <c r="E541" s="528" t="str">
        <f>IFERROR(__xludf.DUMMYFUNCTION("""COMPUTED_VALUE"""),"Римма Лукина")</f>
        <v>Римма Лукина</v>
      </c>
      <c r="F541" s="535" t="str">
        <f>IFERROR(__xludf.DUMMYFUNCTION("""COMPUTED_VALUE"""),"Повтор")</f>
        <v>Повтор</v>
      </c>
      <c r="G541" s="536" t="str">
        <f>IFERROR(__xludf.DUMMYFUNCTION("""COMPUTED_VALUE"""),"55*55")</f>
        <v>55*55</v>
      </c>
      <c r="H541" s="338" t="str">
        <f>IFERROR(__xludf.DUMMYFUNCTION("""COMPUTED_VALUE"""),"Флексопечать")</f>
        <v>Флексопечать</v>
      </c>
      <c r="I541" s="338" t="str">
        <f>IFERROR(__xludf.DUMMYFUNCTION("""COMPUTED_VALUE"""),"G-160")</f>
        <v>G-160</v>
      </c>
      <c r="J541" s="536">
        <f>IFERROR(__xludf.DUMMYFUNCTION("""COMPUTED_VALUE"""),15000.0)</f>
        <v>15000</v>
      </c>
      <c r="K541" s="537">
        <f>IFERROR(__xludf.DUMMYFUNCTION("""COMPUTED_VALUE"""),46199.0)</f>
        <v>46199</v>
      </c>
      <c r="L541" s="537"/>
      <c r="M541" s="338" t="str">
        <f>IFERROR(__xludf.DUMMYFUNCTION("""COMPUTED_VALUE"""),"Бумага полуглянец акрил")</f>
        <v>Бумага полуглянец акрил</v>
      </c>
      <c r="N541" s="338" t="str">
        <f>IFERROR(__xludf.DUMMYFUNCTION("""COMPUTED_VALUE"""),"Отгружен")</f>
        <v>Отгружен</v>
      </c>
      <c r="O541" s="537"/>
      <c r="P541"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4505098748")</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4505098748</v>
      </c>
      <c r="Q541"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41" s="338"/>
      <c r="S541" s="338"/>
      <c r="T541" s="338"/>
      <c r="U541" s="338"/>
      <c r="V541" s="338"/>
      <c r="W541" s="338"/>
      <c r="X541" s="338"/>
      <c r="Y541" s="338"/>
      <c r="Z541" s="338"/>
    </row>
    <row r="542" ht="22.5" customHeight="1">
      <c r="A542" s="528" t="str">
        <f>IFERROR(__xludf.DUMMYFUNCTION("""COMPUTED_VALUE"""),"ООО Кимберли кларк")</f>
        <v>ООО Кимберли кларк</v>
      </c>
      <c r="B542" s="528"/>
      <c r="C542" s="528" t="str">
        <f>IFERROR(__xludf.DUMMYFUNCTION("""COMPUTED_VALUE"""),"61284823 Белая наклейка 55х55 мм АЛ")</f>
        <v>61284823 Белая наклейка 55х55 мм АЛ</v>
      </c>
      <c r="D542" s="528">
        <f>IFERROR(__xludf.DUMMYFUNCTION("""COMPUTED_VALUE"""),3541.0)</f>
        <v>3541</v>
      </c>
      <c r="E542" s="528" t="str">
        <f>IFERROR(__xludf.DUMMYFUNCTION("""COMPUTED_VALUE"""),"Римма Лукина")</f>
        <v>Римма Лукина</v>
      </c>
      <c r="F542" s="535" t="str">
        <f>IFERROR(__xludf.DUMMYFUNCTION("""COMPUTED_VALUE"""),"Повтор")</f>
        <v>Повтор</v>
      </c>
      <c r="G542" s="536" t="str">
        <f>IFERROR(__xludf.DUMMYFUNCTION("""COMPUTED_VALUE"""),"55*55")</f>
        <v>55*55</v>
      </c>
      <c r="H542" s="338" t="str">
        <f>IFERROR(__xludf.DUMMYFUNCTION("""COMPUTED_VALUE"""),"Флексопечать")</f>
        <v>Флексопечать</v>
      </c>
      <c r="I542" s="338" t="str">
        <f>IFERROR(__xludf.DUMMYFUNCTION("""COMPUTED_VALUE"""),"G-160")</f>
        <v>G-160</v>
      </c>
      <c r="J542" s="536">
        <f>IFERROR(__xludf.DUMMYFUNCTION("""COMPUTED_VALUE"""),10000.0)</f>
        <v>10000</v>
      </c>
      <c r="K542" s="537">
        <f>IFERROR(__xludf.DUMMYFUNCTION("""COMPUTED_VALUE"""),46199.0)</f>
        <v>46199</v>
      </c>
      <c r="L542" s="537"/>
      <c r="M542" s="338" t="str">
        <f>IFERROR(__xludf.DUMMYFUNCTION("""COMPUTED_VALUE"""),"Бумага полуглянец акрил")</f>
        <v>Бумага полуглянец акрил</v>
      </c>
      <c r="N542" s="338" t="str">
        <f>IFERROR(__xludf.DUMMYFUNCTION("""COMPUTED_VALUE"""),"Отгружен")</f>
        <v>Отгружен</v>
      </c>
      <c r="O542" s="537"/>
      <c r="P542"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4505098735")</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4505098735</v>
      </c>
      <c r="Q542"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42" s="338"/>
      <c r="S542" s="338"/>
      <c r="T542" s="338"/>
      <c r="U542" s="338"/>
      <c r="V542" s="338"/>
      <c r="W542" s="338"/>
      <c r="X542" s="338"/>
      <c r="Y542" s="338"/>
      <c r="Z542" s="338"/>
    </row>
    <row r="543" ht="22.5" customHeight="1">
      <c r="A543" s="528" t="str">
        <f>IFERROR(__xludf.DUMMYFUNCTION("""COMPUTED_VALUE"""),"ООО Кимберли кларк")</f>
        <v>ООО Кимберли кларк</v>
      </c>
      <c r="B543" s="528"/>
      <c r="C543" s="528" t="str">
        <f>IFERROR(__xludf.DUMMYFUNCTION("""COMPUTED_VALUE"""),"61284789 Наклейка на палету самоклеющаяся А5 АЛ")</f>
        <v>61284789 Наклейка на палету самоклеющаяся А5 АЛ</v>
      </c>
      <c r="D543" s="528">
        <f>IFERROR(__xludf.DUMMYFUNCTION("""COMPUTED_VALUE"""),3542.0)</f>
        <v>3542</v>
      </c>
      <c r="E543" s="528" t="str">
        <f>IFERROR(__xludf.DUMMYFUNCTION("""COMPUTED_VALUE"""),"Римма Лукина")</f>
        <v>Римма Лукина</v>
      </c>
      <c r="F543" s="535" t="str">
        <f>IFERROR(__xludf.DUMMYFUNCTION("""COMPUTED_VALUE"""),"Повтор")</f>
        <v>Повтор</v>
      </c>
      <c r="G543" s="536" t="str">
        <f>IFERROR(__xludf.DUMMYFUNCTION("""COMPUTED_VALUE"""),"148*210")</f>
        <v>148*210</v>
      </c>
      <c r="H543" s="338" t="str">
        <f>IFERROR(__xludf.DUMMYFUNCTION("""COMPUTED_VALUE"""),"Флексопечать")</f>
        <v>Флексопечать</v>
      </c>
      <c r="I543" s="338" t="str">
        <f>IFERROR(__xludf.DUMMYFUNCTION("""COMPUTED_VALUE"""),"G-160")</f>
        <v>G-160</v>
      </c>
      <c r="J543" s="536">
        <f>IFERROR(__xludf.DUMMYFUNCTION("""COMPUTED_VALUE"""),45000.0)</f>
        <v>45000</v>
      </c>
      <c r="K543" s="537">
        <f>IFERROR(__xludf.DUMMYFUNCTION("""COMPUTED_VALUE"""),46199.0)</f>
        <v>46199</v>
      </c>
      <c r="L543" s="537"/>
      <c r="M543" s="338" t="str">
        <f>IFERROR(__xludf.DUMMYFUNCTION("""COMPUTED_VALUE"""),"Бумага полуглянец акрил")</f>
        <v>Бумага полуглянец акрил</v>
      </c>
      <c r="N543" s="338" t="str">
        <f>IFERROR(__xludf.DUMMYFUNCTION("""COMPUTED_VALUE"""),"Отгружен")</f>
        <v>Отгружен</v>
      </c>
      <c r="O543" s="537"/>
      <c r="P543"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4505098732")</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4505098732</v>
      </c>
      <c r="Q543"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43" s="338"/>
      <c r="S543" s="338"/>
      <c r="T543" s="338"/>
      <c r="U543" s="338"/>
      <c r="V543" s="338"/>
      <c r="W543" s="338"/>
      <c r="X543" s="338"/>
      <c r="Y543" s="338"/>
      <c r="Z543" s="338"/>
    </row>
    <row r="544" ht="22.5" customHeight="1">
      <c r="A544" s="528" t="str">
        <f>IFERROR(__xludf.DUMMYFUNCTION("""COMPUTED_VALUE"""),"ООО Кимберли кларк")</f>
        <v>ООО Кимберли кларк</v>
      </c>
      <c r="B544" s="528"/>
      <c r="C544" s="528" t="str">
        <f>IFERROR(__xludf.DUMMYFUNCTION("""COMPUTED_VALUE"""),"61284792 Белая наклейка 55х95 мм АЛ")</f>
        <v>61284792 Белая наклейка 55х95 мм АЛ</v>
      </c>
      <c r="D544" s="528">
        <f>IFERROR(__xludf.DUMMYFUNCTION("""COMPUTED_VALUE"""),3543.0)</f>
        <v>3543</v>
      </c>
      <c r="E544" s="528" t="str">
        <f>IFERROR(__xludf.DUMMYFUNCTION("""COMPUTED_VALUE"""),"Римма Лукина")</f>
        <v>Римма Лукина</v>
      </c>
      <c r="F544" s="535" t="str">
        <f>IFERROR(__xludf.DUMMYFUNCTION("""COMPUTED_VALUE"""),"Повтор")</f>
        <v>Повтор</v>
      </c>
      <c r="G544" s="536" t="str">
        <f>IFERROR(__xludf.DUMMYFUNCTION("""COMPUTED_VALUE"""),"55*95")</f>
        <v>55*95</v>
      </c>
      <c r="H544" s="338" t="str">
        <f>IFERROR(__xludf.DUMMYFUNCTION("""COMPUTED_VALUE"""),"Флексопечать")</f>
        <v>Флексопечать</v>
      </c>
      <c r="I544" s="338" t="str">
        <f>IFERROR(__xludf.DUMMYFUNCTION("""COMPUTED_VALUE"""),"G-160")</f>
        <v>G-160</v>
      </c>
      <c r="J544" s="536">
        <f>IFERROR(__xludf.DUMMYFUNCTION("""COMPUTED_VALUE"""),10000.0)</f>
        <v>10000</v>
      </c>
      <c r="K544" s="537">
        <f>IFERROR(__xludf.DUMMYFUNCTION("""COMPUTED_VALUE"""),46199.0)</f>
        <v>46199</v>
      </c>
      <c r="L544" s="537"/>
      <c r="M544" s="338" t="str">
        <f>IFERROR(__xludf.DUMMYFUNCTION("""COMPUTED_VALUE"""),"Бумага полуглянец акрил")</f>
        <v>Бумага полуглянец акрил</v>
      </c>
      <c r="N544" s="338" t="str">
        <f>IFERROR(__xludf.DUMMYFUNCTION("""COMPUTED_VALUE"""),"Отгружен")</f>
        <v>Отгружен</v>
      </c>
      <c r="O544" s="537"/>
      <c r="P544" s="338" t="str">
        <f>IFERROR(__xludf.DUMMYFUNCTION("""COMPUTED_VALUE"""),"материал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пал"&amp;"леты с вложенными УПД и ТТН. На ТТН ручкой написать номер заказа РО 4505098733")</f>
        <v>материал на желтой подложке. СТРОГО! Паспорта качества. Логистическая этикетка со штрих кодом. На каждой паллете этикетка (опись с указанием вложения) что именно в каком количестве на этой паллете) Одну коробку пописать "ДОКУМЕНТЫ" и положить сверху паллеты с вложенными УПД и ТТН. На ТТН ручкой написать номер заказа РО 4505098733</v>
      </c>
      <c r="Q544" s="338" t="str">
        <f>IFERROR(__xludf.DUMMYFUNCTION("""COMPUTED_VALUE"""),"Московская область, г. Ступино , ул. Ситенка, влд. 15,
Телефон склада: 8 (910) 495-07-99")</f>
        <v>Московская область, г. Ступино , ул. Ситенка, влд. 15,
Телефон склада: 8 (910) 495-07-99</v>
      </c>
      <c r="R544" s="338"/>
      <c r="S544" s="338"/>
      <c r="T544" s="338"/>
      <c r="U544" s="338"/>
      <c r="V544" s="338"/>
      <c r="W544" s="338"/>
      <c r="X544" s="338"/>
      <c r="Y544" s="338"/>
      <c r="Z544" s="338"/>
    </row>
    <row r="545" ht="22.5" customHeight="1">
      <c r="A545" s="528" t="str">
        <f>IFERROR(__xludf.DUMMYFUNCTION("""COMPUTED_VALUE"""),"ООО «ЭНДЖОЙ ФУД»")</f>
        <v>ООО «ЭНДЖОЙ ФУД»</v>
      </c>
      <c r="B545" s="528"/>
      <c r="C545" s="528" t="str">
        <f>IFERROR(__xludf.DUMMYFUNCTION("""COMPUTED_VALUE"""),"063211 – Этикетка, Попкорн карамельный с солёными крендельками 100х100")</f>
        <v>063211 – Этикетка, Попкорн карамельный с солёными крендельками 100х100</v>
      </c>
      <c r="D545" s="528">
        <f>IFERROR(__xludf.DUMMYFUNCTION("""COMPUTED_VALUE"""),3546.0)</f>
        <v>3546</v>
      </c>
      <c r="E545" s="528" t="str">
        <f>IFERROR(__xludf.DUMMYFUNCTION("""COMPUTED_VALUE"""),"Овечкин Константин")</f>
        <v>Овечкин Константин</v>
      </c>
      <c r="F545" s="535" t="str">
        <f>IFERROR(__xludf.DUMMYFUNCTION("""COMPUTED_VALUE"""),"Новая")</f>
        <v>Новая</v>
      </c>
      <c r="G545" s="536" t="str">
        <f>IFERROR(__xludf.DUMMYFUNCTION("""COMPUTED_VALUE"""),"100*100")</f>
        <v>100*100</v>
      </c>
      <c r="H545" s="338" t="str">
        <f>IFERROR(__xludf.DUMMYFUNCTION("""COMPUTED_VALUE"""),"Флексопечать")</f>
        <v>Флексопечать</v>
      </c>
      <c r="I545" s="338" t="str">
        <f>IFERROR(__xludf.DUMMYFUNCTION("""COMPUTED_VALUE"""),"Bg-330")</f>
        <v>Bg-330</v>
      </c>
      <c r="J545" s="536">
        <f>IFERROR(__xludf.DUMMYFUNCTION("""COMPUTED_VALUE"""),30000.0)</f>
        <v>30000</v>
      </c>
      <c r="K545" s="338" t="str">
        <f>IFERROR(__xludf.DUMMYFUNCTION("""COMPUTED_VALUE"""),"01.07.2026")</f>
        <v>01.07.2026</v>
      </c>
      <c r="L545" s="537"/>
      <c r="M545" s="338" t="str">
        <f>IFERROR(__xludf.DUMMYFUNCTION("""COMPUTED_VALUE"""),"Бумага полуглянец акрил")</f>
        <v>Бумага полуглянец акрил</v>
      </c>
      <c r="N545" s="338" t="str">
        <f>IFERROR(__xludf.DUMMYFUNCTION("""COMPUTED_VALUE"""),"Отгружен")</f>
        <v>Отгружен</v>
      </c>
      <c r="O545" s="537"/>
      <c r="P545" s="338" t="str">
        <f>IFERROR(__xludf.DUMMYFUNCTION("""COMPUTED_VALUE"""),"ПОЖЕЛАНИЕ КЛИЕНТА: Наше пожелание: намотка по 1000 шт. Внутри втулки должно быть указано кол-во. Упаковка в короба, как вы и заявили.")</f>
        <v>ПОЖЕЛАНИЕ КЛИЕНТА: Наше пожелание: намотка по 1000 шт. Внутри втулки должно быть указано кол-во. Упаковка в короба, как вы и заявили.</v>
      </c>
      <c r="Q545" s="338" t="str">
        <f>IFERROR(__xludf.DUMMYFUNCTION("""COMPUTED_VALUE"""),"На склад-отделение логистической компании ПЭК, расположенный по адресу: Россия, Санкт-Петербург, 1-й Бадаевский пр., 11 ")</f>
        <v>На склад-отделение логистической компании ПЭК, расположенный по адресу: Россия, Санкт-Петербург, 1-й Бадаевский пр., 11 </v>
      </c>
      <c r="R545" s="338"/>
      <c r="S545" s="338"/>
      <c r="T545" s="338"/>
      <c r="U545" s="338"/>
      <c r="V545" s="338"/>
      <c r="W545" s="338"/>
      <c r="X545" s="338"/>
      <c r="Y545" s="338"/>
      <c r="Z545" s="338"/>
    </row>
    <row r="546" ht="22.5" customHeight="1">
      <c r="A546" s="528" t="str">
        <f>IFERROR(__xludf.DUMMYFUNCTION("""COMPUTED_VALUE"""),"ООО «ЭНДЖОЙ ФУД»")</f>
        <v>ООО «ЭНДЖОЙ ФУД»</v>
      </c>
      <c r="B546" s="528"/>
      <c r="C546" s="528" t="str">
        <f>IFERROR(__xludf.DUMMYFUNCTION("""COMPUTED_VALUE"""),"068779_06 Этикетка, Попкорн «Дубайский шоколад» карамельно-шоколадный 80гр/100х100 мм(ВВ)")</f>
        <v>068779_06 Этикетка, Попкорн «Дубайский шоколад» карамельно-шоколадный 80гр/100х100 мм(ВВ)</v>
      </c>
      <c r="D546" s="528">
        <f>IFERROR(__xludf.DUMMYFUNCTION("""COMPUTED_VALUE"""),3547.0)</f>
        <v>3547</v>
      </c>
      <c r="E546" s="528" t="str">
        <f>IFERROR(__xludf.DUMMYFUNCTION("""COMPUTED_VALUE"""),"Овечкин Константин")</f>
        <v>Овечкин Константин</v>
      </c>
      <c r="F546" s="535" t="str">
        <f>IFERROR(__xludf.DUMMYFUNCTION("""COMPUTED_VALUE"""),"Новая")</f>
        <v>Новая</v>
      </c>
      <c r="G546" s="536" t="str">
        <f>IFERROR(__xludf.DUMMYFUNCTION("""COMPUTED_VALUE"""),"100*100")</f>
        <v>100*100</v>
      </c>
      <c r="H546" s="338" t="str">
        <f>IFERROR(__xludf.DUMMYFUNCTION("""COMPUTED_VALUE"""),"Флексопечать")</f>
        <v>Флексопечать</v>
      </c>
      <c r="I546" s="338" t="str">
        <f>IFERROR(__xludf.DUMMYFUNCTION("""COMPUTED_VALUE"""),"Bg-330")</f>
        <v>Bg-330</v>
      </c>
      <c r="J546" s="536">
        <f>IFERROR(__xludf.DUMMYFUNCTION("""COMPUTED_VALUE"""),30000.0)</f>
        <v>30000</v>
      </c>
      <c r="K546" s="338" t="str">
        <f>IFERROR(__xludf.DUMMYFUNCTION("""COMPUTED_VALUE"""),"01.07.2026")</f>
        <v>01.07.2026</v>
      </c>
      <c r="L546" s="537"/>
      <c r="M546" s="338" t="str">
        <f>IFERROR(__xludf.DUMMYFUNCTION("""COMPUTED_VALUE"""),"Бумага полуглянец акрил")</f>
        <v>Бумага полуглянец акрил</v>
      </c>
      <c r="N546" s="338" t="str">
        <f>IFERROR(__xludf.DUMMYFUNCTION("""COMPUTED_VALUE"""),"Отгружен")</f>
        <v>Отгружен</v>
      </c>
      <c r="O546" s="537"/>
      <c r="P546" s="338" t="str">
        <f>IFERROR(__xludf.DUMMYFUNCTION("""COMPUTED_VALUE"""),"ПОЖЕЛАНИЕ КЛИЕНТА: Наше пожелание: намотка по 1000 шт. Внутри втулки должно быть указано кол-во. Упаковка в короба, как вы и заявили.")</f>
        <v>ПОЖЕЛАНИЕ КЛИЕНТА: Наше пожелание: намотка по 1000 шт. Внутри втулки должно быть указано кол-во. Упаковка в короба, как вы и заявили.</v>
      </c>
      <c r="Q546" s="338" t="str">
        <f>IFERROR(__xludf.DUMMYFUNCTION("""COMPUTED_VALUE"""),"На склад-отделение логистической компании ПЭК, расположенный по адресу: Россия, Санкт-Петербург, 1-й Бадаевский пр., 11 ")</f>
        <v>На склад-отделение логистической компании ПЭК, расположенный по адресу: Россия, Санкт-Петербург, 1-й Бадаевский пр., 11 </v>
      </c>
      <c r="R546" s="338"/>
      <c r="S546" s="338"/>
      <c r="T546" s="338"/>
      <c r="U546" s="338"/>
      <c r="V546" s="338"/>
      <c r="W546" s="338"/>
      <c r="X546" s="338"/>
      <c r="Y546" s="338"/>
      <c r="Z546" s="338"/>
    </row>
    <row r="547" ht="22.5" customHeight="1">
      <c r="A547" s="528" t="str">
        <f>IFERROR(__xludf.DUMMYFUNCTION("""COMPUTED_VALUE"""),"Кейтеринг Технолоджи")</f>
        <v>Кейтеринг Технолоджи</v>
      </c>
      <c r="B547" s="528"/>
      <c r="C547" s="528" t="str">
        <f>IFERROR(__xludf.DUMMYFUNCTION("""COMPUTED_VALUE"""),"ТермоТоп Голубой")</f>
        <v>ТермоТоп Голубой</v>
      </c>
      <c r="D547" s="528">
        <f>IFERROR(__xludf.DUMMYFUNCTION("""COMPUTED_VALUE"""),3551.0)</f>
        <v>3551</v>
      </c>
      <c r="E547" s="528" t="str">
        <f>IFERROR(__xludf.DUMMYFUNCTION("""COMPUTED_VALUE"""),"Татьяна Денисова")</f>
        <v>Татьяна Денисова</v>
      </c>
      <c r="F547" s="535" t="str">
        <f>IFERROR(__xludf.DUMMYFUNCTION("""COMPUTED_VALUE"""),"Повтор")</f>
        <v>Повтор</v>
      </c>
      <c r="G547" s="536" t="str">
        <f>IFERROR(__xludf.DUMMYFUNCTION("""COMPUTED_VALUE"""),"70*80")</f>
        <v>70*80</v>
      </c>
      <c r="H547" s="338" t="str">
        <f>IFERROR(__xludf.DUMMYFUNCTION("""COMPUTED_VALUE"""),"Флексопечать")</f>
        <v>Флексопечать</v>
      </c>
      <c r="I547" s="338" t="str">
        <f>IFERROR(__xludf.DUMMYFUNCTION("""COMPUTED_VALUE"""),"G-160")</f>
        <v>G-160</v>
      </c>
      <c r="J547" s="536">
        <f>IFERROR(__xludf.DUMMYFUNCTION("""COMPUTED_VALUE"""),10000.0)</f>
        <v>10000</v>
      </c>
      <c r="K547" s="537">
        <f>IFERROR(__xludf.DUMMYFUNCTION("""COMPUTED_VALUE"""),46204.0)</f>
        <v>46204</v>
      </c>
      <c r="L547" s="537"/>
      <c r="M547" s="338" t="str">
        <f>IFERROR(__xludf.DUMMYFUNCTION("""COMPUTED_VALUE"""),"Термо Топ")</f>
        <v>Термо Топ</v>
      </c>
      <c r="N547" s="338" t="str">
        <f>IFERROR(__xludf.DUMMYFUNCTION("""COMPUTED_VALUE"""),"Отгружен")</f>
        <v>Отгружен</v>
      </c>
      <c r="O547" s="537"/>
      <c r="P547" s="338"/>
      <c r="Q547" s="338" t="str">
        <f>IFERROR(__xludf.DUMMYFUNCTION("""COMPUTED_VALUE"""),"""Проезд Фрезер , дом 2, Стр 13
Позвонить за 30 мин по тел 8(925)724-74-37 заказать пропуск на въезд""")</f>
        <v>"Проезд Фрезер , дом 2, Стр 13
Позвонить за 30 мин по тел 8(925)724-74-37 заказать пропуск на въезд"</v>
      </c>
      <c r="R547" s="338"/>
      <c r="S547" s="338"/>
      <c r="T547" s="338"/>
      <c r="U547" s="338"/>
      <c r="V547" s="338"/>
      <c r="W547" s="338"/>
      <c r="X547" s="338"/>
      <c r="Y547" s="338"/>
      <c r="Z547" s="338"/>
    </row>
    <row r="548" ht="22.5" customHeight="1">
      <c r="A548" s="528" t="str">
        <f>IFERROR(__xludf.DUMMYFUNCTION("""COMPUTED_VALUE"""),"АО Прогресс")</f>
        <v>АО Прогресс</v>
      </c>
      <c r="B548" s="528"/>
      <c r="C548" s="528" t="str">
        <f>IFERROR(__xludf.DUMMYFUNCTION("""COMPUTED_VALUE"""),"Пустышка 45х74 мм")</f>
        <v>Пустышка 45х74 мм</v>
      </c>
      <c r="D548" s="528">
        <f>IFERROR(__xludf.DUMMYFUNCTION("""COMPUTED_VALUE"""),3558.0)</f>
        <v>3558</v>
      </c>
      <c r="E548" s="528" t="str">
        <f>IFERROR(__xludf.DUMMYFUNCTION("""COMPUTED_VALUE"""),"Шаповалов Дмитрий")</f>
        <v>Шаповалов Дмитрий</v>
      </c>
      <c r="F548" s="535" t="str">
        <f>IFERROR(__xludf.DUMMYFUNCTION("""COMPUTED_VALUE"""),"Новая, ТЕСТ")</f>
        <v>Новая, ТЕСТ</v>
      </c>
      <c r="G548" s="536" t="str">
        <f>IFERROR(__xludf.DUMMYFUNCTION("""COMPUTED_VALUE"""),"45х74")</f>
        <v>45х74</v>
      </c>
      <c r="H548" s="338"/>
      <c r="I548" s="338"/>
      <c r="J548" s="536" t="str">
        <f>IFERROR(__xludf.DUMMYFUNCTION("""COMPUTED_VALUE"""),"не более 300 мм ролик")</f>
        <v>не более 300 мм ролик</v>
      </c>
      <c r="K548" s="537">
        <f>IFERROR(__xludf.DUMMYFUNCTION("""COMPUTED_VALUE"""),46204.0)</f>
        <v>46204</v>
      </c>
      <c r="L548" s="537"/>
      <c r="M548" s="338" t="str">
        <f>IFERROR(__xludf.DUMMYFUNCTION("""COMPUTED_VALUE"""),"Бумага полуглянец акрил")</f>
        <v>Бумага полуглянец акрил</v>
      </c>
      <c r="N548" s="338" t="str">
        <f>IFERROR(__xludf.DUMMYFUNCTION("""COMPUTED_VALUE"""),"Отгружен")</f>
        <v>Отгружен</v>
      </c>
      <c r="O548" s="537"/>
      <c r="P548" s="338" t="str">
        <f>IFERROR(__xludf.DUMMYFUNCTION("""COMPUTED_VALUE"""),"паспорт качества")</f>
        <v>паспорт качества</v>
      </c>
      <c r="Q548" s="338" t="str">
        <f>IFERROR(__xludf.DUMMYFUNCTION("""COMPUTED_VALUE"""),"Московская область, городской округ Серпухов, деревня Левашово, территория Квартал Б, д.1, стр.5. Бреева Надежда 8-915-082-96-73. ОРИГИНАЛ ПАСПОРТА КАЧЕСТВА ПЕРЕДАТЬ С РОЛИКОМ!!!")</f>
        <v>Московская область, городской округ Серпухов, деревня Левашово, территория Квартал Б, д.1, стр.5. Бреева Надежда 8-915-082-96-73. ОРИГИНАЛ ПАСПОРТА КАЧЕСТВА ПЕРЕДАТЬ С РОЛИКОМ!!!</v>
      </c>
      <c r="R548" s="338"/>
      <c r="S548" s="338"/>
      <c r="T548" s="338"/>
      <c r="U548" s="338"/>
      <c r="V548" s="338"/>
      <c r="W548" s="338"/>
      <c r="X548" s="338"/>
      <c r="Y548" s="338"/>
      <c r="Z548" s="338"/>
    </row>
    <row r="549" ht="22.5" customHeight="1">
      <c r="A549" s="528" t="str">
        <f>IFERROR(__xludf.DUMMYFUNCTION("""COMPUTED_VALUE"""),"ООО ""Фосфорель""")</f>
        <v>ООО "Фосфорель"</v>
      </c>
      <c r="B549" s="528"/>
      <c r="C549" s="528" t="str">
        <f>IFERROR(__xludf.DUMMYFUNCTION("""COMPUTED_VALUE"""),"Этикетка «Белая рыба с грибами 150гр» Атлантика """)</f>
        <v>Этикетка «Белая рыба с грибами 150гр» Атлантика "</v>
      </c>
      <c r="D549" s="528">
        <f>IFERROR(__xludf.DUMMYFUNCTION("""COMPUTED_VALUE"""),3559.0)</f>
        <v>3559</v>
      </c>
      <c r="E549" s="528" t="str">
        <f>IFERROR(__xludf.DUMMYFUNCTION("""COMPUTED_VALUE"""),"Римма Лукина")</f>
        <v>Римма Лукина</v>
      </c>
      <c r="F549" s="535" t="str">
        <f>IFERROR(__xludf.DUMMYFUNCTION("""COMPUTED_VALUE"""),"Повтор")</f>
        <v>Повтор</v>
      </c>
      <c r="G549" s="536" t="str">
        <f>IFERROR(__xludf.DUMMYFUNCTION("""COMPUTED_VALUE"""),"38*236")</f>
        <v>38*236</v>
      </c>
      <c r="H549" s="338" t="str">
        <f>IFERROR(__xludf.DUMMYFUNCTION("""COMPUTED_VALUE"""),"Флексопечать")</f>
        <v>Флексопечать</v>
      </c>
      <c r="I549" s="338" t="str">
        <f>IFERROR(__xludf.DUMMYFUNCTION("""COMPUTED_VALUE"""),"Bg-330")</f>
        <v>Bg-330</v>
      </c>
      <c r="J549" s="536">
        <f>IFERROR(__xludf.DUMMYFUNCTION("""COMPUTED_VALUE"""),10000.0)</f>
        <v>10000</v>
      </c>
      <c r="K549" s="537">
        <f>IFERROR(__xludf.DUMMYFUNCTION("""COMPUTED_VALUE"""),46205.0)</f>
        <v>46205</v>
      </c>
      <c r="L549" s="537"/>
      <c r="M549" s="338" t="str">
        <f>IFERROR(__xludf.DUMMYFUNCTION("""COMPUTED_VALUE"""),"Пленка PP белая акрил")</f>
        <v>Пленка PP белая акрил</v>
      </c>
      <c r="N549" s="338" t="str">
        <f>IFERROR(__xludf.DUMMYFUNCTION("""COMPUTED_VALUE"""),"Отгружен")</f>
        <v>Отгружен</v>
      </c>
      <c r="O549" s="537"/>
      <c r="P549" s="338" t="str">
        <f>IFERROR(__xludf.DUMMYFUNCTION("""COMPUTED_VALUE"""),"оооочень срочый заказ. Паспорта качества и  УПД полодить в коробку  с этикеткой , коробку полписать ""Документы"" и положить на верх палеты")</f>
        <v>оооочень срочый заказ. Паспорта качества и  УПД полодить в коробку  с этикеткой , коробку полписать "Документы" и положить на верх палеты</v>
      </c>
      <c r="Q549" s="338" t="str">
        <f>IFERROR(__xludf.DUMMYFUNCTION("""COMPUTED_VALUE"""),"394065, Воронежская область, г. Воронеж, Патриотов, д. 65-Н.")</f>
        <v>394065, Воронежская область, г. Воронеж, Патриотов, д. 65-Н.</v>
      </c>
      <c r="R549" s="338"/>
      <c r="S549" s="338"/>
      <c r="T549" s="338"/>
      <c r="U549" s="338"/>
      <c r="V549" s="338"/>
      <c r="W549" s="338"/>
      <c r="X549" s="338"/>
      <c r="Y549" s="338"/>
      <c r="Z549" s="338"/>
    </row>
    <row r="550" ht="22.5" customHeight="1">
      <c r="A550" s="528" t="str">
        <f>IFERROR(__xludf.DUMMYFUNCTION("""COMPUTED_VALUE"""),"ООО""ФерЭльГам""")</f>
        <v>ООО"ФерЭльГам"</v>
      </c>
      <c r="B550" s="528"/>
      <c r="C550" s="528" t="str">
        <f>IFERROR(__xludf.DUMMYFUNCTION("""COMPUTED_VALUE"""),"470026 Ассорти Черри и корнишоны 500 г этик.")</f>
        <v>470026 Ассорти Черри и корнишоны 500 г этик.</v>
      </c>
      <c r="D550" s="528">
        <f>IFERROR(__xludf.DUMMYFUNCTION("""COMPUTED_VALUE"""),3561.0)</f>
        <v>3561</v>
      </c>
      <c r="E550" s="528" t="str">
        <f>IFERROR(__xludf.DUMMYFUNCTION("""COMPUTED_VALUE"""),"Баранов Александр")</f>
        <v>Баранов Александр</v>
      </c>
      <c r="F550" s="535" t="str">
        <f>IFERROR(__xludf.DUMMYFUNCTION("""COMPUTED_VALUE"""),"Повтор с изменениями")</f>
        <v>Повтор с изменениями</v>
      </c>
      <c r="G550" s="536" t="str">
        <f>IFERROR(__xludf.DUMMYFUNCTION("""COMPUTED_VALUE"""),"Д110")</f>
        <v>Д110</v>
      </c>
      <c r="H550" s="338" t="str">
        <f>IFERROR(__xludf.DUMMYFUNCTION("""COMPUTED_VALUE"""),"Флексопечать")</f>
        <v>Флексопечать</v>
      </c>
      <c r="I550" s="338" t="str">
        <f>IFERROR(__xludf.DUMMYFUNCTION("""COMPUTED_VALUE"""),"Wg-450")</f>
        <v>Wg-450</v>
      </c>
      <c r="J550" s="536">
        <f>IFERROR(__xludf.DUMMYFUNCTION("""COMPUTED_VALUE"""),20000.0)</f>
        <v>20000</v>
      </c>
      <c r="K550" s="537">
        <f>IFERROR(__xludf.DUMMYFUNCTION("""COMPUTED_VALUE"""),46199.0)</f>
        <v>46199</v>
      </c>
      <c r="L550" s="537"/>
      <c r="M550" s="338" t="str">
        <f>IFERROR(__xludf.DUMMYFUNCTION("""COMPUTED_VALUE"""),"Пленка PP белая каучук")</f>
        <v>Пленка PP белая каучук</v>
      </c>
      <c r="N550" s="338" t="str">
        <f>IFERROR(__xludf.DUMMYFUNCTION("""COMPUTED_VALUE"""),"Отгружен")</f>
        <v>Отгружен</v>
      </c>
      <c r="O550" s="537"/>
      <c r="P550" s="338"/>
      <c r="Q550" s="338"/>
      <c r="R550" s="338"/>
      <c r="S550" s="338"/>
      <c r="T550" s="338"/>
      <c r="U550" s="338"/>
      <c r="V550" s="338"/>
      <c r="W550" s="338"/>
      <c r="X550" s="338"/>
      <c r="Y550" s="338"/>
      <c r="Z550" s="338"/>
    </row>
    <row r="551" ht="22.5" customHeight="1">
      <c r="A551" s="528" t="str">
        <f>IFERROR(__xludf.DUMMYFUNCTION("""COMPUTED_VALUE"""),"ООО""ФерЭльГам""")</f>
        <v>ООО"ФерЭльГам"</v>
      </c>
      <c r="B551" s="528"/>
      <c r="C551" s="528" t="str">
        <f>IFERROR(__xludf.DUMMYFUNCTION("""COMPUTED_VALUE"""),"470744 Чизолини Чечил копченый ""Соломка"" этик.")</f>
        <v>470744 Чизолини Чечил копченый "Соломка" этик.</v>
      </c>
      <c r="D551" s="528">
        <f>IFERROR(__xludf.DUMMYFUNCTION("""COMPUTED_VALUE"""),3575.0)</f>
        <v>3575</v>
      </c>
      <c r="E551" s="528" t="str">
        <f>IFERROR(__xludf.DUMMYFUNCTION("""COMPUTED_VALUE"""),"Баранов Александр")</f>
        <v>Баранов Александр</v>
      </c>
      <c r="F551" s="535" t="str">
        <f>IFERROR(__xludf.DUMMYFUNCTION("""COMPUTED_VALUE"""),"Повтор с изменениями")</f>
        <v>Повтор с изменениями</v>
      </c>
      <c r="G551" s="536" t="str">
        <f>IFERROR(__xludf.DUMMYFUNCTION("""COMPUTED_VALUE"""),"55*75")</f>
        <v>55*75</v>
      </c>
      <c r="H551" s="338" t="str">
        <f>IFERROR(__xludf.DUMMYFUNCTION("""COMPUTED_VALUE"""),"Флексопечать")</f>
        <v>Флексопечать</v>
      </c>
      <c r="I551" s="338" t="str">
        <f>IFERROR(__xludf.DUMMYFUNCTION("""COMPUTED_VALUE"""),"Wg-450")</f>
        <v>Wg-450</v>
      </c>
      <c r="J551" s="536">
        <f>IFERROR(__xludf.DUMMYFUNCTION("""COMPUTED_VALUE"""),150000.0)</f>
        <v>150000</v>
      </c>
      <c r="K551" s="537">
        <f>IFERROR(__xludf.DUMMYFUNCTION("""COMPUTED_VALUE"""),46199.0)</f>
        <v>46199</v>
      </c>
      <c r="L551" s="537"/>
      <c r="M551" s="338" t="str">
        <f>IFERROR(__xludf.DUMMYFUNCTION("""COMPUTED_VALUE"""),"Пленка PP белая каучук")</f>
        <v>Пленка PP белая каучук</v>
      </c>
      <c r="N551" s="338" t="str">
        <f>IFERROR(__xludf.DUMMYFUNCTION("""COMPUTED_VALUE"""),"Отгружен")</f>
        <v>Отгружен</v>
      </c>
      <c r="O551" s="537"/>
      <c r="P551" s="338"/>
      <c r="Q551" s="338"/>
      <c r="R551" s="338"/>
      <c r="S551" s="338"/>
      <c r="T551" s="338"/>
      <c r="U551" s="338"/>
      <c r="V551" s="338"/>
      <c r="W551" s="338"/>
      <c r="X551" s="338"/>
      <c r="Y551" s="338"/>
      <c r="Z551" s="338"/>
    </row>
    <row r="552" ht="22.5" customHeight="1">
      <c r="A552" s="528" t="str">
        <f>IFERROR(__xludf.DUMMYFUNCTION("""COMPUTED_VALUE"""),"ООО""ФерЭльГам""")</f>
        <v>ООО"ФерЭльГам"</v>
      </c>
      <c r="B552" s="528"/>
      <c r="C552" s="528" t="str">
        <f>IFERROR(__xludf.DUMMYFUNCTION("""COMPUTED_VALUE"""),"470747 Чизолини Чечил этик.")</f>
        <v>470747 Чизолини Чечил этик.</v>
      </c>
      <c r="D552" s="528">
        <f>IFERROR(__xludf.DUMMYFUNCTION("""COMPUTED_VALUE"""),3576.0)</f>
        <v>3576</v>
      </c>
      <c r="E552" s="528" t="str">
        <f>IFERROR(__xludf.DUMMYFUNCTION("""COMPUTED_VALUE"""),"Баранов Александр")</f>
        <v>Баранов Александр</v>
      </c>
      <c r="F552" s="535" t="str">
        <f>IFERROR(__xludf.DUMMYFUNCTION("""COMPUTED_VALUE"""),"Повтор с изменениями")</f>
        <v>Повтор с изменениями</v>
      </c>
      <c r="G552" s="536" t="str">
        <f>IFERROR(__xludf.DUMMYFUNCTION("""COMPUTED_VALUE"""),"55*75")</f>
        <v>55*75</v>
      </c>
      <c r="H552" s="338" t="str">
        <f>IFERROR(__xludf.DUMMYFUNCTION("""COMPUTED_VALUE"""),"Флексопечать")</f>
        <v>Флексопечать</v>
      </c>
      <c r="I552" s="338" t="str">
        <f>IFERROR(__xludf.DUMMYFUNCTION("""COMPUTED_VALUE"""),"Wg-450")</f>
        <v>Wg-450</v>
      </c>
      <c r="J552" s="536">
        <f>IFERROR(__xludf.DUMMYFUNCTION("""COMPUTED_VALUE"""),150000.0)</f>
        <v>150000</v>
      </c>
      <c r="K552" s="537">
        <f>IFERROR(__xludf.DUMMYFUNCTION("""COMPUTED_VALUE"""),46199.0)</f>
        <v>46199</v>
      </c>
      <c r="L552" s="537"/>
      <c r="M552" s="338" t="str">
        <f>IFERROR(__xludf.DUMMYFUNCTION("""COMPUTED_VALUE"""),"Пленка PP белая каучук")</f>
        <v>Пленка PP белая каучук</v>
      </c>
      <c r="N552" s="338" t="str">
        <f>IFERROR(__xludf.DUMMYFUNCTION("""COMPUTED_VALUE"""),"Отгружен")</f>
        <v>Отгружен</v>
      </c>
      <c r="O552" s="537"/>
      <c r="P552" s="338"/>
      <c r="Q552" s="338"/>
      <c r="R552" s="338"/>
      <c r="S552" s="338"/>
      <c r="T552" s="338"/>
      <c r="U552" s="338"/>
      <c r="V552" s="338"/>
      <c r="W552" s="338"/>
      <c r="X552" s="338"/>
      <c r="Y552" s="338"/>
      <c r="Z552" s="338"/>
    </row>
    <row r="553" ht="22.5" customHeight="1">
      <c r="A553" s="528" t="str">
        <f>IFERROR(__xludf.DUMMYFUNCTION("""COMPUTED_VALUE"""),"ООО""ФерЭльГам""")</f>
        <v>ООО"ФерЭльГам"</v>
      </c>
      <c r="B553" s="528"/>
      <c r="C553" s="528" t="str">
        <f>IFERROR(__xludf.DUMMYFUNCTION("""COMPUTED_VALUE"""),"470746 Чизолини Чечил копченый этик.")</f>
        <v>470746 Чизолини Чечил копченый этик.</v>
      </c>
      <c r="D553" s="528">
        <f>IFERROR(__xludf.DUMMYFUNCTION("""COMPUTED_VALUE"""),3577.0)</f>
        <v>3577</v>
      </c>
      <c r="E553" s="528" t="str">
        <f>IFERROR(__xludf.DUMMYFUNCTION("""COMPUTED_VALUE"""),"Баранов Александр")</f>
        <v>Баранов Александр</v>
      </c>
      <c r="F553" s="535" t="str">
        <f>IFERROR(__xludf.DUMMYFUNCTION("""COMPUTED_VALUE"""),"Новая")</f>
        <v>Новая</v>
      </c>
      <c r="G553" s="536" t="str">
        <f>IFERROR(__xludf.DUMMYFUNCTION("""COMPUTED_VALUE"""),"55*75")</f>
        <v>55*75</v>
      </c>
      <c r="H553" s="338" t="str">
        <f>IFERROR(__xludf.DUMMYFUNCTION("""COMPUTED_VALUE"""),"Флексопечать")</f>
        <v>Флексопечать</v>
      </c>
      <c r="I553" s="338" t="str">
        <f>IFERROR(__xludf.DUMMYFUNCTION("""COMPUTED_VALUE"""),"Wg-450")</f>
        <v>Wg-450</v>
      </c>
      <c r="J553" s="536">
        <f>IFERROR(__xludf.DUMMYFUNCTION("""COMPUTED_VALUE"""),60000.0)</f>
        <v>60000</v>
      </c>
      <c r="K553" s="537">
        <f>IFERROR(__xludf.DUMMYFUNCTION("""COMPUTED_VALUE"""),46199.0)</f>
        <v>46199</v>
      </c>
      <c r="L553" s="537"/>
      <c r="M553" s="338" t="str">
        <f>IFERROR(__xludf.DUMMYFUNCTION("""COMPUTED_VALUE"""),"Пленка PP белая каучук")</f>
        <v>Пленка PP белая каучук</v>
      </c>
      <c r="N553" s="338" t="str">
        <f>IFERROR(__xludf.DUMMYFUNCTION("""COMPUTED_VALUE"""),"Отгружен")</f>
        <v>Отгружен</v>
      </c>
      <c r="O553" s="537"/>
      <c r="P553" s="338"/>
      <c r="Q553" s="338"/>
      <c r="R553" s="338"/>
      <c r="S553" s="338"/>
      <c r="T553" s="338"/>
      <c r="U553" s="338"/>
      <c r="V553" s="338"/>
      <c r="W553" s="338"/>
      <c r="X553" s="338"/>
      <c r="Y553" s="338"/>
      <c r="Z553" s="338"/>
    </row>
    <row r="554" ht="22.5" customHeight="1">
      <c r="A554" s="528" t="str">
        <f>IFERROR(__xludf.DUMMYFUNCTION("""COMPUTED_VALUE"""),"ООО ОЗОН ВКУС")</f>
        <v>ООО ОЗОН ВКУС</v>
      </c>
      <c r="B554" s="528"/>
      <c r="C554" s="528" t="str">
        <f>IFERROR(__xludf.DUMMYFUNCTION("""COMPUTED_VALUE"""),"Этикетка ""ЯЛ Сэндвич с курицей и печёным перцем, кремчизом, шпинатом и мёдом с чесноком""")</f>
        <v>Этикетка "ЯЛ Сэндвич с курицей и печёным перцем, кремчизом, шпинатом и мёдом с чесноком"</v>
      </c>
      <c r="D554" s="528">
        <f>IFERROR(__xludf.DUMMYFUNCTION("""COMPUTED_VALUE"""),3578.0)</f>
        <v>3578</v>
      </c>
      <c r="E554" s="528" t="str">
        <f>IFERROR(__xludf.DUMMYFUNCTION("""COMPUTED_VALUE"""),"Римма Лукина")</f>
        <v>Римма Лукина</v>
      </c>
      <c r="F554" s="535" t="str">
        <f>IFERROR(__xludf.DUMMYFUNCTION("""COMPUTED_VALUE"""),"Повтор")</f>
        <v>Повтор</v>
      </c>
      <c r="G554" s="536" t="str">
        <f>IFERROR(__xludf.DUMMYFUNCTION("""COMPUTED_VALUE"""),"87*117")</f>
        <v>87*117</v>
      </c>
      <c r="H554" s="338"/>
      <c r="I554" s="338"/>
      <c r="J554" s="536">
        <f>IFERROR(__xludf.DUMMYFUNCTION("""COMPUTED_VALUE"""),10000.0)</f>
        <v>10000</v>
      </c>
      <c r="K554" s="537">
        <f>IFERROR(__xludf.DUMMYFUNCTION("""COMPUTED_VALUE"""),46205.0)</f>
        <v>46205</v>
      </c>
      <c r="L554" s="537"/>
      <c r="M554" s="338" t="str">
        <f>IFERROR(__xludf.DUMMYFUNCTION("""COMPUTED_VALUE"""),"Термоэко")</f>
        <v>Термоэко</v>
      </c>
      <c r="N554" s="338" t="str">
        <f>IFERROR(__xludf.DUMMYFUNCTION("""COMPUTED_VALUE"""),"Отгружен")</f>
        <v>Отгружен</v>
      </c>
      <c r="O554" s="537"/>
      <c r="P554" s="338" t="str">
        <f>IFERROR(__xludf.DUMMYFUNCTION("""COMPUTED_VALUE"""),"УПД в эдо выложить заранее. маркировка роликов  коробок, паспорт качества ")</f>
        <v>УПД в эдо выложить заранее. маркировка роликов  коробок, паспорт качества </v>
      </c>
      <c r="Q554" s="338" t="str">
        <f>IFERROR(__xludf.DUMMYFUNCTION("""COMPUTED_VALUE"""),"г. Москва , ул Мироновская 33 с1")</f>
        <v>г. Москва , ул Мироновская 33 с1</v>
      </c>
      <c r="R554" s="338"/>
      <c r="S554" s="338"/>
      <c r="T554" s="338"/>
      <c r="U554" s="338"/>
      <c r="V554" s="338"/>
      <c r="W554" s="338"/>
      <c r="X554" s="338"/>
      <c r="Y554" s="338"/>
      <c r="Z554" s="338"/>
    </row>
    <row r="555" ht="22.5" customHeight="1">
      <c r="A555" s="528" t="str">
        <f>IFERROR(__xludf.DUMMYFUNCTION("""COMPUTED_VALUE"""),"ООО ОЗОН ВКУС")</f>
        <v>ООО ОЗОН ВКУС</v>
      </c>
      <c r="B555" s="528"/>
      <c r="C555" s="528" t="str">
        <f>IFERROR(__xludf.DUMMYFUNCTION("""COMPUTED_VALUE"""),"Термоэтикетка 58*100 термотоп ")</f>
        <v>Термоэтикетка 58*100 термотоп </v>
      </c>
      <c r="D555" s="528">
        <f>IFERROR(__xludf.DUMMYFUNCTION("""COMPUTED_VALUE"""),3579.0)</f>
        <v>3579</v>
      </c>
      <c r="E555" s="528" t="str">
        <f>IFERROR(__xludf.DUMMYFUNCTION("""COMPUTED_VALUE"""),"Римма Лукина")</f>
        <v>Римма Лукина</v>
      </c>
      <c r="F555" s="535" t="str">
        <f>IFERROR(__xludf.DUMMYFUNCTION("""COMPUTED_VALUE"""),"Повтор")</f>
        <v>Повтор</v>
      </c>
      <c r="G555" s="536" t="str">
        <f>IFERROR(__xludf.DUMMYFUNCTION("""COMPUTED_VALUE"""),"58*100")</f>
        <v>58*100</v>
      </c>
      <c r="H555" s="338"/>
      <c r="I555" s="338"/>
      <c r="J555" s="536">
        <f>IFERROR(__xludf.DUMMYFUNCTION("""COMPUTED_VALUE"""),100000.0)</f>
        <v>100000</v>
      </c>
      <c r="K555" s="537">
        <f>IFERROR(__xludf.DUMMYFUNCTION("""COMPUTED_VALUE"""),46205.0)</f>
        <v>46205</v>
      </c>
      <c r="L555" s="537"/>
      <c r="M555" s="338" t="str">
        <f>IFERROR(__xludf.DUMMYFUNCTION("""COMPUTED_VALUE"""),"Термо Топ")</f>
        <v>Термо Топ</v>
      </c>
      <c r="N555" s="338" t="str">
        <f>IFERROR(__xludf.DUMMYFUNCTION("""COMPUTED_VALUE"""),"Отгружен")</f>
        <v>Отгружен</v>
      </c>
      <c r="O555" s="537"/>
      <c r="P555" s="338" t="str">
        <f>IFERROR(__xludf.DUMMYFUNCTION("""COMPUTED_VALUE"""),"УПД в эдо выложить заранее. маркировка роликов  коробок, паспорт качества ")</f>
        <v>УПД в эдо выложить заранее. маркировка роликов  коробок, паспорт качества </v>
      </c>
      <c r="Q555" s="338" t="str">
        <f>IFERROR(__xludf.DUMMYFUNCTION("""COMPUTED_VALUE"""),"г. Москва , ул Мироновская 33 с 1")</f>
        <v>г. Москва , ул Мироновская 33 с 1</v>
      </c>
      <c r="R555" s="338"/>
      <c r="S555" s="338"/>
      <c r="T555" s="338"/>
      <c r="U555" s="338"/>
      <c r="V555" s="338"/>
      <c r="W555" s="338"/>
      <c r="X555" s="338"/>
      <c r="Y555" s="338"/>
      <c r="Z555" s="338"/>
    </row>
    <row r="556" ht="22.5" customHeight="1">
      <c r="A556" s="528" t="str">
        <f>IFERROR(__xludf.DUMMYFUNCTION("""COMPUTED_VALUE"""),"ООО ОЗОН ВКУС")</f>
        <v>ООО ОЗОН ВКУС</v>
      </c>
      <c r="B556" s="528"/>
      <c r="C556" s="528" t="str">
        <f>IFERROR(__xludf.DUMMYFUNCTION("""COMPUTED_VALUE"""),"Этикетка ""Сэндвич с тунцом и маринованным луком"" ")</f>
        <v>Этикетка "Сэндвич с тунцом и маринованным луком" </v>
      </c>
      <c r="D556" s="528">
        <f>IFERROR(__xludf.DUMMYFUNCTION("""COMPUTED_VALUE"""),3580.0)</f>
        <v>3580</v>
      </c>
      <c r="E556" s="528" t="str">
        <f>IFERROR(__xludf.DUMMYFUNCTION("""COMPUTED_VALUE"""),"Римма Лукина")</f>
        <v>Римма Лукина</v>
      </c>
      <c r="F556" s="535" t="str">
        <f>IFERROR(__xludf.DUMMYFUNCTION("""COMPUTED_VALUE"""),"Повтор")</f>
        <v>Повтор</v>
      </c>
      <c r="G556" s="536" t="str">
        <f>IFERROR(__xludf.DUMMYFUNCTION("""COMPUTED_VALUE"""),"76*118")</f>
        <v>76*118</v>
      </c>
      <c r="H556" s="338"/>
      <c r="I556" s="338"/>
      <c r="J556" s="536">
        <f>IFERROR(__xludf.DUMMYFUNCTION("""COMPUTED_VALUE"""),20000.0)</f>
        <v>20000</v>
      </c>
      <c r="K556" s="537">
        <f>IFERROR(__xludf.DUMMYFUNCTION("""COMPUTED_VALUE"""),46205.0)</f>
        <v>46205</v>
      </c>
      <c r="L556" s="537"/>
      <c r="M556" s="338" t="str">
        <f>IFERROR(__xludf.DUMMYFUNCTION("""COMPUTED_VALUE"""),"Термоэко")</f>
        <v>Термоэко</v>
      </c>
      <c r="N556" s="338" t="str">
        <f>IFERROR(__xludf.DUMMYFUNCTION("""COMPUTED_VALUE"""),"Отгружен")</f>
        <v>Отгружен</v>
      </c>
      <c r="O556" s="537"/>
      <c r="P556" s="338" t="str">
        <f>IFERROR(__xludf.DUMMYFUNCTION("""COMPUTED_VALUE"""),"УПД в эдо выложить заранее. маркировка роликов  коробок, паспорт качества ")</f>
        <v>УПД в эдо выложить заранее. маркировка роликов  коробок, паспорт качества </v>
      </c>
      <c r="Q556" s="338" t="str">
        <f>IFERROR(__xludf.DUMMYFUNCTION("""COMPUTED_VALUE"""),"г. Москва , ул Мироновская 33 с 1")</f>
        <v>г. Москва , ул Мироновская 33 с 1</v>
      </c>
      <c r="R556" s="338"/>
      <c r="S556" s="338"/>
      <c r="T556" s="338"/>
      <c r="U556" s="338"/>
      <c r="V556" s="338"/>
      <c r="W556" s="338"/>
      <c r="X556" s="338"/>
      <c r="Y556" s="338"/>
      <c r="Z556" s="338"/>
    </row>
    <row r="557" ht="22.5" customHeight="1">
      <c r="A557" s="528" t="str">
        <f>IFERROR(__xludf.DUMMYFUNCTION("""COMPUTED_VALUE"""),"ООО ОЗОН ВКУС")</f>
        <v>ООО ОЗОН ВКУС</v>
      </c>
      <c r="B557" s="528"/>
      <c r="C557" s="528" t="str">
        <f>IFERROR(__xludf.DUMMYFUNCTION("""COMPUTED_VALUE"""),"Этикетка ""ЯЛ Сэндвич Гриль-чиз болоньезе с песто """)</f>
        <v>Этикетка "ЯЛ Сэндвич Гриль-чиз болоньезе с песто "</v>
      </c>
      <c r="D557" s="528">
        <f>IFERROR(__xludf.DUMMYFUNCTION("""COMPUTED_VALUE"""),3593.0)</f>
        <v>3593</v>
      </c>
      <c r="E557" s="528" t="str">
        <f>IFERROR(__xludf.DUMMYFUNCTION("""COMPUTED_VALUE"""),"Римма Лукина")</f>
        <v>Римма Лукина</v>
      </c>
      <c r="F557" s="535" t="str">
        <f>IFERROR(__xludf.DUMMYFUNCTION("""COMPUTED_VALUE"""),"Повтор")</f>
        <v>Повтор</v>
      </c>
      <c r="G557" s="536" t="str">
        <f>IFERROR(__xludf.DUMMYFUNCTION("""COMPUTED_VALUE"""),"87*117")</f>
        <v>87*117</v>
      </c>
      <c r="H557" s="338" t="str">
        <f>IFERROR(__xludf.DUMMYFUNCTION("""COMPUTED_VALUE"""),"Флексопечать")</f>
        <v>Флексопечать</v>
      </c>
      <c r="I557" s="338" t="str">
        <f>IFERROR(__xludf.DUMMYFUNCTION("""COMPUTED_VALUE"""),"Bg-330")</f>
        <v>Bg-330</v>
      </c>
      <c r="J557" s="536">
        <f>IFERROR(__xludf.DUMMYFUNCTION("""COMPUTED_VALUE"""),20000.0)</f>
        <v>20000</v>
      </c>
      <c r="K557" s="537">
        <f>IFERROR(__xludf.DUMMYFUNCTION("""COMPUTED_VALUE"""),46205.0)</f>
        <v>46205</v>
      </c>
      <c r="L557" s="537"/>
      <c r="M557" s="338" t="str">
        <f>IFERROR(__xludf.DUMMYFUNCTION("""COMPUTED_VALUE"""),"Термоэко")</f>
        <v>Термоэко</v>
      </c>
      <c r="N557" s="338" t="str">
        <f>IFERROR(__xludf.DUMMYFUNCTION("""COMPUTED_VALUE"""),"Отгружен")</f>
        <v>Отгружен</v>
      </c>
      <c r="O557" s="537"/>
      <c r="P557" s="338" t="str">
        <f>IFERROR(__xludf.DUMMYFUNCTION("""COMPUTED_VALUE"""),"УПД в эдо выложить заранее. маркировка роликов  коробок, паспорт качества ")</f>
        <v>УПД в эдо выложить заранее. маркировка роликов  коробок, паспорт качества </v>
      </c>
      <c r="Q557" s="338" t="str">
        <f>IFERROR(__xludf.DUMMYFUNCTION("""COMPUTED_VALUE"""),"г. Москва , ул Мироновская 33 с 1")</f>
        <v>г. Москва , ул Мироновская 33 с 1</v>
      </c>
      <c r="R557" s="338"/>
      <c r="S557" s="338"/>
      <c r="T557" s="338"/>
      <c r="U557" s="338"/>
      <c r="V557" s="338"/>
      <c r="W557" s="338"/>
      <c r="X557" s="338"/>
      <c r="Y557" s="338"/>
      <c r="Z557" s="338"/>
    </row>
    <row r="558" ht="22.5" customHeight="1">
      <c r="A558" s="528" t="str">
        <f>IFERROR(__xludf.DUMMYFUNCTION("""COMPUTED_VALUE"""),"ООО""ФерЭльГам""")</f>
        <v>ООО"ФерЭльГам"</v>
      </c>
      <c r="B558" s="528"/>
      <c r="C558" s="528" t="str">
        <f>IFERROR(__xludf.DUMMYFUNCTION("""COMPUTED_VALUE"""),"470557 Соус Шашлычный 240 г этик.")</f>
        <v>470557 Соус Шашлычный 240 г этик.</v>
      </c>
      <c r="D558" s="528">
        <f>IFERROR(__xludf.DUMMYFUNCTION("""COMPUTED_VALUE"""),3613.0)</f>
        <v>3613</v>
      </c>
      <c r="E558" s="528" t="str">
        <f>IFERROR(__xludf.DUMMYFUNCTION("""COMPUTED_VALUE"""),"Баранов Александр")</f>
        <v>Баранов Александр</v>
      </c>
      <c r="F558" s="535" t="str">
        <f>IFERROR(__xludf.DUMMYFUNCTION("""COMPUTED_VALUE"""),"Новая")</f>
        <v>Новая</v>
      </c>
      <c r="G558" s="536" t="str">
        <f>IFERROR(__xludf.DUMMYFUNCTION("""COMPUTED_VALUE"""),"60*160")</f>
        <v>60*160</v>
      </c>
      <c r="H558" s="338" t="str">
        <f>IFERROR(__xludf.DUMMYFUNCTION("""COMPUTED_VALUE"""),"Флексопечать")</f>
        <v>Флексопечать</v>
      </c>
      <c r="I558" s="338" t="str">
        <f>IFERROR(__xludf.DUMMYFUNCTION("""COMPUTED_VALUE"""),"Wg-450")</f>
        <v>Wg-450</v>
      </c>
      <c r="J558" s="536">
        <f>IFERROR(__xludf.DUMMYFUNCTION("""COMPUTED_VALUE"""),10000.0)</f>
        <v>10000</v>
      </c>
      <c r="K558" s="537">
        <f>IFERROR(__xludf.DUMMYFUNCTION("""COMPUTED_VALUE"""),46199.0)</f>
        <v>46199</v>
      </c>
      <c r="L558" s="537"/>
      <c r="M558" s="338" t="str">
        <f>IFERROR(__xludf.DUMMYFUNCTION("""COMPUTED_VALUE"""),"Пленка PP белая каучук")</f>
        <v>Пленка PP белая каучук</v>
      </c>
      <c r="N558" s="338" t="str">
        <f>IFERROR(__xludf.DUMMYFUNCTION("""COMPUTED_VALUE"""),"Отгружен")</f>
        <v>Отгружен</v>
      </c>
      <c r="O558" s="537"/>
      <c r="P558" s="338"/>
      <c r="Q558" s="338"/>
      <c r="R558" s="338"/>
      <c r="S558" s="338"/>
      <c r="T558" s="338"/>
      <c r="U558" s="338"/>
      <c r="V558" s="338"/>
      <c r="W558" s="338"/>
      <c r="X558" s="338"/>
      <c r="Y558" s="338"/>
      <c r="Z558" s="338"/>
    </row>
    <row r="559" ht="22.5" customHeight="1">
      <c r="A559" s="528" t="str">
        <f>IFERROR(__xludf.DUMMYFUNCTION("""COMPUTED_VALUE"""),"Кофе ТВ")</f>
        <v>Кофе ТВ</v>
      </c>
      <c r="B559" s="528"/>
      <c r="C559" s="528" t="str">
        <f>IFERROR(__xludf.DUMMYFUNCTION("""COMPUTED_VALUE"""),"Кофе 3 вида Комус")</f>
        <v>Кофе 3 вида Комус</v>
      </c>
      <c r="D559" s="528" t="str">
        <f>IFERROR(__xludf.DUMMYFUNCTION("""COMPUTED_VALUE"""),"3385/3387")</f>
        <v>3385/3387</v>
      </c>
      <c r="E559" s="528" t="str">
        <f>IFERROR(__xludf.DUMMYFUNCTION("""COMPUTED_VALUE"""),"Татьяна Денисова")</f>
        <v>Татьяна Денисова</v>
      </c>
      <c r="F559" s="535" t="str">
        <f>IFERROR(__xludf.DUMMYFUNCTION("""COMPUTED_VALUE"""),"Новая")</f>
        <v>Новая</v>
      </c>
      <c r="G559" s="536" t="str">
        <f>IFERROR(__xludf.DUMMYFUNCTION("""COMPUTED_VALUE"""),"90*140")</f>
        <v>90*140</v>
      </c>
      <c r="H559" s="338" t="str">
        <f>IFERROR(__xludf.DUMMYFUNCTION("""COMPUTED_VALUE"""),"Флексопечать")</f>
        <v>Флексопечать</v>
      </c>
      <c r="I559" s="338" t="str">
        <f>IFERROR(__xludf.DUMMYFUNCTION("""COMPUTED_VALUE"""),"Bg-330")</f>
        <v>Bg-330</v>
      </c>
      <c r="J559" s="536" t="str">
        <f>IFERROR(__xludf.DUMMYFUNCTION("""COMPUTED_VALUE"""),"3*2000")</f>
        <v>3*2000</v>
      </c>
      <c r="K559" s="537">
        <f>IFERROR(__xludf.DUMMYFUNCTION("""COMPUTED_VALUE"""),46198.0)</f>
        <v>46198</v>
      </c>
      <c r="L559" s="537"/>
      <c r="M559" s="338" t="str">
        <f>IFERROR(__xludf.DUMMYFUNCTION("""COMPUTED_VALUE"""),"Пленка PP белая каучук")</f>
        <v>Пленка PP белая каучук</v>
      </c>
      <c r="N559" s="338" t="str">
        <f>IFERROR(__xludf.DUMMYFUNCTION("""COMPUTED_VALUE"""),"Отгружен")</f>
        <v>Отгружен</v>
      </c>
      <c r="O559" s="537"/>
      <c r="P559" s="338"/>
      <c r="Q559" s="338" t="str">
        <f>IFERROR(__xludf.DUMMYFUNCTION("""COMPUTED_VALUE"""),"г. Домодедово, деревня Шишкино, 49с1
Часы работы: с 9:30 до 19:00, каждый день
Контактное лицо: +7(999)145-40-73 Виктория
Точка на карте: https://yandex.ru/maps/-/CLCgyO7H (зеленый забор с табличкой Торрефакто)")</f>
        <v>г. Домодедово, деревня Шишкино, 49с1
Часы работы: с 9:30 до 19:00, каждый день
Контактное лицо: +7(999)145-40-73 Виктория
Точка на карте: https://yandex.ru/maps/-/CLCgyO7H (зеленый забор с табличкой Торрефакто)</v>
      </c>
      <c r="R559" s="338"/>
      <c r="S559" s="338"/>
      <c r="T559" s="338"/>
      <c r="U559" s="338"/>
      <c r="V559" s="338"/>
      <c r="W559" s="338"/>
      <c r="X559" s="338"/>
      <c r="Y559" s="338"/>
      <c r="Z559" s="338"/>
    </row>
    <row r="560" ht="22.5" customHeight="1">
      <c r="A560" s="528" t="str">
        <f>IFERROR(__xludf.DUMMYFUNCTION("""COMPUTED_VALUE"""),"ООО""ФерЭльГам""")</f>
        <v>ООО"ФерЭльГам"</v>
      </c>
      <c r="B560" s="528"/>
      <c r="C560" s="528" t="str">
        <f>IFERROR(__xludf.DUMMYFUNCTION("""COMPUTED_VALUE"""),"470967 Огурчики малосольные по домашнему 500 гр этик.")</f>
        <v>470967 Огурчики малосольные по домашнему 500 гр этик.</v>
      </c>
      <c r="D560" s="528">
        <f>IFERROR(__xludf.DUMMYFUNCTION("""COMPUTED_VALUE"""),3614.0)</f>
        <v>3614</v>
      </c>
      <c r="E560" s="528" t="str">
        <f>IFERROR(__xludf.DUMMYFUNCTION("""COMPUTED_VALUE"""),"Баранов Александр")</f>
        <v>Баранов Александр</v>
      </c>
      <c r="F560" s="535" t="str">
        <f>IFERROR(__xludf.DUMMYFUNCTION("""COMPUTED_VALUE"""),"Новая")</f>
        <v>Новая</v>
      </c>
      <c r="G560" s="536" t="str">
        <f>IFERROR(__xludf.DUMMYFUNCTION("""COMPUTED_VALUE"""),"Д110")</f>
        <v>Д110</v>
      </c>
      <c r="H560" s="338" t="str">
        <f>IFERROR(__xludf.DUMMYFUNCTION("""COMPUTED_VALUE"""),"Флексопечать")</f>
        <v>Флексопечать</v>
      </c>
      <c r="I560" s="338" t="str">
        <f>IFERROR(__xludf.DUMMYFUNCTION("""COMPUTED_VALUE"""),"Wg-450")</f>
        <v>Wg-450</v>
      </c>
      <c r="J560" s="536">
        <f>IFERROR(__xludf.DUMMYFUNCTION("""COMPUTED_VALUE"""),10000.0)</f>
        <v>10000</v>
      </c>
      <c r="K560" s="537">
        <f>IFERROR(__xludf.DUMMYFUNCTION("""COMPUTED_VALUE"""),46199.0)</f>
        <v>46199</v>
      </c>
      <c r="L560" s="537"/>
      <c r="M560" s="338" t="str">
        <f>IFERROR(__xludf.DUMMYFUNCTION("""COMPUTED_VALUE"""),"Пленка PP белая каучук")</f>
        <v>Пленка PP белая каучук</v>
      </c>
      <c r="N560" s="338" t="str">
        <f>IFERROR(__xludf.DUMMYFUNCTION("""COMPUTED_VALUE"""),"Отгружен")</f>
        <v>Отгружен</v>
      </c>
      <c r="O560" s="537"/>
      <c r="P560" s="338"/>
      <c r="Q560" s="338"/>
      <c r="R560" s="338"/>
      <c r="S560" s="338"/>
      <c r="T560" s="338"/>
      <c r="U560" s="338"/>
      <c r="V560" s="338"/>
      <c r="W560" s="338"/>
      <c r="X560" s="338"/>
      <c r="Y560" s="338"/>
      <c r="Z560" s="338"/>
    </row>
    <row r="561" ht="22.5" customHeight="1">
      <c r="A561" s="528" t="str">
        <f>IFERROR(__xludf.DUMMYFUNCTION("""COMPUTED_VALUE"""),"ООО""ФерЭльГам""")</f>
        <v>ООО"ФерЭльГам"</v>
      </c>
      <c r="B561" s="528"/>
      <c r="C561" s="528" t="str">
        <f>IFERROR(__xludf.DUMMYFUNCTION("""COMPUTED_VALUE"""),"471035 Томаты ЛЕНТА соленые красные 1000 г. этик.")</f>
        <v>471035 Томаты ЛЕНТА соленые красные 1000 г. этик.</v>
      </c>
      <c r="D561" s="528">
        <f>IFERROR(__xludf.DUMMYFUNCTION("""COMPUTED_VALUE"""),3663.0)</f>
        <v>3663</v>
      </c>
      <c r="E561" s="528" t="str">
        <f>IFERROR(__xludf.DUMMYFUNCTION("""COMPUTED_VALUE"""),"Баранов Александр")</f>
        <v>Баранов Александр</v>
      </c>
      <c r="F561" s="535" t="str">
        <f>IFERROR(__xludf.DUMMYFUNCTION("""COMPUTED_VALUE"""),"Новая")</f>
        <v>Новая</v>
      </c>
      <c r="G561" s="536" t="str">
        <f>IFERROR(__xludf.DUMMYFUNCTION("""COMPUTED_VALUE"""),"Д110")</f>
        <v>Д110</v>
      </c>
      <c r="H561" s="338" t="str">
        <f>IFERROR(__xludf.DUMMYFUNCTION("""COMPUTED_VALUE"""),"Флексопечать")</f>
        <v>Флексопечать</v>
      </c>
      <c r="I561" s="338" t="str">
        <f>IFERROR(__xludf.DUMMYFUNCTION("""COMPUTED_VALUE"""),"Wg-450")</f>
        <v>Wg-450</v>
      </c>
      <c r="J561" s="536">
        <f>IFERROR(__xludf.DUMMYFUNCTION("""COMPUTED_VALUE"""),20000.0)</f>
        <v>20000</v>
      </c>
      <c r="K561" s="537">
        <f>IFERROR(__xludf.DUMMYFUNCTION("""COMPUTED_VALUE"""),46199.0)</f>
        <v>46199</v>
      </c>
      <c r="L561" s="537"/>
      <c r="M561" s="338" t="str">
        <f>IFERROR(__xludf.DUMMYFUNCTION("""COMPUTED_VALUE"""),"Пленка PP белая каучук")</f>
        <v>Пленка PP белая каучук</v>
      </c>
      <c r="N561" s="338" t="str">
        <f>IFERROR(__xludf.DUMMYFUNCTION("""COMPUTED_VALUE"""),"Отгружен")</f>
        <v>Отгружен</v>
      </c>
      <c r="O561" s="537"/>
      <c r="P561" s="338"/>
      <c r="Q561" s="338"/>
      <c r="R561" s="338"/>
      <c r="S561" s="338"/>
      <c r="T561" s="338"/>
      <c r="U561" s="338"/>
      <c r="V561" s="338"/>
      <c r="W561" s="338"/>
      <c r="X561" s="338"/>
      <c r="Y561" s="338"/>
      <c r="Z561" s="338"/>
    </row>
    <row r="562" ht="22.5" customHeight="1">
      <c r="A562" s="528" t="str">
        <f>IFERROR(__xludf.DUMMYFUNCTION("""COMPUTED_VALUE"""),"ООО""ФерЭльГам""")</f>
        <v>ООО"ФерЭльГам"</v>
      </c>
      <c r="B562" s="528"/>
      <c r="C562" s="528" t="str">
        <f>IFERROR(__xludf.DUMMYFUNCTION("""COMPUTED_VALUE"""),"470812 Капуста квашеная по-гурийски 300 г (Green vitamin) этик.")</f>
        <v>470812 Капуста квашеная по-гурийски 300 г (Green vitamin) этик.</v>
      </c>
      <c r="D562" s="528">
        <f>IFERROR(__xludf.DUMMYFUNCTION("""COMPUTED_VALUE"""),3664.0)</f>
        <v>3664</v>
      </c>
      <c r="E562" s="528" t="str">
        <f>IFERROR(__xludf.DUMMYFUNCTION("""COMPUTED_VALUE"""),"Баранов Александр")</f>
        <v>Баранов Александр</v>
      </c>
      <c r="F562" s="535" t="str">
        <f>IFERROR(__xludf.DUMMYFUNCTION("""COMPUTED_VALUE"""),"Новая")</f>
        <v>Новая</v>
      </c>
      <c r="G562" s="536" t="str">
        <f>IFERROR(__xludf.DUMMYFUNCTION("""COMPUTED_VALUE"""),"Д110")</f>
        <v>Д110</v>
      </c>
      <c r="H562" s="338" t="str">
        <f>IFERROR(__xludf.DUMMYFUNCTION("""COMPUTED_VALUE"""),"Флексопечать")</f>
        <v>Флексопечать</v>
      </c>
      <c r="I562" s="338" t="str">
        <f>IFERROR(__xludf.DUMMYFUNCTION("""COMPUTED_VALUE"""),"Wg-450")</f>
        <v>Wg-450</v>
      </c>
      <c r="J562" s="536">
        <f>IFERROR(__xludf.DUMMYFUNCTION("""COMPUTED_VALUE"""),20000.0)</f>
        <v>20000</v>
      </c>
      <c r="K562" s="537">
        <f>IFERROR(__xludf.DUMMYFUNCTION("""COMPUTED_VALUE"""),46199.0)</f>
        <v>46199</v>
      </c>
      <c r="L562" s="537"/>
      <c r="M562" s="338" t="str">
        <f>IFERROR(__xludf.DUMMYFUNCTION("""COMPUTED_VALUE"""),"Пленка PP белая каучук")</f>
        <v>Пленка PP белая каучук</v>
      </c>
      <c r="N562" s="338" t="str">
        <f>IFERROR(__xludf.DUMMYFUNCTION("""COMPUTED_VALUE"""),"Отгружен")</f>
        <v>Отгружен</v>
      </c>
      <c r="O562" s="537"/>
      <c r="P562" s="338"/>
      <c r="Q562" s="338"/>
      <c r="R562" s="338"/>
      <c r="S562" s="338"/>
      <c r="T562" s="338"/>
      <c r="U562" s="338"/>
      <c r="V562" s="338"/>
      <c r="W562" s="338"/>
      <c r="X562" s="338"/>
      <c r="Y562" s="338"/>
      <c r="Z562" s="338"/>
    </row>
    <row r="563" ht="22.5" customHeight="1">
      <c r="A563" s="528" t="str">
        <f>IFERROR(__xludf.DUMMYFUNCTION("""COMPUTED_VALUE"""),"Кейтеринг Технолоджи")</f>
        <v>Кейтеринг Технолоджи</v>
      </c>
      <c r="B563" s="528"/>
      <c r="C563" s="528" t="str">
        <f>IFERROR(__xludf.DUMMYFUNCTION("""COMPUTED_VALUE"""),"ТермоТоп Голубой")</f>
        <v>ТермоТоп Голубой</v>
      </c>
      <c r="D563" s="528">
        <f>IFERROR(__xludf.DUMMYFUNCTION("""COMPUTED_VALUE"""),3677.0)</f>
        <v>3677</v>
      </c>
      <c r="E563" s="528" t="str">
        <f>IFERROR(__xludf.DUMMYFUNCTION("""COMPUTED_VALUE"""),"Татьяна Денисова")</f>
        <v>Татьяна Денисова</v>
      </c>
      <c r="F563" s="535" t="str">
        <f>IFERROR(__xludf.DUMMYFUNCTION("""COMPUTED_VALUE"""),"Повтор с изменениями")</f>
        <v>Повтор с изменениями</v>
      </c>
      <c r="G563" s="536" t="str">
        <f>IFERROR(__xludf.DUMMYFUNCTION("""COMPUTED_VALUE"""),"70*80")</f>
        <v>70*80</v>
      </c>
      <c r="H563" s="338" t="str">
        <f>IFERROR(__xludf.DUMMYFUNCTION("""COMPUTED_VALUE"""),"Флексопечать")</f>
        <v>Флексопечать</v>
      </c>
      <c r="I563" s="338" t="str">
        <f>IFERROR(__xludf.DUMMYFUNCTION("""COMPUTED_VALUE"""),"G-160")</f>
        <v>G-160</v>
      </c>
      <c r="J563" s="536">
        <f>IFERROR(__xludf.DUMMYFUNCTION("""COMPUTED_VALUE"""),10000.0)</f>
        <v>10000</v>
      </c>
      <c r="K563" s="537">
        <f>IFERROR(__xludf.DUMMYFUNCTION("""COMPUTED_VALUE"""),46209.0)</f>
        <v>46209</v>
      </c>
      <c r="L563" s="537"/>
      <c r="M563" s="338" t="str">
        <f>IFERROR(__xludf.DUMMYFUNCTION("""COMPUTED_VALUE"""),"Термо Топ")</f>
        <v>Термо Топ</v>
      </c>
      <c r="N563" s="338" t="str">
        <f>IFERROR(__xludf.DUMMYFUNCTION("""COMPUTED_VALUE"""),"Отгружен")</f>
        <v>Отгружен</v>
      </c>
      <c r="O563" s="537"/>
      <c r="P563" s="338"/>
      <c r="Q563" s="338" t="str">
        <f>IFERROR(__xludf.DUMMYFUNCTION("""COMPUTED_VALUE"""),"Проезд Фрезер , дом 2, Стр 13
Позвонить за 30 мин по тел 8(925)724-74-37 заказать пропуск на въезд")</f>
        <v>Проезд Фрезер , дом 2, Стр 13
Позвонить за 30 мин по тел 8(925)724-74-37 заказать пропуск на въезд</v>
      </c>
      <c r="R563" s="338"/>
      <c r="S563" s="338"/>
      <c r="T563" s="338"/>
      <c r="U563" s="338"/>
      <c r="V563" s="338"/>
      <c r="W563" s="338"/>
      <c r="X563" s="338"/>
      <c r="Y563" s="338"/>
      <c r="Z563" s="338"/>
    </row>
    <row r="564" ht="22.5" customHeight="1">
      <c r="A564" s="528" t="str">
        <f>IFERROR(__xludf.DUMMYFUNCTION("""COMPUTED_VALUE"""),"Кейтеринг Технолоджи")</f>
        <v>Кейтеринг Технолоджи</v>
      </c>
      <c r="B564" s="528"/>
      <c r="C564" s="528" t="str">
        <f>IFERROR(__xludf.DUMMYFUNCTION("""COMPUTED_VALUE"""),"Клаб-сэндвич с ветчиной и сыром ВВ")</f>
        <v>Клаб-сэндвич с ветчиной и сыром ВВ</v>
      </c>
      <c r="D564" s="528">
        <f>IFERROR(__xludf.DUMMYFUNCTION("""COMPUTED_VALUE"""),3678.0)</f>
        <v>3678</v>
      </c>
      <c r="E564" s="528" t="str">
        <f>IFERROR(__xludf.DUMMYFUNCTION("""COMPUTED_VALUE"""),"Татьяна Денисова")</f>
        <v>Татьяна Денисова</v>
      </c>
      <c r="F564" s="535" t="str">
        <f>IFERROR(__xludf.DUMMYFUNCTION("""COMPUTED_VALUE"""),"Повтор с изменениями")</f>
        <v>Повтор с изменениями</v>
      </c>
      <c r="G564" s="536" t="str">
        <f>IFERROR(__xludf.DUMMYFUNCTION("""COMPUTED_VALUE"""),"65*125")</f>
        <v>65*125</v>
      </c>
      <c r="H564" s="338" t="str">
        <f>IFERROR(__xludf.DUMMYFUNCTION("""COMPUTED_VALUE"""),"Флексопечать")</f>
        <v>Флексопечать</v>
      </c>
      <c r="I564" s="338" t="str">
        <f>IFERROR(__xludf.DUMMYFUNCTION("""COMPUTED_VALUE"""),"Wg-450")</f>
        <v>Wg-450</v>
      </c>
      <c r="J564" s="536">
        <f>IFERROR(__xludf.DUMMYFUNCTION("""COMPUTED_VALUE"""),10000.0)</f>
        <v>10000</v>
      </c>
      <c r="K564" s="537">
        <f>IFERROR(__xludf.DUMMYFUNCTION("""COMPUTED_VALUE"""),46209.0)</f>
        <v>46209</v>
      </c>
      <c r="L564" s="537"/>
      <c r="M564" s="338" t="str">
        <f>IFERROR(__xludf.DUMMYFUNCTION("""COMPUTED_VALUE"""),"Термо Топ")</f>
        <v>Термо Топ</v>
      </c>
      <c r="N564" s="338" t="str">
        <f>IFERROR(__xludf.DUMMYFUNCTION("""COMPUTED_VALUE"""),"Отгружен")</f>
        <v>Отгружен</v>
      </c>
      <c r="O564" s="537"/>
      <c r="P564" s="338" t="str">
        <f>IFERROR(__xludf.DUMMYFUNCTION("""COMPUTED_VALUE"""),"Изменения: втулка 40, клейка авто")</f>
        <v>Изменения: втулка 40, клейка авто</v>
      </c>
      <c r="Q564" s="338" t="str">
        <f>IFERROR(__xludf.DUMMYFUNCTION("""COMPUTED_VALUE"""),"Проезд Фрезер , дом 2, Стр 13
Позвонить за 30 мин по тел 8(925)724-74-37 заказать пропуск на въезд")</f>
        <v>Проезд Фрезер , дом 2, Стр 13
Позвонить за 30 мин по тел 8(925)724-74-37 заказать пропуск на въезд</v>
      </c>
      <c r="R564" s="338"/>
      <c r="S564" s="338"/>
      <c r="T564" s="338"/>
      <c r="U564" s="338"/>
      <c r="V564" s="338"/>
      <c r="W564" s="338"/>
      <c r="X564" s="338"/>
      <c r="Y564" s="338"/>
      <c r="Z564" s="338"/>
    </row>
    <row r="565" ht="22.5" customHeight="1">
      <c r="A565" s="528" t="str">
        <f>IFERROR(__xludf.DUMMYFUNCTION("""COMPUTED_VALUE"""),"Кейтеринг Технолоджи")</f>
        <v>Кейтеринг Технолоджи</v>
      </c>
      <c r="B565" s="528"/>
      <c r="C565" s="528" t="str">
        <f>IFERROR(__xludf.DUMMYFUNCTION("""COMPUTED_VALUE"""),"Салат по-грузински ВВ")</f>
        <v>Салат по-грузински ВВ</v>
      </c>
      <c r="D565" s="528">
        <f>IFERROR(__xludf.DUMMYFUNCTION("""COMPUTED_VALUE"""),3680.0)</f>
        <v>3680</v>
      </c>
      <c r="E565" s="528" t="str">
        <f>IFERROR(__xludf.DUMMYFUNCTION("""COMPUTED_VALUE"""),"Татьяна Денисова")</f>
        <v>Татьяна Денисова</v>
      </c>
      <c r="F565" s="535" t="str">
        <f>IFERROR(__xludf.DUMMYFUNCTION("""COMPUTED_VALUE"""),"Повтор с изменениями")</f>
        <v>Повтор с изменениями</v>
      </c>
      <c r="G565" s="536" t="str">
        <f>IFERROR(__xludf.DUMMYFUNCTION("""COMPUTED_VALUE"""),"60*300")</f>
        <v>60*300</v>
      </c>
      <c r="H565" s="338" t="str">
        <f>IFERROR(__xludf.DUMMYFUNCTION("""COMPUTED_VALUE"""),"Флексопечать")</f>
        <v>Флексопечать</v>
      </c>
      <c r="I565" s="338" t="str">
        <f>IFERROR(__xludf.DUMMYFUNCTION("""COMPUTED_VALUE"""),"Bg-330")</f>
        <v>Bg-330</v>
      </c>
      <c r="J565" s="536">
        <f>IFERROR(__xludf.DUMMYFUNCTION("""COMPUTED_VALUE"""),10000.0)</f>
        <v>10000</v>
      </c>
      <c r="K565" s="537">
        <f>IFERROR(__xludf.DUMMYFUNCTION("""COMPUTED_VALUE"""),46209.0)</f>
        <v>46209</v>
      </c>
      <c r="L565" s="537"/>
      <c r="M565" s="338" t="str">
        <f>IFERROR(__xludf.DUMMYFUNCTION("""COMPUTED_VALUE"""),"Термо Топ")</f>
        <v>Термо Топ</v>
      </c>
      <c r="N565" s="338" t="str">
        <f>IFERROR(__xludf.DUMMYFUNCTION("""COMPUTED_VALUE"""),"Отгружен")</f>
        <v>Отгружен</v>
      </c>
      <c r="O565" s="537"/>
      <c r="P565" s="338" t="str">
        <f>IFERROR(__xludf.DUMMYFUNCTION("""COMPUTED_VALUE"""),"Изменения: втулка 40, клейка авто")</f>
        <v>Изменения: втулка 40, клейка авто</v>
      </c>
      <c r="Q565" s="338" t="str">
        <f>IFERROR(__xludf.DUMMYFUNCTION("""COMPUTED_VALUE"""),"Проезд Фрезер , дом 2, Стр 13
Позвонить за 30 мин по тел 8(925)724-74-37 заказать пропуск на въезд")</f>
        <v>Проезд Фрезер , дом 2, Стр 13
Позвонить за 30 мин по тел 8(925)724-74-37 заказать пропуск на въезд</v>
      </c>
      <c r="R565" s="338"/>
      <c r="S565" s="338"/>
      <c r="T565" s="338"/>
      <c r="U565" s="338"/>
      <c r="V565" s="338"/>
      <c r="W565" s="338"/>
      <c r="X565" s="338"/>
      <c r="Y565" s="338"/>
      <c r="Z565" s="338"/>
    </row>
    <row r="566" ht="22.5" customHeight="1">
      <c r="A566" s="528" t="str">
        <f>IFERROR(__xludf.DUMMYFUNCTION("""COMPUTED_VALUE"""),"Дзержинкбытхим")</f>
        <v>Дзержинкбытхим</v>
      </c>
      <c r="B566" s="528"/>
      <c r="C566" s="528" t="str">
        <f>IFERROR(__xludf.DUMMYFUNCTION("""COMPUTED_VALUE"""),"Стикер D 30мм без печати")</f>
        <v>Стикер D 30мм без печати</v>
      </c>
      <c r="D566" s="528">
        <f>IFERROR(__xludf.DUMMYFUNCTION("""COMPUTED_VALUE"""),3693.0)</f>
        <v>3693</v>
      </c>
      <c r="E566" s="528" t="str">
        <f>IFERROR(__xludf.DUMMYFUNCTION("""COMPUTED_VALUE"""),"Римма Лукина")</f>
        <v>Римма Лукина</v>
      </c>
      <c r="F566" s="535" t="str">
        <f>IFERROR(__xludf.DUMMYFUNCTION("""COMPUTED_VALUE"""),"Повтор")</f>
        <v>Повтор</v>
      </c>
      <c r="G566" s="536" t="str">
        <f>IFERROR(__xludf.DUMMYFUNCTION("""COMPUTED_VALUE"""),"D 30")</f>
        <v>D 30</v>
      </c>
      <c r="H566" s="338"/>
      <c r="I566" s="338"/>
      <c r="J566" s="536">
        <f>IFERROR(__xludf.DUMMYFUNCTION("""COMPUTED_VALUE"""),500000.0)</f>
        <v>500000</v>
      </c>
      <c r="K566" s="537">
        <f>IFERROR(__xludf.DUMMYFUNCTION("""COMPUTED_VALUE"""),46210.0)</f>
        <v>46210</v>
      </c>
      <c r="L566" s="537"/>
      <c r="M566" s="338" t="str">
        <f>IFERROR(__xludf.DUMMYFUNCTION("""COMPUTED_VALUE"""),"Бумага полуглянец акрил")</f>
        <v>Бумага полуглянец акрил</v>
      </c>
      <c r="N566" s="338" t="str">
        <f>IFERROR(__xludf.DUMMYFUNCTION("""COMPUTED_VALUE"""),"Отгружен")</f>
        <v>Отгружен</v>
      </c>
      <c r="O566" s="537"/>
      <c r="P566" s="338" t="str">
        <f>IFERROR(__xludf.DUMMYFUNCTION("""COMPUTED_VALUE"""),"папорт качества")</f>
        <v>папорт качества</v>
      </c>
      <c r="Q566" s="338" t="str">
        <f>IFERROR(__xludf.DUMMYFUNCTION("""COMPUTED_VALUE"""),"До термила на СДЭК в г Дзержинске Новгородской области")</f>
        <v>До термила на СДЭК в г Дзержинске Новгородской области</v>
      </c>
      <c r="R566" s="338"/>
      <c r="S566" s="338"/>
      <c r="T566" s="338"/>
      <c r="U566" s="338"/>
      <c r="V566" s="338"/>
      <c r="W566" s="338"/>
      <c r="X566" s="338"/>
      <c r="Y566" s="338"/>
      <c r="Z566" s="338"/>
    </row>
    <row r="567" ht="22.5" customHeight="1">
      <c r="A567" s="528" t="str">
        <f>IFERROR(__xludf.DUMMYFUNCTION("""COMPUTED_VALUE"""),"ООО ОЗОН ВКУС")</f>
        <v>ООО ОЗОН ВКУС</v>
      </c>
      <c r="B567" s="528"/>
      <c r="C567" s="528" t="str">
        <f>IFERROR(__xludf.DUMMYFUNCTION("""COMPUTED_VALUE"""),"Термоэтикетка 58*100 топ")</f>
        <v>Термоэтикетка 58*100 топ</v>
      </c>
      <c r="D567" s="528">
        <f>IFERROR(__xludf.DUMMYFUNCTION("""COMPUTED_VALUE"""),3698.0)</f>
        <v>3698</v>
      </c>
      <c r="E567" s="528" t="str">
        <f>IFERROR(__xludf.DUMMYFUNCTION("""COMPUTED_VALUE"""),"Римма Лукина")</f>
        <v>Римма Лукина</v>
      </c>
      <c r="F567" s="535" t="str">
        <f>IFERROR(__xludf.DUMMYFUNCTION("""COMPUTED_VALUE"""),"Повтор")</f>
        <v>Повтор</v>
      </c>
      <c r="G567" s="536" t="str">
        <f>IFERROR(__xludf.DUMMYFUNCTION("""COMPUTED_VALUE"""),"58*100")</f>
        <v>58*100</v>
      </c>
      <c r="H567" s="338"/>
      <c r="I567" s="338"/>
      <c r="J567" s="536"/>
      <c r="K567" s="537">
        <f>IFERROR(__xludf.DUMMYFUNCTION("""COMPUTED_VALUE"""),46210.0)</f>
        <v>46210</v>
      </c>
      <c r="L567" s="537"/>
      <c r="M567" s="338" t="str">
        <f>IFERROR(__xludf.DUMMYFUNCTION("""COMPUTED_VALUE"""),"Термо Топ")</f>
        <v>Термо Топ</v>
      </c>
      <c r="N567" s="338" t="str">
        <f>IFERROR(__xludf.DUMMYFUNCTION("""COMPUTED_VALUE"""),"Отгружен")</f>
        <v>Отгружен</v>
      </c>
      <c r="O567" s="537"/>
      <c r="P567" s="338"/>
      <c r="Q567" s="338"/>
      <c r="R567" s="338"/>
      <c r="S567" s="338"/>
      <c r="T567" s="338"/>
      <c r="U567" s="338"/>
      <c r="V567" s="338"/>
      <c r="W567" s="338"/>
      <c r="X567" s="338"/>
      <c r="Y567" s="338"/>
      <c r="Z567" s="338"/>
    </row>
    <row r="568" ht="22.5" customHeight="1">
      <c r="A568" s="528" t="str">
        <f>IFERROR(__xludf.DUMMYFUNCTION("""COMPUTED_VALUE"""),"ООО ОЗОН ВКУС")</f>
        <v>ООО ОЗОН ВКУС</v>
      </c>
      <c r="B568" s="528"/>
      <c r="C568" s="528" t="str">
        <f>IFERROR(__xludf.DUMMYFUNCTION("""COMPUTED_VALUE"""),"Этикетка 76*118 пантон 304")</f>
        <v>Этикетка 76*118 пантон 304</v>
      </c>
      <c r="D568" s="528">
        <f>IFERROR(__xludf.DUMMYFUNCTION("""COMPUTED_VALUE"""),3699.0)</f>
        <v>3699</v>
      </c>
      <c r="E568" s="528" t="str">
        <f>IFERROR(__xludf.DUMMYFUNCTION("""COMPUTED_VALUE"""),"Римма Лукина")</f>
        <v>Римма Лукина</v>
      </c>
      <c r="F568" s="535" t="str">
        <f>IFERROR(__xludf.DUMMYFUNCTION("""COMPUTED_VALUE"""),"Новая")</f>
        <v>Новая</v>
      </c>
      <c r="G568" s="536" t="str">
        <f>IFERROR(__xludf.DUMMYFUNCTION("""COMPUTED_VALUE"""),"76*108")</f>
        <v>76*108</v>
      </c>
      <c r="H568" s="338" t="str">
        <f>IFERROR(__xludf.DUMMYFUNCTION("""COMPUTED_VALUE"""),"Флексопечать")</f>
        <v>Флексопечать</v>
      </c>
      <c r="I568" s="338"/>
      <c r="J568" s="536"/>
      <c r="K568" s="537">
        <f>IFERROR(__xludf.DUMMYFUNCTION("""COMPUTED_VALUE"""),46210.0)</f>
        <v>46210</v>
      </c>
      <c r="L568" s="537"/>
      <c r="M568" s="338" t="str">
        <f>IFERROR(__xludf.DUMMYFUNCTION("""COMPUTED_VALUE"""),"Термоэко")</f>
        <v>Термоэко</v>
      </c>
      <c r="N568" s="338" t="str">
        <f>IFERROR(__xludf.DUMMYFUNCTION("""COMPUTED_VALUE"""),"Отгружен")</f>
        <v>Отгружен</v>
      </c>
      <c r="O568" s="537"/>
      <c r="P568" s="338" t="str">
        <f>IFERROR(__xludf.DUMMYFUNCTION("""COMPUTED_VALUE"""),"печатаем без лака!!!")</f>
        <v>печатаем без лака!!!</v>
      </c>
      <c r="Q568" s="338"/>
      <c r="R568" s="338"/>
      <c r="S568" s="338"/>
      <c r="T568" s="338"/>
      <c r="U568" s="338"/>
      <c r="V568" s="338"/>
      <c r="W568" s="338"/>
      <c r="X568" s="338"/>
      <c r="Y568" s="338"/>
      <c r="Z568" s="338"/>
    </row>
    <row r="569" ht="22.5" customHeight="1">
      <c r="A569" s="528" t="str">
        <f>IFERROR(__xludf.DUMMYFUNCTION("""COMPUTED_VALUE"""),"ооо Соки Ретро")</f>
        <v>ооо Соки Ретро</v>
      </c>
      <c r="B569" s="528"/>
      <c r="C569" s="528" t="str">
        <f>IFERROR(__xludf.DUMMYFUNCTION("""COMPUTED_VALUE"""),"Этикетка 110*80 «МЕРЕНГОВЫЙ РУЛЕТ»")</f>
        <v>Этикетка 110*80 «МЕРЕНГОВЫЙ РУЛЕТ»</v>
      </c>
      <c r="D569" s="528">
        <f>IFERROR(__xludf.DUMMYFUNCTION("""COMPUTED_VALUE"""),3762.0)</f>
        <v>3762</v>
      </c>
      <c r="E569" s="528" t="str">
        <f>IFERROR(__xludf.DUMMYFUNCTION("""COMPUTED_VALUE"""),"Баранов Александр")</f>
        <v>Баранов Александр</v>
      </c>
      <c r="F569" s="535" t="str">
        <f>IFERROR(__xludf.DUMMYFUNCTION("""COMPUTED_VALUE"""),"Новая")</f>
        <v>Новая</v>
      </c>
      <c r="G569" s="536" t="str">
        <f>IFERROR(__xludf.DUMMYFUNCTION("""COMPUTED_VALUE"""),"110*80")</f>
        <v>110*80</v>
      </c>
      <c r="H569" s="338" t="str">
        <f>IFERROR(__xludf.DUMMYFUNCTION("""COMPUTED_VALUE"""),"Цифра+Лазер")</f>
        <v>Цифра+Лазер</v>
      </c>
      <c r="I569" s="338" t="str">
        <f>IFERROR(__xludf.DUMMYFUNCTION("""COMPUTED_VALUE"""),"LS(ЦПМ)")</f>
        <v>LS(ЦПМ)</v>
      </c>
      <c r="J569" s="536">
        <f>IFERROR(__xludf.DUMMYFUNCTION("""COMPUTED_VALUE"""),400.0)</f>
        <v>400</v>
      </c>
      <c r="K569" s="537">
        <f>IFERROR(__xludf.DUMMYFUNCTION("""COMPUTED_VALUE"""),46204.0)</f>
        <v>46204</v>
      </c>
      <c r="L569" s="537"/>
      <c r="M569" s="338" t="str">
        <f>IFERROR(__xludf.DUMMYFUNCTION("""COMPUTED_VALUE"""),"Бумага полуглянец акрил")</f>
        <v>Бумага полуглянец акрил</v>
      </c>
      <c r="N569" s="338" t="str">
        <f>IFERROR(__xludf.DUMMYFUNCTION("""COMPUTED_VALUE"""),"Отгружен")</f>
        <v>Отгружен</v>
      </c>
      <c r="O569" s="537"/>
      <c r="P569" s="338"/>
      <c r="Q569" s="338"/>
      <c r="R569" s="338"/>
      <c r="S569" s="338"/>
      <c r="T569" s="338"/>
      <c r="U569" s="338"/>
      <c r="V569" s="338"/>
      <c r="W569" s="338"/>
      <c r="X569" s="338"/>
      <c r="Y569" s="338"/>
      <c r="Z569" s="338"/>
    </row>
    <row r="570" ht="22.5" customHeight="1">
      <c r="A570" s="528" t="str">
        <f>IFERROR(__xludf.DUMMYFUNCTION("""COMPUTED_VALUE"""),"ООО ОЗОН ВКУС")</f>
        <v>ООО ОЗОН ВКУС</v>
      </c>
      <c r="B570" s="528"/>
      <c r="C570" s="528" t="str">
        <f>IFERROR(__xludf.DUMMYFUNCTION("""COMPUTED_VALUE"""),"Логотип")</f>
        <v>Логотип</v>
      </c>
      <c r="D570" s="528"/>
      <c r="E570" s="528" t="str">
        <f>IFERROR(__xludf.DUMMYFUNCTION("""COMPUTED_VALUE"""),"Римма Лукина")</f>
        <v>Римма Лукина</v>
      </c>
      <c r="F570" s="535" t="str">
        <f>IFERROR(__xludf.DUMMYFUNCTION("""COMPUTED_VALUE"""),"ТЕСТ")</f>
        <v>ТЕСТ</v>
      </c>
      <c r="G570" s="536"/>
      <c r="H570" s="338"/>
      <c r="I570" s="338"/>
      <c r="J570" s="536"/>
      <c r="K570" s="537">
        <f>IFERROR(__xludf.DUMMYFUNCTION("""COMPUTED_VALUE"""),46205.0)</f>
        <v>46205</v>
      </c>
      <c r="L570" s="537"/>
      <c r="M570" s="338" t="str">
        <f>IFERROR(__xludf.DUMMYFUNCTION("""COMPUTED_VALUE"""),"Бумага полуглянец акрил")</f>
        <v>Бумага полуглянец акрил</v>
      </c>
      <c r="N570" s="338" t="str">
        <f>IFERROR(__xludf.DUMMYFUNCTION("""COMPUTED_VALUE"""),"Отгружен")</f>
        <v>Отгружен</v>
      </c>
      <c r="O570" s="537"/>
      <c r="P570" s="338" t="str">
        <f>IFERROR(__xludf.DUMMYFUNCTION("""COMPUTED_VALUE"""),"цветопроба на полуглянце без вырубки")</f>
        <v>цветопроба на полуглянце без вырубки</v>
      </c>
      <c r="Q570" s="338" t="str">
        <f>IFERROR(__xludf.DUMMYFUNCTION("""COMPUTED_VALUE"""),"г. Москва , ул Мироновская 33 с1")</f>
        <v>г. Москва , ул Мироновская 33 с1</v>
      </c>
      <c r="R570" s="338"/>
      <c r="S570" s="338"/>
      <c r="T570" s="338"/>
      <c r="U570" s="338"/>
      <c r="V570" s="338"/>
      <c r="W570" s="338"/>
      <c r="X570" s="338"/>
      <c r="Y570" s="338"/>
      <c r="Z570" s="338"/>
    </row>
    <row r="571" ht="22.5" customHeight="1">
      <c r="A571" s="528" t="str">
        <f>IFERROR(__xludf.DUMMYFUNCTION("""COMPUTED_VALUE"""),"ООО Меренга ")</f>
        <v>ООО Меренга </v>
      </c>
      <c r="B571" s="528"/>
      <c r="C571" s="528" t="str">
        <f>IFERROR(__xludf.DUMMYFUNCTION("""COMPUTED_VALUE"""),"Этикетка ""Эклер наполеон 3шт""  165гр")</f>
        <v>Этикетка "Эклер наполеон 3шт"  165гр</v>
      </c>
      <c r="D571" s="528">
        <f>IFERROR(__xludf.DUMMYFUNCTION("""COMPUTED_VALUE"""),3772.0)</f>
        <v>3772</v>
      </c>
      <c r="E571" s="528" t="str">
        <f>IFERROR(__xludf.DUMMYFUNCTION("""COMPUTED_VALUE"""),"Римма Лукина")</f>
        <v>Римма Лукина</v>
      </c>
      <c r="F571" s="535" t="str">
        <f>IFERROR(__xludf.DUMMYFUNCTION("""COMPUTED_VALUE"""),"Повтор с изменениями")</f>
        <v>Повтор с изменениями</v>
      </c>
      <c r="G571" s="536" t="str">
        <f>IFERROR(__xludf.DUMMYFUNCTION("""COMPUTED_VALUE"""),"70*165")</f>
        <v>70*165</v>
      </c>
      <c r="H571" s="338" t="str">
        <f>IFERROR(__xludf.DUMMYFUNCTION("""COMPUTED_VALUE"""),"Флексопечать")</f>
        <v>Флексопечать</v>
      </c>
      <c r="I571" s="338" t="str">
        <f>IFERROR(__xludf.DUMMYFUNCTION("""COMPUTED_VALUE"""),"Bg-330")</f>
        <v>Bg-330</v>
      </c>
      <c r="J571" s="536">
        <f>IFERROR(__xludf.DUMMYFUNCTION("""COMPUTED_VALUE"""),20000.0)</f>
        <v>20000</v>
      </c>
      <c r="K571" s="537">
        <f>IFERROR(__xludf.DUMMYFUNCTION("""COMPUTED_VALUE"""),46210.0)</f>
        <v>46210</v>
      </c>
      <c r="L571" s="537"/>
      <c r="M571" s="338" t="str">
        <f>IFERROR(__xludf.DUMMYFUNCTION("""COMPUTED_VALUE"""),"Бумага полуглянец акрил")</f>
        <v>Бумага полуглянец акрил</v>
      </c>
      <c r="N571" s="338" t="str">
        <f>IFERROR(__xludf.DUMMYFUNCTION("""COMPUTED_VALUE"""),"Отгружен")</f>
        <v>Отгружен</v>
      </c>
      <c r="O571" s="537"/>
      <c r="P571" s="338"/>
      <c r="Q571" s="338" t="str">
        <f>IFERROR(__xludf.DUMMYFUNCTION("""COMPUTED_VALUE"""),"г. Москва,  Пермская 1 стр 7-8")</f>
        <v>г. Москва,  Пермская 1 стр 7-8</v>
      </c>
      <c r="R571" s="338"/>
      <c r="S571" s="338"/>
      <c r="T571" s="338"/>
      <c r="U571" s="338"/>
      <c r="V571" s="338"/>
      <c r="W571" s="338"/>
      <c r="X571" s="338"/>
      <c r="Y571" s="338"/>
      <c r="Z571" s="338"/>
    </row>
    <row r="572" ht="22.5" customHeight="1">
      <c r="A572" s="528" t="str">
        <f>IFERROR(__xludf.DUMMYFUNCTION("""COMPUTED_VALUE"""),"ООО Люкс ЛК")</f>
        <v>ООО Люкс ЛК</v>
      </c>
      <c r="B572" s="528"/>
      <c r="C572" s="528" t="str">
        <f>IFERROR(__xludf.DUMMYFUNCTION("""COMPUTED_VALUE"""),"Стикеры 40*50")</f>
        <v>Стикеры 40*50</v>
      </c>
      <c r="D572" s="528"/>
      <c r="E572" s="528" t="str">
        <f>IFERROR(__xludf.DUMMYFUNCTION("""COMPUTED_VALUE"""),"Баранов Александр")</f>
        <v>Баранов Александр</v>
      </c>
      <c r="F572" s="535" t="str">
        <f>IFERROR(__xludf.DUMMYFUNCTION("""COMPUTED_VALUE"""),"Повтор с изменениями")</f>
        <v>Повтор с изменениями</v>
      </c>
      <c r="G572" s="536" t="str">
        <f>IFERROR(__xludf.DUMMYFUNCTION("""COMPUTED_VALUE"""),"40*50")</f>
        <v>40*50</v>
      </c>
      <c r="H572" s="338" t="str">
        <f>IFERROR(__xludf.DUMMYFUNCTION("""COMPUTED_VALUE"""),"Флексопечать")</f>
        <v>Флексопечать</v>
      </c>
      <c r="I572" s="338" t="str">
        <f>IFERROR(__xludf.DUMMYFUNCTION("""COMPUTED_VALUE"""),"G-160")</f>
        <v>G-160</v>
      </c>
      <c r="J572" s="536">
        <f>IFERROR(__xludf.DUMMYFUNCTION("""COMPUTED_VALUE"""),238000.0)</f>
        <v>238000</v>
      </c>
      <c r="K572" s="537">
        <f>IFERROR(__xludf.DUMMYFUNCTION("""COMPUTED_VALUE"""),46204.0)</f>
        <v>46204</v>
      </c>
      <c r="L572" s="537"/>
      <c r="M572" s="338" t="str">
        <f>IFERROR(__xludf.DUMMYFUNCTION("""COMPUTED_VALUE"""),"Бумага полуглянец каучук")</f>
        <v>Бумага полуглянец каучук</v>
      </c>
      <c r="N572" s="338" t="str">
        <f>IFERROR(__xludf.DUMMYFUNCTION("""COMPUTED_VALUE"""),"Отгружен")</f>
        <v>Отгружен</v>
      </c>
      <c r="O572" s="537"/>
      <c r="P572" s="338"/>
      <c r="Q572" s="338"/>
      <c r="R572" s="338"/>
      <c r="S572" s="338"/>
      <c r="T572" s="338"/>
      <c r="U572" s="338"/>
      <c r="V572" s="338"/>
      <c r="W572" s="338"/>
      <c r="X572" s="338"/>
      <c r="Y572" s="338"/>
      <c r="Z572" s="338"/>
    </row>
    <row r="573" ht="22.5" customHeight="1">
      <c r="A573" s="528"/>
      <c r="B573" s="528"/>
      <c r="C573" s="528"/>
      <c r="D573" s="528"/>
      <c r="E573" s="528"/>
      <c r="F573" s="535"/>
      <c r="G573" s="536"/>
      <c r="H573" s="338"/>
      <c r="I573" s="338"/>
      <c r="J573" s="536"/>
      <c r="K573" s="338"/>
      <c r="L573" s="338"/>
      <c r="M573" s="338"/>
      <c r="N573" s="338"/>
      <c r="O573" s="338"/>
      <c r="P573" s="338"/>
      <c r="Q573" s="338"/>
      <c r="R573" s="338"/>
      <c r="S573" s="338"/>
      <c r="T573" s="338"/>
      <c r="U573" s="338"/>
      <c r="V573" s="338"/>
      <c r="W573" s="338"/>
      <c r="X573" s="338"/>
      <c r="Y573" s="338"/>
      <c r="Z573" s="338"/>
    </row>
    <row r="574" ht="22.5" customHeight="1">
      <c r="A574" s="528"/>
      <c r="B574" s="528"/>
      <c r="C574" s="528"/>
      <c r="D574" s="528"/>
      <c r="E574" s="528"/>
      <c r="F574" s="535"/>
      <c r="G574" s="536"/>
      <c r="H574" s="338"/>
      <c r="I574" s="338"/>
      <c r="J574" s="536"/>
      <c r="K574" s="338"/>
      <c r="L574" s="338"/>
      <c r="M574" s="338"/>
      <c r="N574" s="338"/>
      <c r="O574" s="338"/>
      <c r="P574" s="338"/>
      <c r="Q574" s="338"/>
      <c r="R574" s="338"/>
      <c r="S574" s="338"/>
      <c r="T574" s="338"/>
      <c r="U574" s="338"/>
      <c r="V574" s="338"/>
      <c r="W574" s="338"/>
      <c r="X574" s="338"/>
      <c r="Y574" s="338"/>
      <c r="Z574" s="338"/>
    </row>
    <row r="575" ht="22.5" customHeight="1">
      <c r="A575" s="528"/>
      <c r="B575" s="528"/>
      <c r="C575" s="528"/>
      <c r="D575" s="528"/>
      <c r="E575" s="528"/>
      <c r="F575" s="535"/>
      <c r="G575" s="536"/>
      <c r="H575" s="338"/>
      <c r="I575" s="338"/>
      <c r="J575" s="536"/>
      <c r="K575" s="338"/>
      <c r="L575" s="338"/>
      <c r="M575" s="338"/>
      <c r="N575" s="338"/>
      <c r="O575" s="338"/>
      <c r="P575" s="338"/>
      <c r="Q575" s="338"/>
      <c r="R575" s="338"/>
      <c r="S575" s="338"/>
      <c r="T575" s="338"/>
      <c r="U575" s="338"/>
      <c r="V575" s="338"/>
      <c r="W575" s="338"/>
      <c r="X575" s="338"/>
      <c r="Y575" s="338"/>
      <c r="Z575" s="338"/>
    </row>
    <row r="576" ht="22.5" customHeight="1">
      <c r="A576" s="528"/>
      <c r="B576" s="528"/>
      <c r="C576" s="528"/>
      <c r="D576" s="528"/>
      <c r="E576" s="528"/>
      <c r="F576" s="535"/>
      <c r="G576" s="536"/>
      <c r="H576" s="338"/>
      <c r="I576" s="338"/>
      <c r="J576" s="536"/>
      <c r="K576" s="338"/>
      <c r="L576" s="338"/>
      <c r="M576" s="338"/>
      <c r="N576" s="338"/>
      <c r="O576" s="338"/>
      <c r="P576" s="338"/>
      <c r="Q576" s="338"/>
      <c r="R576" s="338"/>
      <c r="S576" s="338"/>
      <c r="T576" s="338"/>
      <c r="U576" s="338"/>
      <c r="V576" s="338"/>
      <c r="W576" s="338"/>
      <c r="X576" s="338"/>
      <c r="Y576" s="338"/>
      <c r="Z576" s="338"/>
    </row>
    <row r="577" ht="22.5" customHeight="1">
      <c r="A577" s="528"/>
      <c r="B577" s="528"/>
      <c r="C577" s="528"/>
      <c r="D577" s="528"/>
      <c r="E577" s="528"/>
      <c r="F577" s="535"/>
      <c r="G577" s="536"/>
      <c r="H577" s="338"/>
      <c r="I577" s="338"/>
      <c r="J577" s="536"/>
      <c r="K577" s="338"/>
      <c r="L577" s="338"/>
      <c r="M577" s="338"/>
      <c r="N577" s="338"/>
      <c r="O577" s="338"/>
      <c r="P577" s="338"/>
      <c r="Q577" s="338"/>
      <c r="R577" s="338"/>
      <c r="S577" s="338"/>
      <c r="T577" s="338"/>
      <c r="U577" s="338"/>
      <c r="V577" s="338"/>
      <c r="W577" s="338"/>
      <c r="X577" s="338"/>
      <c r="Y577" s="338"/>
      <c r="Z577" s="338"/>
    </row>
    <row r="578" ht="22.5" customHeight="1">
      <c r="A578" s="528"/>
      <c r="B578" s="528"/>
      <c r="C578" s="528"/>
      <c r="D578" s="528"/>
      <c r="E578" s="528"/>
      <c r="F578" s="535"/>
      <c r="G578" s="536"/>
      <c r="H578" s="338"/>
      <c r="I578" s="338"/>
      <c r="J578" s="536"/>
      <c r="K578" s="338"/>
      <c r="L578" s="338"/>
      <c r="M578" s="338"/>
      <c r="N578" s="338"/>
      <c r="O578" s="338"/>
      <c r="P578" s="338"/>
      <c r="Q578" s="338"/>
      <c r="R578" s="338"/>
      <c r="S578" s="338"/>
      <c r="T578" s="338"/>
      <c r="U578" s="338"/>
      <c r="V578" s="338"/>
      <c r="W578" s="338"/>
      <c r="X578" s="338"/>
      <c r="Y578" s="338"/>
      <c r="Z578" s="338"/>
    </row>
    <row r="579" ht="22.5" customHeight="1">
      <c r="A579" s="528"/>
      <c r="B579" s="528"/>
      <c r="C579" s="528"/>
      <c r="D579" s="528"/>
      <c r="E579" s="528"/>
      <c r="F579" s="535"/>
      <c r="G579" s="536"/>
      <c r="H579" s="338"/>
      <c r="I579" s="338"/>
      <c r="J579" s="536"/>
      <c r="K579" s="338"/>
      <c r="L579" s="338"/>
      <c r="M579" s="338"/>
      <c r="N579" s="338"/>
      <c r="O579" s="338"/>
      <c r="P579" s="338"/>
      <c r="Q579" s="338"/>
      <c r="R579" s="338"/>
      <c r="S579" s="338"/>
      <c r="T579" s="338"/>
      <c r="U579" s="338"/>
      <c r="V579" s="338"/>
      <c r="W579" s="338"/>
      <c r="X579" s="338"/>
      <c r="Y579" s="338"/>
      <c r="Z579" s="338"/>
    </row>
    <row r="580" ht="22.5" customHeight="1">
      <c r="A580" s="528"/>
      <c r="B580" s="528"/>
      <c r="C580" s="528"/>
      <c r="D580" s="528"/>
      <c r="E580" s="528"/>
      <c r="F580" s="535"/>
      <c r="G580" s="536"/>
      <c r="H580" s="338"/>
      <c r="I580" s="338"/>
      <c r="J580" s="536"/>
      <c r="K580" s="338"/>
      <c r="L580" s="338"/>
      <c r="M580" s="338"/>
      <c r="N580" s="338"/>
      <c r="O580" s="338"/>
      <c r="P580" s="338"/>
      <c r="Q580" s="338"/>
      <c r="R580" s="338"/>
      <c r="S580" s="338"/>
      <c r="T580" s="338"/>
      <c r="U580" s="338"/>
      <c r="V580" s="338"/>
      <c r="W580" s="338"/>
      <c r="X580" s="338"/>
      <c r="Y580" s="338"/>
      <c r="Z580" s="338"/>
    </row>
    <row r="581" ht="22.5" customHeight="1">
      <c r="A581" s="528"/>
      <c r="B581" s="528"/>
      <c r="C581" s="528"/>
      <c r="D581" s="528"/>
      <c r="E581" s="528"/>
      <c r="F581" s="535"/>
      <c r="G581" s="536"/>
      <c r="H581" s="338"/>
      <c r="I581" s="338"/>
      <c r="J581" s="536"/>
      <c r="K581" s="338"/>
      <c r="L581" s="338"/>
      <c r="M581" s="338"/>
      <c r="N581" s="338"/>
      <c r="O581" s="338"/>
      <c r="P581" s="338"/>
      <c r="Q581" s="338"/>
      <c r="R581" s="338"/>
      <c r="S581" s="338"/>
      <c r="T581" s="338"/>
      <c r="U581" s="338"/>
      <c r="V581" s="338"/>
      <c r="W581" s="338"/>
      <c r="X581" s="338"/>
      <c r="Y581" s="338"/>
      <c r="Z581" s="338"/>
    </row>
    <row r="582" ht="22.5" customHeight="1">
      <c r="A582" s="528"/>
      <c r="B582" s="528"/>
      <c r="C582" s="528"/>
      <c r="D582" s="528"/>
      <c r="E582" s="528"/>
      <c r="F582" s="535"/>
      <c r="G582" s="536"/>
      <c r="H582" s="338"/>
      <c r="I582" s="338"/>
      <c r="J582" s="536"/>
      <c r="K582" s="338"/>
      <c r="L582" s="338"/>
      <c r="M582" s="338"/>
      <c r="N582" s="338"/>
      <c r="O582" s="338"/>
      <c r="P582" s="338"/>
      <c r="Q582" s="338"/>
      <c r="R582" s="338"/>
      <c r="S582" s="338"/>
      <c r="T582" s="338"/>
      <c r="U582" s="338"/>
      <c r="V582" s="338"/>
      <c r="W582" s="338"/>
      <c r="X582" s="338"/>
      <c r="Y582" s="338"/>
      <c r="Z582" s="338"/>
    </row>
    <row r="583" ht="22.5" customHeight="1">
      <c r="A583" s="528"/>
      <c r="B583" s="528"/>
      <c r="C583" s="528"/>
      <c r="D583" s="528"/>
      <c r="E583" s="528"/>
      <c r="F583" s="535"/>
      <c r="G583" s="536"/>
      <c r="H583" s="338"/>
      <c r="I583" s="338"/>
      <c r="J583" s="536"/>
      <c r="K583" s="338"/>
      <c r="L583" s="338"/>
      <c r="M583" s="338"/>
      <c r="N583" s="338"/>
      <c r="O583" s="338"/>
      <c r="P583" s="338"/>
      <c r="Q583" s="338"/>
      <c r="R583" s="338"/>
      <c r="S583" s="338"/>
      <c r="T583" s="338"/>
      <c r="U583" s="338"/>
      <c r="V583" s="338"/>
      <c r="W583" s="338"/>
      <c r="X583" s="338"/>
      <c r="Y583" s="338"/>
      <c r="Z583" s="338"/>
    </row>
    <row r="584" ht="22.5" customHeight="1">
      <c r="A584" s="528"/>
      <c r="B584" s="528"/>
      <c r="C584" s="528"/>
      <c r="D584" s="528"/>
      <c r="E584" s="528"/>
      <c r="F584" s="535"/>
      <c r="G584" s="536"/>
      <c r="H584" s="338"/>
      <c r="I584" s="338"/>
      <c r="J584" s="536"/>
      <c r="K584" s="338"/>
      <c r="L584" s="338"/>
      <c r="M584" s="338"/>
      <c r="N584" s="338"/>
      <c r="O584" s="338"/>
      <c r="P584" s="338"/>
      <c r="Q584" s="338"/>
      <c r="R584" s="338"/>
      <c r="S584" s="338"/>
      <c r="T584" s="338"/>
      <c r="U584" s="338"/>
      <c r="V584" s="338"/>
      <c r="W584" s="338"/>
      <c r="X584" s="338"/>
      <c r="Y584" s="338"/>
      <c r="Z584" s="338"/>
    </row>
    <row r="585" ht="22.5" customHeight="1">
      <c r="A585" s="528"/>
      <c r="B585" s="528"/>
      <c r="C585" s="528"/>
      <c r="D585" s="528"/>
      <c r="E585" s="528"/>
      <c r="F585" s="535"/>
      <c r="G585" s="536"/>
      <c r="H585" s="338"/>
      <c r="I585" s="338"/>
      <c r="J585" s="536"/>
      <c r="K585" s="338"/>
      <c r="L585" s="338"/>
      <c r="M585" s="338"/>
      <c r="N585" s="338"/>
      <c r="O585" s="338"/>
      <c r="P585" s="338"/>
      <c r="Q585" s="338"/>
      <c r="R585" s="338"/>
      <c r="S585" s="338"/>
      <c r="T585" s="338"/>
      <c r="U585" s="338"/>
      <c r="V585" s="338"/>
      <c r="W585" s="338"/>
      <c r="X585" s="338"/>
      <c r="Y585" s="338"/>
      <c r="Z585" s="338"/>
    </row>
    <row r="586" ht="22.5" customHeight="1">
      <c r="A586" s="528"/>
      <c r="B586" s="528"/>
      <c r="C586" s="528"/>
      <c r="D586" s="528"/>
      <c r="E586" s="528"/>
      <c r="F586" s="535"/>
      <c r="G586" s="536"/>
      <c r="H586" s="338"/>
      <c r="I586" s="338"/>
      <c r="J586" s="536"/>
      <c r="K586" s="338"/>
      <c r="L586" s="338"/>
      <c r="M586" s="338"/>
      <c r="N586" s="338"/>
      <c r="O586" s="338"/>
      <c r="P586" s="338"/>
      <c r="Q586" s="338"/>
      <c r="R586" s="338"/>
      <c r="S586" s="338"/>
      <c r="T586" s="338"/>
      <c r="U586" s="338"/>
      <c r="V586" s="338"/>
      <c r="W586" s="338"/>
      <c r="X586" s="338"/>
      <c r="Y586" s="338"/>
      <c r="Z586" s="338"/>
    </row>
    <row r="587" ht="22.5" customHeight="1">
      <c r="A587" s="528"/>
      <c r="B587" s="528"/>
      <c r="C587" s="528"/>
      <c r="D587" s="528"/>
      <c r="E587" s="528"/>
      <c r="F587" s="535"/>
      <c r="G587" s="536"/>
      <c r="H587" s="338"/>
      <c r="I587" s="338"/>
      <c r="J587" s="536"/>
      <c r="K587" s="338"/>
      <c r="L587" s="338"/>
      <c r="M587" s="338"/>
      <c r="N587" s="338"/>
      <c r="O587" s="338"/>
      <c r="P587" s="338"/>
      <c r="Q587" s="338"/>
      <c r="R587" s="338"/>
      <c r="S587" s="338"/>
      <c r="T587" s="338"/>
      <c r="U587" s="338"/>
      <c r="V587" s="338"/>
      <c r="W587" s="338"/>
      <c r="X587" s="338"/>
      <c r="Y587" s="338"/>
      <c r="Z587" s="338"/>
    </row>
    <row r="588" ht="22.5" customHeight="1">
      <c r="A588" s="528"/>
      <c r="B588" s="528"/>
      <c r="C588" s="528"/>
      <c r="D588" s="528"/>
      <c r="E588" s="528"/>
      <c r="F588" s="535"/>
      <c r="G588" s="536"/>
      <c r="H588" s="338"/>
      <c r="I588" s="338"/>
      <c r="J588" s="536"/>
      <c r="K588" s="338"/>
      <c r="L588" s="338"/>
      <c r="M588" s="338"/>
      <c r="N588" s="338"/>
      <c r="O588" s="338"/>
      <c r="P588" s="338"/>
      <c r="Q588" s="338"/>
      <c r="R588" s="338"/>
      <c r="S588" s="338"/>
      <c r="T588" s="338"/>
      <c r="U588" s="338"/>
      <c r="V588" s="338"/>
      <c r="W588" s="338"/>
      <c r="X588" s="338"/>
      <c r="Y588" s="338"/>
      <c r="Z588" s="338"/>
    </row>
    <row r="589" ht="22.5" customHeight="1">
      <c r="A589" s="528"/>
      <c r="B589" s="528"/>
      <c r="C589" s="528"/>
      <c r="D589" s="528"/>
      <c r="E589" s="528"/>
      <c r="F589" s="535"/>
      <c r="G589" s="536"/>
      <c r="H589" s="338"/>
      <c r="I589" s="338"/>
      <c r="J589" s="536"/>
      <c r="K589" s="338"/>
      <c r="L589" s="338"/>
      <c r="M589" s="338"/>
      <c r="N589" s="338"/>
      <c r="O589" s="338"/>
      <c r="P589" s="338"/>
      <c r="Q589" s="338"/>
      <c r="R589" s="338"/>
      <c r="S589" s="338"/>
      <c r="T589" s="338"/>
      <c r="U589" s="338"/>
      <c r="V589" s="338"/>
      <c r="W589" s="338"/>
      <c r="X589" s="338"/>
      <c r="Y589" s="338"/>
      <c r="Z589" s="338"/>
    </row>
    <row r="590" ht="22.5" customHeight="1">
      <c r="A590" s="528"/>
      <c r="B590" s="528"/>
      <c r="C590" s="528"/>
      <c r="D590" s="528"/>
      <c r="E590" s="528"/>
      <c r="F590" s="535"/>
      <c r="G590" s="536"/>
      <c r="H590" s="338"/>
      <c r="I590" s="338"/>
      <c r="J590" s="536"/>
      <c r="K590" s="338"/>
      <c r="L590" s="338"/>
      <c r="M590" s="338"/>
      <c r="N590" s="338"/>
      <c r="O590" s="338"/>
      <c r="P590" s="338"/>
      <c r="Q590" s="338"/>
      <c r="R590" s="338"/>
      <c r="S590" s="338"/>
      <c r="T590" s="338"/>
      <c r="U590" s="338"/>
      <c r="V590" s="338"/>
      <c r="W590" s="338"/>
      <c r="X590" s="338"/>
      <c r="Y590" s="338"/>
      <c r="Z590" s="338"/>
    </row>
    <row r="591" ht="22.5" customHeight="1">
      <c r="A591" s="528"/>
      <c r="B591" s="528"/>
      <c r="C591" s="528"/>
      <c r="D591" s="528"/>
      <c r="E591" s="528"/>
      <c r="F591" s="535"/>
      <c r="G591" s="536"/>
      <c r="H591" s="338"/>
      <c r="I591" s="338"/>
      <c r="J591" s="536"/>
      <c r="K591" s="338"/>
      <c r="L591" s="338"/>
      <c r="M591" s="338"/>
      <c r="N591" s="338"/>
      <c r="O591" s="338"/>
      <c r="P591" s="338"/>
      <c r="Q591" s="338"/>
      <c r="R591" s="338"/>
      <c r="S591" s="338"/>
      <c r="T591" s="338"/>
      <c r="U591" s="338"/>
      <c r="V591" s="338"/>
      <c r="W591" s="338"/>
      <c r="X591" s="338"/>
      <c r="Y591" s="338"/>
      <c r="Z591" s="338"/>
    </row>
    <row r="592" ht="22.5" customHeight="1">
      <c r="A592" s="528"/>
      <c r="B592" s="528"/>
      <c r="C592" s="528"/>
      <c r="D592" s="528"/>
      <c r="E592" s="528"/>
      <c r="F592" s="535"/>
      <c r="G592" s="536"/>
      <c r="H592" s="338"/>
      <c r="I592" s="338"/>
      <c r="J592" s="536"/>
      <c r="K592" s="338"/>
      <c r="L592" s="338"/>
      <c r="M592" s="338"/>
      <c r="N592" s="338"/>
      <c r="O592" s="338"/>
      <c r="P592" s="338"/>
      <c r="Q592" s="338"/>
      <c r="R592" s="338"/>
      <c r="S592" s="338"/>
      <c r="T592" s="338"/>
      <c r="U592" s="338"/>
      <c r="V592" s="338"/>
      <c r="W592" s="338"/>
      <c r="X592" s="338"/>
      <c r="Y592" s="338"/>
      <c r="Z592" s="338"/>
    </row>
    <row r="593" ht="22.5" customHeight="1">
      <c r="A593" s="528"/>
      <c r="B593" s="528"/>
      <c r="C593" s="528"/>
      <c r="D593" s="528"/>
      <c r="E593" s="528"/>
      <c r="F593" s="535"/>
      <c r="G593" s="536"/>
      <c r="H593" s="338"/>
      <c r="I593" s="338"/>
      <c r="J593" s="536"/>
      <c r="K593" s="338"/>
      <c r="L593" s="338"/>
      <c r="M593" s="338"/>
      <c r="N593" s="338"/>
      <c r="O593" s="338"/>
      <c r="P593" s="338"/>
      <c r="Q593" s="338"/>
      <c r="R593" s="338"/>
      <c r="S593" s="338"/>
      <c r="T593" s="338"/>
      <c r="U593" s="338"/>
      <c r="V593" s="338"/>
      <c r="W593" s="338"/>
      <c r="X593" s="338"/>
      <c r="Y593" s="338"/>
      <c r="Z593" s="338"/>
    </row>
    <row r="594" ht="22.5" customHeight="1">
      <c r="A594" s="528"/>
      <c r="B594" s="528"/>
      <c r="C594" s="528"/>
      <c r="D594" s="528"/>
      <c r="E594" s="528"/>
      <c r="F594" s="535"/>
      <c r="G594" s="536"/>
      <c r="H594" s="338"/>
      <c r="I594" s="338"/>
      <c r="J594" s="536"/>
      <c r="K594" s="338"/>
      <c r="L594" s="338"/>
      <c r="M594" s="338"/>
      <c r="N594" s="338"/>
      <c r="O594" s="338"/>
      <c r="P594" s="338"/>
      <c r="Q594" s="338"/>
      <c r="R594" s="338"/>
      <c r="S594" s="338"/>
      <c r="T594" s="338"/>
      <c r="U594" s="338"/>
      <c r="V594" s="338"/>
      <c r="W594" s="338"/>
      <c r="X594" s="338"/>
      <c r="Y594" s="338"/>
      <c r="Z594" s="338"/>
    </row>
    <row r="595" ht="22.5" customHeight="1">
      <c r="A595" s="528"/>
      <c r="B595" s="528"/>
      <c r="C595" s="528"/>
      <c r="D595" s="528"/>
      <c r="E595" s="528"/>
      <c r="F595" s="535"/>
      <c r="G595" s="536"/>
      <c r="H595" s="338"/>
      <c r="I595" s="338"/>
      <c r="J595" s="536"/>
      <c r="K595" s="338"/>
      <c r="L595" s="338"/>
      <c r="M595" s="338"/>
      <c r="N595" s="338"/>
      <c r="O595" s="338"/>
      <c r="P595" s="338"/>
      <c r="Q595" s="338"/>
      <c r="R595" s="338"/>
      <c r="S595" s="338"/>
      <c r="T595" s="338"/>
      <c r="U595" s="338"/>
      <c r="V595" s="338"/>
      <c r="W595" s="338"/>
      <c r="X595" s="338"/>
      <c r="Y595" s="338"/>
      <c r="Z595" s="338"/>
    </row>
    <row r="596" ht="22.5" customHeight="1">
      <c r="A596" s="528"/>
      <c r="B596" s="528"/>
      <c r="C596" s="528"/>
      <c r="D596" s="528"/>
      <c r="E596" s="528"/>
      <c r="F596" s="535"/>
      <c r="G596" s="536"/>
      <c r="H596" s="338"/>
      <c r="I596" s="338"/>
      <c r="J596" s="536"/>
      <c r="K596" s="338"/>
      <c r="L596" s="338"/>
      <c r="M596" s="338"/>
      <c r="N596" s="338"/>
      <c r="O596" s="338"/>
      <c r="P596" s="338"/>
      <c r="Q596" s="338"/>
      <c r="R596" s="338"/>
      <c r="S596" s="338"/>
      <c r="T596" s="338"/>
      <c r="U596" s="338"/>
      <c r="V596" s="338"/>
      <c r="W596" s="338"/>
      <c r="X596" s="338"/>
      <c r="Y596" s="338"/>
      <c r="Z596" s="338"/>
    </row>
    <row r="597" ht="22.5" customHeight="1">
      <c r="A597" s="528"/>
      <c r="B597" s="528"/>
      <c r="C597" s="528"/>
      <c r="D597" s="528"/>
      <c r="E597" s="528"/>
      <c r="F597" s="535"/>
      <c r="G597" s="536"/>
      <c r="H597" s="338"/>
      <c r="I597" s="338"/>
      <c r="J597" s="536"/>
      <c r="K597" s="338"/>
      <c r="L597" s="338"/>
      <c r="M597" s="338"/>
      <c r="N597" s="338"/>
      <c r="O597" s="338"/>
      <c r="P597" s="338"/>
      <c r="Q597" s="338"/>
      <c r="R597" s="338"/>
      <c r="S597" s="338"/>
      <c r="T597" s="338"/>
      <c r="U597" s="338"/>
      <c r="V597" s="338"/>
      <c r="W597" s="338"/>
      <c r="X597" s="338"/>
      <c r="Y597" s="338"/>
      <c r="Z597" s="338"/>
    </row>
    <row r="598" ht="22.5" customHeight="1">
      <c r="A598" s="528"/>
      <c r="B598" s="528"/>
      <c r="C598" s="528"/>
      <c r="D598" s="528"/>
      <c r="E598" s="528"/>
      <c r="F598" s="535"/>
      <c r="G598" s="536"/>
      <c r="H598" s="338"/>
      <c r="I598" s="338"/>
      <c r="J598" s="536"/>
      <c r="K598" s="338"/>
      <c r="L598" s="338"/>
      <c r="M598" s="338"/>
      <c r="N598" s="338"/>
      <c r="O598" s="338"/>
      <c r="P598" s="338"/>
      <c r="Q598" s="338"/>
      <c r="R598" s="338"/>
      <c r="S598" s="338"/>
      <c r="T598" s="338"/>
      <c r="U598" s="338"/>
      <c r="V598" s="338"/>
      <c r="W598" s="338"/>
      <c r="X598" s="338"/>
      <c r="Y598" s="338"/>
      <c r="Z598" s="338"/>
    </row>
    <row r="599" ht="22.5" customHeight="1">
      <c r="A599" s="528"/>
      <c r="B599" s="528"/>
      <c r="C599" s="528"/>
      <c r="D599" s="528"/>
      <c r="E599" s="528"/>
      <c r="F599" s="535"/>
      <c r="G599" s="536"/>
      <c r="H599" s="338"/>
      <c r="I599" s="338"/>
      <c r="J599" s="536"/>
      <c r="K599" s="338"/>
      <c r="L599" s="338"/>
      <c r="M599" s="338"/>
      <c r="N599" s="338"/>
      <c r="O599" s="338"/>
      <c r="P599" s="338"/>
      <c r="Q599" s="338"/>
      <c r="R599" s="338"/>
      <c r="S599" s="338"/>
      <c r="T599" s="338"/>
      <c r="U599" s="338"/>
      <c r="V599" s="338"/>
      <c r="W599" s="338"/>
      <c r="X599" s="338"/>
      <c r="Y599" s="338"/>
      <c r="Z599" s="338"/>
    </row>
    <row r="600" ht="22.5" customHeight="1">
      <c r="A600" s="528"/>
      <c r="B600" s="528"/>
      <c r="C600" s="528"/>
      <c r="D600" s="528"/>
      <c r="E600" s="528"/>
      <c r="F600" s="535"/>
      <c r="G600" s="536"/>
      <c r="H600" s="338"/>
      <c r="I600" s="338"/>
      <c r="J600" s="536"/>
      <c r="K600" s="338"/>
      <c r="L600" s="338"/>
      <c r="M600" s="338"/>
      <c r="N600" s="338"/>
      <c r="O600" s="338"/>
      <c r="P600" s="338"/>
      <c r="Q600" s="338"/>
      <c r="R600" s="338"/>
      <c r="S600" s="338"/>
      <c r="T600" s="338"/>
      <c r="U600" s="338"/>
      <c r="V600" s="338"/>
      <c r="W600" s="338"/>
      <c r="X600" s="338"/>
      <c r="Y600" s="338"/>
      <c r="Z600" s="338"/>
    </row>
    <row r="601" ht="22.5" customHeight="1">
      <c r="A601" s="528"/>
      <c r="B601" s="528"/>
      <c r="C601" s="528"/>
      <c r="D601" s="528"/>
      <c r="E601" s="528"/>
      <c r="F601" s="535"/>
      <c r="G601" s="536"/>
      <c r="H601" s="338"/>
      <c r="I601" s="338"/>
      <c r="J601" s="536"/>
      <c r="K601" s="338"/>
      <c r="L601" s="338"/>
      <c r="M601" s="338"/>
      <c r="N601" s="338"/>
      <c r="O601" s="338"/>
      <c r="P601" s="338"/>
      <c r="Q601" s="338"/>
      <c r="R601" s="338"/>
      <c r="S601" s="338"/>
      <c r="T601" s="338"/>
      <c r="U601" s="338"/>
      <c r="V601" s="338"/>
      <c r="W601" s="338"/>
      <c r="X601" s="338"/>
      <c r="Y601" s="338"/>
      <c r="Z601" s="338"/>
    </row>
    <row r="602" ht="22.5" customHeight="1">
      <c r="A602" s="528"/>
      <c r="B602" s="528"/>
      <c r="C602" s="528"/>
      <c r="D602" s="528"/>
      <c r="E602" s="528"/>
      <c r="F602" s="535"/>
      <c r="G602" s="536"/>
      <c r="H602" s="338"/>
      <c r="I602" s="338"/>
      <c r="J602" s="536"/>
      <c r="K602" s="338"/>
      <c r="L602" s="338"/>
      <c r="M602" s="338"/>
      <c r="N602" s="338"/>
      <c r="O602" s="338"/>
      <c r="P602" s="338"/>
      <c r="Q602" s="338"/>
      <c r="R602" s="338"/>
      <c r="S602" s="338"/>
      <c r="T602" s="338"/>
      <c r="U602" s="338"/>
      <c r="V602" s="338"/>
      <c r="W602" s="338"/>
      <c r="X602" s="338"/>
      <c r="Y602" s="338"/>
      <c r="Z602" s="338"/>
    </row>
    <row r="603" ht="22.5" customHeight="1">
      <c r="A603" s="528"/>
      <c r="B603" s="528"/>
      <c r="C603" s="528"/>
      <c r="D603" s="528"/>
      <c r="E603" s="528"/>
      <c r="F603" s="535"/>
      <c r="G603" s="536"/>
      <c r="H603" s="338"/>
      <c r="I603" s="338"/>
      <c r="J603" s="536"/>
      <c r="K603" s="338"/>
      <c r="L603" s="338"/>
      <c r="M603" s="338"/>
      <c r="N603" s="338"/>
      <c r="O603" s="338"/>
      <c r="P603" s="338"/>
      <c r="Q603" s="338"/>
      <c r="R603" s="338"/>
      <c r="S603" s="338"/>
      <c r="T603" s="338"/>
      <c r="U603" s="338"/>
      <c r="V603" s="338"/>
      <c r="W603" s="338"/>
      <c r="X603" s="338"/>
      <c r="Y603" s="338"/>
      <c r="Z603" s="338"/>
    </row>
    <row r="604" ht="22.5" customHeight="1">
      <c r="A604" s="528"/>
      <c r="B604" s="528"/>
      <c r="C604" s="528"/>
      <c r="D604" s="528"/>
      <c r="E604" s="528"/>
      <c r="F604" s="535"/>
      <c r="G604" s="536"/>
      <c r="H604" s="338"/>
      <c r="I604" s="338"/>
      <c r="J604" s="536"/>
      <c r="K604" s="338"/>
      <c r="L604" s="338"/>
      <c r="M604" s="338"/>
      <c r="N604" s="338"/>
      <c r="O604" s="338"/>
      <c r="P604" s="338"/>
      <c r="Q604" s="338"/>
      <c r="R604" s="338"/>
      <c r="S604" s="338"/>
      <c r="T604" s="338"/>
      <c r="U604" s="338"/>
      <c r="V604" s="338"/>
      <c r="W604" s="338"/>
      <c r="X604" s="338"/>
      <c r="Y604" s="338"/>
      <c r="Z604" s="338"/>
    </row>
    <row r="605" ht="22.5" customHeight="1">
      <c r="A605" s="528"/>
      <c r="B605" s="528"/>
      <c r="C605" s="528"/>
      <c r="D605" s="528"/>
      <c r="E605" s="528"/>
      <c r="F605" s="535"/>
      <c r="G605" s="536"/>
      <c r="H605" s="338"/>
      <c r="I605" s="338"/>
      <c r="J605" s="536"/>
      <c r="K605" s="338"/>
      <c r="L605" s="338"/>
      <c r="M605" s="338"/>
      <c r="N605" s="338"/>
      <c r="O605" s="338"/>
      <c r="P605" s="338"/>
      <c r="Q605" s="338"/>
      <c r="R605" s="338"/>
      <c r="S605" s="338"/>
      <c r="T605" s="338"/>
      <c r="U605" s="338"/>
      <c r="V605" s="338"/>
      <c r="W605" s="338"/>
      <c r="X605" s="338"/>
      <c r="Y605" s="338"/>
      <c r="Z605" s="338"/>
    </row>
    <row r="606" ht="22.5" customHeight="1">
      <c r="A606" s="528"/>
      <c r="B606" s="528"/>
      <c r="C606" s="528"/>
      <c r="D606" s="528"/>
      <c r="E606" s="528"/>
      <c r="F606" s="535"/>
      <c r="G606" s="536"/>
      <c r="H606" s="338"/>
      <c r="I606" s="338"/>
      <c r="J606" s="536"/>
      <c r="K606" s="338"/>
      <c r="L606" s="338"/>
      <c r="M606" s="338"/>
      <c r="N606" s="338"/>
      <c r="O606" s="338"/>
      <c r="P606" s="338"/>
      <c r="Q606" s="338"/>
      <c r="R606" s="338"/>
      <c r="S606" s="338"/>
      <c r="T606" s="338"/>
      <c r="U606" s="338"/>
      <c r="V606" s="338"/>
      <c r="W606" s="338"/>
      <c r="X606" s="338"/>
      <c r="Y606" s="338"/>
      <c r="Z606" s="338"/>
    </row>
    <row r="607" ht="22.5" customHeight="1">
      <c r="A607" s="528"/>
      <c r="B607" s="528"/>
      <c r="C607" s="528"/>
      <c r="D607" s="528"/>
      <c r="E607" s="528"/>
      <c r="F607" s="535"/>
      <c r="G607" s="536"/>
      <c r="H607" s="338"/>
      <c r="I607" s="338"/>
      <c r="J607" s="536"/>
      <c r="K607" s="338"/>
      <c r="L607" s="338"/>
      <c r="M607" s="338"/>
      <c r="N607" s="338"/>
      <c r="O607" s="338"/>
      <c r="P607" s="338"/>
      <c r="Q607" s="338"/>
      <c r="R607" s="338"/>
      <c r="S607" s="338"/>
      <c r="T607" s="338"/>
      <c r="U607" s="338"/>
      <c r="V607" s="338"/>
      <c r="W607" s="338"/>
      <c r="X607" s="338"/>
      <c r="Y607" s="338"/>
      <c r="Z607" s="338"/>
    </row>
    <row r="608" ht="22.5" customHeight="1">
      <c r="A608" s="528"/>
      <c r="B608" s="528"/>
      <c r="C608" s="528"/>
      <c r="D608" s="528"/>
      <c r="E608" s="528"/>
      <c r="F608" s="535"/>
      <c r="G608" s="536"/>
      <c r="H608" s="338"/>
      <c r="I608" s="338"/>
      <c r="J608" s="536"/>
      <c r="K608" s="338"/>
      <c r="L608" s="338"/>
      <c r="M608" s="338"/>
      <c r="N608" s="338"/>
      <c r="O608" s="338"/>
      <c r="P608" s="338"/>
      <c r="Q608" s="338"/>
      <c r="R608" s="338"/>
      <c r="S608" s="338"/>
      <c r="T608" s="338"/>
      <c r="U608" s="338"/>
      <c r="V608" s="338"/>
      <c r="W608" s="338"/>
      <c r="X608" s="338"/>
      <c r="Y608" s="338"/>
      <c r="Z608" s="338"/>
    </row>
    <row r="609" ht="22.5" customHeight="1">
      <c r="A609" s="528"/>
      <c r="B609" s="528"/>
      <c r="C609" s="528"/>
      <c r="D609" s="528"/>
      <c r="E609" s="528"/>
      <c r="F609" s="535"/>
      <c r="G609" s="536"/>
      <c r="H609" s="338"/>
      <c r="I609" s="338"/>
      <c r="J609" s="536"/>
      <c r="K609" s="338"/>
      <c r="L609" s="338"/>
      <c r="M609" s="338"/>
      <c r="N609" s="338"/>
      <c r="O609" s="338"/>
      <c r="P609" s="338"/>
      <c r="Q609" s="338"/>
      <c r="R609" s="338"/>
      <c r="S609" s="338"/>
      <c r="T609" s="338"/>
      <c r="U609" s="338"/>
      <c r="V609" s="338"/>
      <c r="W609" s="338"/>
      <c r="X609" s="338"/>
      <c r="Y609" s="338"/>
      <c r="Z609" s="338"/>
    </row>
    <row r="610" ht="22.5" customHeight="1">
      <c r="A610" s="528"/>
      <c r="B610" s="528"/>
      <c r="C610" s="528"/>
      <c r="D610" s="528"/>
      <c r="E610" s="528"/>
      <c r="F610" s="535"/>
      <c r="G610" s="536"/>
      <c r="H610" s="338"/>
      <c r="I610" s="338"/>
      <c r="J610" s="536"/>
      <c r="K610" s="338"/>
      <c r="L610" s="338"/>
      <c r="M610" s="338"/>
      <c r="N610" s="338"/>
      <c r="O610" s="338"/>
      <c r="P610" s="338"/>
      <c r="Q610" s="338"/>
      <c r="R610" s="338"/>
      <c r="S610" s="338"/>
      <c r="T610" s="338"/>
      <c r="U610" s="338"/>
      <c r="V610" s="338"/>
      <c r="W610" s="338"/>
      <c r="X610" s="338"/>
      <c r="Y610" s="338"/>
      <c r="Z610" s="338"/>
    </row>
    <row r="611" ht="22.5" customHeight="1">
      <c r="A611" s="528"/>
      <c r="B611" s="528"/>
      <c r="C611" s="528"/>
      <c r="D611" s="528"/>
      <c r="E611" s="528"/>
      <c r="F611" s="535"/>
      <c r="G611" s="536"/>
      <c r="H611" s="338"/>
      <c r="I611" s="338"/>
      <c r="J611" s="536"/>
      <c r="K611" s="338"/>
      <c r="L611" s="338"/>
      <c r="M611" s="338"/>
      <c r="N611" s="338"/>
      <c r="O611" s="338"/>
      <c r="P611" s="338"/>
      <c r="Q611" s="338"/>
      <c r="R611" s="338"/>
      <c r="S611" s="338"/>
      <c r="T611" s="338"/>
      <c r="U611" s="338"/>
      <c r="V611" s="338"/>
      <c r="W611" s="338"/>
      <c r="X611" s="338"/>
      <c r="Y611" s="338"/>
      <c r="Z611" s="338"/>
    </row>
    <row r="612" ht="22.5" customHeight="1">
      <c r="A612" s="528"/>
      <c r="B612" s="528"/>
      <c r="C612" s="528"/>
      <c r="D612" s="528"/>
      <c r="E612" s="528"/>
      <c r="F612" s="535"/>
      <c r="G612" s="536"/>
      <c r="H612" s="338"/>
      <c r="I612" s="338"/>
      <c r="J612" s="536"/>
      <c r="K612" s="338"/>
      <c r="L612" s="338"/>
      <c r="M612" s="338"/>
      <c r="N612" s="338"/>
      <c r="O612" s="338"/>
      <c r="P612" s="338"/>
      <c r="Q612" s="338"/>
      <c r="R612" s="338"/>
      <c r="S612" s="338"/>
      <c r="T612" s="338"/>
      <c r="U612" s="338"/>
      <c r="V612" s="338"/>
      <c r="W612" s="338"/>
      <c r="X612" s="338"/>
      <c r="Y612" s="338"/>
      <c r="Z612" s="338"/>
    </row>
    <row r="613" ht="22.5" customHeight="1">
      <c r="A613" s="528"/>
      <c r="B613" s="528"/>
      <c r="C613" s="528"/>
      <c r="D613" s="528"/>
      <c r="E613" s="528"/>
      <c r="F613" s="535"/>
      <c r="G613" s="536"/>
      <c r="H613" s="338"/>
      <c r="I613" s="338"/>
      <c r="J613" s="536"/>
      <c r="K613" s="338"/>
      <c r="L613" s="338"/>
      <c r="M613" s="338"/>
      <c r="N613" s="338"/>
      <c r="O613" s="338"/>
      <c r="P613" s="338"/>
      <c r="Q613" s="338"/>
      <c r="R613" s="338"/>
      <c r="S613" s="338"/>
      <c r="T613" s="338"/>
      <c r="U613" s="338"/>
      <c r="V613" s="338"/>
      <c r="W613" s="338"/>
      <c r="X613" s="338"/>
      <c r="Y613" s="338"/>
      <c r="Z613" s="338"/>
    </row>
    <row r="614" ht="22.5" customHeight="1">
      <c r="A614" s="528"/>
      <c r="B614" s="528"/>
      <c r="C614" s="528"/>
      <c r="D614" s="528"/>
      <c r="E614" s="528"/>
      <c r="F614" s="535"/>
      <c r="G614" s="536"/>
      <c r="H614" s="338"/>
      <c r="I614" s="338"/>
      <c r="J614" s="536"/>
      <c r="K614" s="338"/>
      <c r="L614" s="338"/>
      <c r="M614" s="338"/>
      <c r="N614" s="338"/>
      <c r="O614" s="338"/>
      <c r="P614" s="338"/>
      <c r="Q614" s="338"/>
      <c r="R614" s="338"/>
      <c r="S614" s="338"/>
      <c r="T614" s="338"/>
      <c r="U614" s="338"/>
      <c r="V614" s="338"/>
      <c r="W614" s="338"/>
      <c r="X614" s="338"/>
      <c r="Y614" s="338"/>
      <c r="Z614" s="338"/>
    </row>
    <row r="615" ht="22.5" customHeight="1">
      <c r="A615" s="528"/>
      <c r="B615" s="528"/>
      <c r="C615" s="528"/>
      <c r="D615" s="528"/>
      <c r="E615" s="528"/>
      <c r="F615" s="535"/>
      <c r="G615" s="536"/>
      <c r="H615" s="338"/>
      <c r="I615" s="338"/>
      <c r="J615" s="536"/>
      <c r="K615" s="338"/>
      <c r="L615" s="338"/>
      <c r="M615" s="338"/>
      <c r="N615" s="338"/>
      <c r="O615" s="338"/>
      <c r="P615" s="338"/>
      <c r="Q615" s="338"/>
      <c r="R615" s="338"/>
      <c r="S615" s="338"/>
      <c r="T615" s="338"/>
      <c r="U615" s="338"/>
      <c r="V615" s="338"/>
      <c r="W615" s="338"/>
      <c r="X615" s="338"/>
      <c r="Y615" s="338"/>
      <c r="Z615" s="338"/>
    </row>
    <row r="616" ht="22.5" customHeight="1">
      <c r="A616" s="528"/>
      <c r="B616" s="528"/>
      <c r="C616" s="528"/>
      <c r="D616" s="528"/>
      <c r="E616" s="528"/>
      <c r="F616" s="535"/>
      <c r="G616" s="536"/>
      <c r="H616" s="338"/>
      <c r="I616" s="338"/>
      <c r="J616" s="536"/>
      <c r="K616" s="338"/>
      <c r="L616" s="338"/>
      <c r="M616" s="338"/>
      <c r="N616" s="338"/>
      <c r="O616" s="338"/>
      <c r="P616" s="338"/>
      <c r="Q616" s="338"/>
      <c r="R616" s="338"/>
      <c r="S616" s="338"/>
      <c r="T616" s="338"/>
      <c r="U616" s="338"/>
      <c r="V616" s="338"/>
      <c r="W616" s="338"/>
      <c r="X616" s="338"/>
      <c r="Y616" s="338"/>
      <c r="Z616" s="338"/>
    </row>
    <row r="617" ht="22.5" customHeight="1">
      <c r="A617" s="528"/>
      <c r="B617" s="528"/>
      <c r="C617" s="528"/>
      <c r="D617" s="528"/>
      <c r="E617" s="528"/>
      <c r="F617" s="535"/>
      <c r="G617" s="536"/>
      <c r="H617" s="338"/>
      <c r="I617" s="338"/>
      <c r="J617" s="536"/>
      <c r="K617" s="338"/>
      <c r="L617" s="338"/>
      <c r="M617" s="338"/>
      <c r="N617" s="338"/>
      <c r="O617" s="338"/>
      <c r="P617" s="338"/>
      <c r="Q617" s="338"/>
      <c r="R617" s="338"/>
      <c r="S617" s="338"/>
      <c r="T617" s="338"/>
      <c r="U617" s="338"/>
      <c r="V617" s="338"/>
      <c r="W617" s="338"/>
      <c r="X617" s="338"/>
      <c r="Y617" s="338"/>
      <c r="Z617" s="338"/>
    </row>
    <row r="618" ht="22.5" customHeight="1">
      <c r="A618" s="528"/>
      <c r="B618" s="528"/>
      <c r="C618" s="528"/>
      <c r="D618" s="528"/>
      <c r="E618" s="528"/>
      <c r="F618" s="535"/>
      <c r="G618" s="536"/>
      <c r="H618" s="338"/>
      <c r="I618" s="338"/>
      <c r="J618" s="536"/>
      <c r="K618" s="338"/>
      <c r="L618" s="338"/>
      <c r="M618" s="338"/>
      <c r="N618" s="338"/>
      <c r="O618" s="338"/>
      <c r="P618" s="338"/>
      <c r="Q618" s="338"/>
      <c r="R618" s="338"/>
      <c r="S618" s="338"/>
      <c r="T618" s="338"/>
      <c r="U618" s="338"/>
      <c r="V618" s="338"/>
      <c r="W618" s="338"/>
      <c r="X618" s="338"/>
      <c r="Y618" s="338"/>
      <c r="Z618" s="338"/>
    </row>
    <row r="619" ht="22.5" customHeight="1">
      <c r="A619" s="528"/>
      <c r="B619" s="528"/>
      <c r="C619" s="528"/>
      <c r="D619" s="528"/>
      <c r="E619" s="528"/>
      <c r="F619" s="535"/>
      <c r="G619" s="536"/>
      <c r="H619" s="338"/>
      <c r="I619" s="338"/>
      <c r="J619" s="536"/>
      <c r="K619" s="338"/>
      <c r="L619" s="338"/>
      <c r="M619" s="338"/>
      <c r="N619" s="338"/>
      <c r="O619" s="338"/>
      <c r="P619" s="338"/>
      <c r="Q619" s="338"/>
      <c r="R619" s="338"/>
      <c r="S619" s="338"/>
      <c r="T619" s="338"/>
      <c r="U619" s="338"/>
      <c r="V619" s="338"/>
      <c r="W619" s="338"/>
      <c r="X619" s="338"/>
      <c r="Y619" s="338"/>
      <c r="Z619" s="338"/>
    </row>
    <row r="620" ht="22.5" customHeight="1">
      <c r="A620" s="528"/>
      <c r="B620" s="528"/>
      <c r="C620" s="528"/>
      <c r="D620" s="528"/>
      <c r="E620" s="528"/>
      <c r="F620" s="535"/>
      <c r="G620" s="536"/>
      <c r="H620" s="338"/>
      <c r="I620" s="338"/>
      <c r="J620" s="536"/>
      <c r="K620" s="338"/>
      <c r="L620" s="338"/>
      <c r="M620" s="338"/>
      <c r="N620" s="338"/>
      <c r="O620" s="338"/>
      <c r="P620" s="338"/>
      <c r="Q620" s="338"/>
      <c r="R620" s="338"/>
      <c r="S620" s="338"/>
      <c r="T620" s="338"/>
      <c r="U620" s="338"/>
      <c r="V620" s="338"/>
      <c r="W620" s="338"/>
      <c r="X620" s="338"/>
      <c r="Y620" s="338"/>
      <c r="Z620" s="338"/>
    </row>
    <row r="621" ht="22.5" customHeight="1">
      <c r="A621" s="528"/>
      <c r="B621" s="528"/>
      <c r="C621" s="528"/>
      <c r="D621" s="528"/>
      <c r="E621" s="528"/>
      <c r="F621" s="535"/>
      <c r="G621" s="536"/>
      <c r="H621" s="338"/>
      <c r="I621" s="338"/>
      <c r="J621" s="536"/>
      <c r="K621" s="338"/>
      <c r="L621" s="338"/>
      <c r="M621" s="338"/>
      <c r="N621" s="338"/>
      <c r="O621" s="338"/>
      <c r="P621" s="338"/>
      <c r="Q621" s="338"/>
      <c r="R621" s="338"/>
      <c r="S621" s="338"/>
      <c r="T621" s="338"/>
      <c r="U621" s="338"/>
      <c r="V621" s="338"/>
      <c r="W621" s="338"/>
      <c r="X621" s="338"/>
      <c r="Y621" s="338"/>
      <c r="Z621" s="338"/>
    </row>
    <row r="622" ht="22.5" customHeight="1">
      <c r="A622" s="528"/>
      <c r="B622" s="528"/>
      <c r="C622" s="528"/>
      <c r="D622" s="528"/>
      <c r="E622" s="528"/>
      <c r="F622" s="535"/>
      <c r="G622" s="536"/>
      <c r="H622" s="338"/>
      <c r="I622" s="338"/>
      <c r="J622" s="536"/>
      <c r="K622" s="338"/>
      <c r="L622" s="338"/>
      <c r="M622" s="338"/>
      <c r="N622" s="338"/>
      <c r="O622" s="338"/>
      <c r="P622" s="338"/>
      <c r="Q622" s="338"/>
      <c r="R622" s="338"/>
      <c r="S622" s="338"/>
      <c r="T622" s="338"/>
      <c r="U622" s="338"/>
      <c r="V622" s="338"/>
      <c r="W622" s="338"/>
      <c r="X622" s="338"/>
      <c r="Y622" s="338"/>
      <c r="Z622" s="338"/>
    </row>
    <row r="623" ht="22.5" customHeight="1">
      <c r="A623" s="528"/>
      <c r="B623" s="528"/>
      <c r="C623" s="528"/>
      <c r="D623" s="528"/>
      <c r="E623" s="528"/>
      <c r="F623" s="535"/>
      <c r="G623" s="536"/>
      <c r="H623" s="338"/>
      <c r="I623" s="338"/>
      <c r="J623" s="536"/>
      <c r="K623" s="338"/>
      <c r="L623" s="338"/>
      <c r="M623" s="338"/>
      <c r="N623" s="338"/>
      <c r="O623" s="338"/>
      <c r="P623" s="338"/>
      <c r="Q623" s="338"/>
      <c r="R623" s="338"/>
      <c r="S623" s="338"/>
      <c r="T623" s="338"/>
      <c r="U623" s="338"/>
      <c r="V623" s="338"/>
      <c r="W623" s="338"/>
      <c r="X623" s="338"/>
      <c r="Y623" s="338"/>
      <c r="Z623" s="338"/>
    </row>
    <row r="624" ht="22.5" customHeight="1">
      <c r="A624" s="528"/>
      <c r="B624" s="528"/>
      <c r="C624" s="528"/>
      <c r="D624" s="528"/>
      <c r="E624" s="528"/>
      <c r="F624" s="535"/>
      <c r="G624" s="536"/>
      <c r="H624" s="338"/>
      <c r="I624" s="338"/>
      <c r="J624" s="536"/>
      <c r="K624" s="338"/>
      <c r="L624" s="338"/>
      <c r="M624" s="338"/>
      <c r="N624" s="338"/>
      <c r="O624" s="338"/>
      <c r="P624" s="338"/>
      <c r="Q624" s="338"/>
      <c r="R624" s="338"/>
      <c r="S624" s="338"/>
      <c r="T624" s="338"/>
      <c r="U624" s="338"/>
      <c r="V624" s="338"/>
      <c r="W624" s="338"/>
      <c r="X624" s="338"/>
      <c r="Y624" s="338"/>
      <c r="Z624" s="338"/>
    </row>
    <row r="625" ht="22.5" customHeight="1">
      <c r="A625" s="528"/>
      <c r="B625" s="528"/>
      <c r="C625" s="528"/>
      <c r="D625" s="528"/>
      <c r="E625" s="528"/>
      <c r="F625" s="535"/>
      <c r="G625" s="536"/>
      <c r="H625" s="338"/>
      <c r="I625" s="338"/>
      <c r="J625" s="536"/>
      <c r="K625" s="338"/>
      <c r="L625" s="338"/>
      <c r="M625" s="338"/>
      <c r="N625" s="338"/>
      <c r="O625" s="338"/>
      <c r="P625" s="338"/>
      <c r="Q625" s="338"/>
      <c r="R625" s="338"/>
      <c r="S625" s="338"/>
      <c r="T625" s="338"/>
      <c r="U625" s="338"/>
      <c r="V625" s="338"/>
      <c r="W625" s="338"/>
      <c r="X625" s="338"/>
      <c r="Y625" s="338"/>
      <c r="Z625" s="338"/>
    </row>
    <row r="626" ht="22.5" customHeight="1">
      <c r="A626" s="528"/>
      <c r="B626" s="528"/>
      <c r="C626" s="528"/>
      <c r="D626" s="528"/>
      <c r="E626" s="528"/>
      <c r="F626" s="535"/>
      <c r="G626" s="536"/>
      <c r="H626" s="338"/>
      <c r="I626" s="338"/>
      <c r="J626" s="536"/>
      <c r="K626" s="338"/>
      <c r="L626" s="338"/>
      <c r="M626" s="338"/>
      <c r="N626" s="338"/>
      <c r="O626" s="338"/>
      <c r="P626" s="338"/>
      <c r="Q626" s="338"/>
      <c r="R626" s="338"/>
      <c r="S626" s="338"/>
      <c r="T626" s="338"/>
      <c r="U626" s="338"/>
      <c r="V626" s="338"/>
      <c r="W626" s="338"/>
      <c r="X626" s="338"/>
      <c r="Y626" s="338"/>
      <c r="Z626" s="338"/>
    </row>
    <row r="627" ht="22.5" customHeight="1">
      <c r="A627" s="528"/>
      <c r="B627" s="528"/>
      <c r="C627" s="528"/>
      <c r="D627" s="528"/>
      <c r="E627" s="528"/>
      <c r="F627" s="535"/>
      <c r="G627" s="536"/>
      <c r="H627" s="338"/>
      <c r="I627" s="338"/>
      <c r="J627" s="536"/>
      <c r="K627" s="338"/>
      <c r="L627" s="338"/>
      <c r="M627" s="338"/>
      <c r="N627" s="338"/>
      <c r="O627" s="338"/>
      <c r="P627" s="338"/>
      <c r="Q627" s="338"/>
      <c r="R627" s="338"/>
      <c r="S627" s="338"/>
      <c r="T627" s="338"/>
      <c r="U627" s="338"/>
      <c r="V627" s="338"/>
      <c r="W627" s="338"/>
      <c r="X627" s="338"/>
      <c r="Y627" s="338"/>
      <c r="Z627" s="338"/>
    </row>
    <row r="628" ht="22.5" customHeight="1">
      <c r="A628" s="528"/>
      <c r="B628" s="528"/>
      <c r="C628" s="528"/>
      <c r="D628" s="528"/>
      <c r="E628" s="528"/>
      <c r="F628" s="535"/>
      <c r="G628" s="536"/>
      <c r="H628" s="338"/>
      <c r="I628" s="338"/>
      <c r="J628" s="536"/>
      <c r="K628" s="338"/>
      <c r="L628" s="338"/>
      <c r="M628" s="338"/>
      <c r="N628" s="338"/>
      <c r="O628" s="338"/>
      <c r="P628" s="338"/>
      <c r="Q628" s="338"/>
      <c r="R628" s="338"/>
      <c r="S628" s="338"/>
      <c r="T628" s="338"/>
      <c r="U628" s="338"/>
      <c r="V628" s="338"/>
      <c r="W628" s="338"/>
      <c r="X628" s="338"/>
      <c r="Y628" s="338"/>
      <c r="Z628" s="338"/>
    </row>
    <row r="629" ht="22.5" customHeight="1">
      <c r="A629" s="528"/>
      <c r="B629" s="528"/>
      <c r="C629" s="528"/>
      <c r="D629" s="528"/>
      <c r="E629" s="528"/>
      <c r="F629" s="535"/>
      <c r="G629" s="536"/>
      <c r="H629" s="338"/>
      <c r="I629" s="338"/>
      <c r="J629" s="536"/>
      <c r="K629" s="338"/>
      <c r="L629" s="338"/>
      <c r="M629" s="338"/>
      <c r="N629" s="338"/>
      <c r="O629" s="338"/>
      <c r="P629" s="338"/>
      <c r="Q629" s="338"/>
      <c r="R629" s="338"/>
      <c r="S629" s="338"/>
      <c r="T629" s="338"/>
      <c r="U629" s="338"/>
      <c r="V629" s="338"/>
      <c r="W629" s="338"/>
      <c r="X629" s="338"/>
      <c r="Y629" s="338"/>
      <c r="Z629" s="338"/>
    </row>
    <row r="630" ht="22.5" customHeight="1">
      <c r="A630" s="528"/>
      <c r="B630" s="528"/>
      <c r="C630" s="528"/>
      <c r="D630" s="528"/>
      <c r="E630" s="528"/>
      <c r="F630" s="535"/>
      <c r="G630" s="536"/>
      <c r="H630" s="338"/>
      <c r="I630" s="338"/>
      <c r="J630" s="536"/>
      <c r="K630" s="338"/>
      <c r="L630" s="338"/>
      <c r="M630" s="338"/>
      <c r="N630" s="338"/>
      <c r="O630" s="338"/>
      <c r="P630" s="338"/>
      <c r="Q630" s="338"/>
      <c r="R630" s="338"/>
      <c r="S630" s="338"/>
      <c r="T630" s="338"/>
      <c r="U630" s="338"/>
      <c r="V630" s="338"/>
      <c r="W630" s="338"/>
      <c r="X630" s="338"/>
      <c r="Y630" s="338"/>
      <c r="Z630" s="338"/>
    </row>
    <row r="631" ht="22.5" customHeight="1">
      <c r="A631" s="528"/>
      <c r="B631" s="528"/>
      <c r="C631" s="528"/>
      <c r="D631" s="528"/>
      <c r="E631" s="528"/>
      <c r="F631" s="535"/>
      <c r="G631" s="536"/>
      <c r="H631" s="338"/>
      <c r="I631" s="338"/>
      <c r="J631" s="536"/>
      <c r="K631" s="338"/>
      <c r="L631" s="338"/>
      <c r="M631" s="338"/>
      <c r="N631" s="338"/>
      <c r="O631" s="338"/>
      <c r="P631" s="338"/>
      <c r="Q631" s="338"/>
      <c r="R631" s="338"/>
      <c r="S631" s="338"/>
      <c r="T631" s="338"/>
      <c r="U631" s="338"/>
      <c r="V631" s="338"/>
      <c r="W631" s="338"/>
      <c r="X631" s="338"/>
      <c r="Y631" s="338"/>
      <c r="Z631" s="338"/>
    </row>
    <row r="632" ht="22.5" customHeight="1">
      <c r="A632" s="528"/>
      <c r="B632" s="528"/>
      <c r="C632" s="528"/>
      <c r="D632" s="528"/>
      <c r="E632" s="528"/>
      <c r="F632" s="535"/>
      <c r="G632" s="536"/>
      <c r="H632" s="338"/>
      <c r="I632" s="338"/>
      <c r="J632" s="536"/>
      <c r="K632" s="338"/>
      <c r="L632" s="338"/>
      <c r="M632" s="338"/>
      <c r="N632" s="338"/>
      <c r="O632" s="338"/>
      <c r="P632" s="338"/>
      <c r="Q632" s="338"/>
      <c r="R632" s="338"/>
      <c r="S632" s="338"/>
      <c r="T632" s="338"/>
      <c r="U632" s="338"/>
      <c r="V632" s="338"/>
      <c r="W632" s="338"/>
      <c r="X632" s="338"/>
      <c r="Y632" s="338"/>
      <c r="Z632" s="338"/>
    </row>
    <row r="633" ht="22.5" customHeight="1">
      <c r="A633" s="528"/>
      <c r="B633" s="528"/>
      <c r="C633" s="528"/>
      <c r="D633" s="528"/>
      <c r="E633" s="528"/>
      <c r="F633" s="535"/>
      <c r="G633" s="536"/>
      <c r="H633" s="338"/>
      <c r="I633" s="338"/>
      <c r="J633" s="536"/>
      <c r="K633" s="338"/>
      <c r="L633" s="338"/>
      <c r="M633" s="338"/>
      <c r="N633" s="338"/>
      <c r="O633" s="338"/>
      <c r="P633" s="338"/>
      <c r="Q633" s="338"/>
      <c r="R633" s="338"/>
      <c r="S633" s="338"/>
      <c r="T633" s="338"/>
      <c r="U633" s="338"/>
      <c r="V633" s="338"/>
      <c r="W633" s="338"/>
      <c r="X633" s="338"/>
      <c r="Y633" s="338"/>
      <c r="Z633" s="338"/>
    </row>
    <row r="634" ht="22.5" customHeight="1">
      <c r="A634" s="528"/>
      <c r="B634" s="528"/>
      <c r="C634" s="528"/>
      <c r="D634" s="528"/>
      <c r="E634" s="528"/>
      <c r="F634" s="535"/>
      <c r="G634" s="536"/>
      <c r="H634" s="338"/>
      <c r="I634" s="338"/>
      <c r="J634" s="536"/>
      <c r="K634" s="338"/>
      <c r="L634" s="338"/>
      <c r="M634" s="338"/>
      <c r="N634" s="338"/>
      <c r="O634" s="338"/>
      <c r="P634" s="338"/>
      <c r="Q634" s="338"/>
      <c r="R634" s="338"/>
      <c r="S634" s="338"/>
      <c r="T634" s="338"/>
      <c r="U634" s="338"/>
      <c r="V634" s="338"/>
      <c r="W634" s="338"/>
      <c r="X634" s="338"/>
      <c r="Y634" s="338"/>
      <c r="Z634" s="338"/>
    </row>
    <row r="635" ht="22.5" customHeight="1">
      <c r="A635" s="528"/>
      <c r="B635" s="528"/>
      <c r="C635" s="528"/>
      <c r="D635" s="528"/>
      <c r="E635" s="528"/>
      <c r="F635" s="535"/>
      <c r="G635" s="536"/>
      <c r="H635" s="338"/>
      <c r="I635" s="338"/>
      <c r="J635" s="536"/>
      <c r="K635" s="338"/>
      <c r="L635" s="338"/>
      <c r="M635" s="338"/>
      <c r="N635" s="338"/>
      <c r="O635" s="338"/>
      <c r="P635" s="338"/>
      <c r="Q635" s="338"/>
      <c r="R635" s="338"/>
      <c r="S635" s="338"/>
      <c r="T635" s="338"/>
      <c r="U635" s="338"/>
      <c r="V635" s="338"/>
      <c r="W635" s="338"/>
      <c r="X635" s="338"/>
      <c r="Y635" s="338"/>
      <c r="Z635" s="338"/>
    </row>
    <row r="636" ht="22.5" customHeight="1">
      <c r="A636" s="528"/>
      <c r="B636" s="528"/>
      <c r="C636" s="528"/>
      <c r="D636" s="528"/>
      <c r="E636" s="528"/>
      <c r="F636" s="535"/>
      <c r="G636" s="536"/>
      <c r="H636" s="338"/>
      <c r="I636" s="338"/>
      <c r="J636" s="536"/>
      <c r="K636" s="338"/>
      <c r="L636" s="338"/>
      <c r="M636" s="338"/>
      <c r="N636" s="338"/>
      <c r="O636" s="338"/>
      <c r="P636" s="338"/>
      <c r="Q636" s="338"/>
      <c r="R636" s="338"/>
      <c r="S636" s="338"/>
      <c r="T636" s="338"/>
      <c r="U636" s="338"/>
      <c r="V636" s="338"/>
      <c r="W636" s="338"/>
      <c r="X636" s="338"/>
      <c r="Y636" s="338"/>
      <c r="Z636" s="338"/>
    </row>
    <row r="637" ht="22.5" customHeight="1">
      <c r="A637" s="528"/>
      <c r="B637" s="528"/>
      <c r="C637" s="528"/>
      <c r="D637" s="528"/>
      <c r="E637" s="528"/>
      <c r="F637" s="535"/>
      <c r="G637" s="536"/>
      <c r="H637" s="338"/>
      <c r="I637" s="338"/>
      <c r="J637" s="536"/>
      <c r="K637" s="338"/>
      <c r="L637" s="338"/>
      <c r="M637" s="338"/>
      <c r="N637" s="338"/>
      <c r="O637" s="338"/>
      <c r="P637" s="338"/>
      <c r="Q637" s="338"/>
      <c r="R637" s="338"/>
      <c r="S637" s="338"/>
      <c r="T637" s="338"/>
      <c r="U637" s="338"/>
      <c r="V637" s="338"/>
      <c r="W637" s="338"/>
      <c r="X637" s="338"/>
      <c r="Y637" s="338"/>
      <c r="Z637" s="338"/>
    </row>
    <row r="638" ht="22.5" customHeight="1">
      <c r="A638" s="528"/>
      <c r="B638" s="528"/>
      <c r="C638" s="528"/>
      <c r="D638" s="528"/>
      <c r="E638" s="528"/>
      <c r="F638" s="535"/>
      <c r="G638" s="536"/>
      <c r="H638" s="338"/>
      <c r="I638" s="338"/>
      <c r="J638" s="536"/>
      <c r="K638" s="338"/>
      <c r="L638" s="338"/>
      <c r="M638" s="338"/>
      <c r="N638" s="338"/>
      <c r="O638" s="338"/>
      <c r="P638" s="338"/>
      <c r="Q638" s="338"/>
      <c r="R638" s="338"/>
      <c r="S638" s="338"/>
      <c r="T638" s="338"/>
      <c r="U638" s="338"/>
      <c r="V638" s="338"/>
      <c r="W638" s="338"/>
      <c r="X638" s="338"/>
      <c r="Y638" s="338"/>
      <c r="Z638" s="338"/>
    </row>
    <row r="639" ht="22.5" customHeight="1">
      <c r="A639" s="528"/>
      <c r="B639" s="528"/>
      <c r="C639" s="528"/>
      <c r="D639" s="528"/>
      <c r="E639" s="528"/>
      <c r="F639" s="535"/>
      <c r="G639" s="536"/>
      <c r="H639" s="338"/>
      <c r="I639" s="338"/>
      <c r="J639" s="536"/>
      <c r="K639" s="338"/>
      <c r="L639" s="338"/>
      <c r="M639" s="338"/>
      <c r="N639" s="338"/>
      <c r="O639" s="338"/>
      <c r="P639" s="338"/>
      <c r="Q639" s="338"/>
      <c r="R639" s="338"/>
      <c r="S639" s="338"/>
      <c r="T639" s="338"/>
      <c r="U639" s="338"/>
      <c r="V639" s="338"/>
      <c r="W639" s="338"/>
      <c r="X639" s="338"/>
      <c r="Y639" s="338"/>
      <c r="Z639" s="338"/>
    </row>
    <row r="640" ht="22.5" customHeight="1">
      <c r="A640" s="528"/>
      <c r="B640" s="528"/>
      <c r="C640" s="528"/>
      <c r="D640" s="528"/>
      <c r="E640" s="528"/>
      <c r="F640" s="535"/>
      <c r="G640" s="536"/>
      <c r="H640" s="338"/>
      <c r="I640" s="338"/>
      <c r="J640" s="536"/>
      <c r="K640" s="338"/>
      <c r="L640" s="338"/>
      <c r="M640" s="338"/>
      <c r="N640" s="338"/>
      <c r="O640" s="338"/>
      <c r="P640" s="338"/>
      <c r="Q640" s="338"/>
      <c r="R640" s="338"/>
      <c r="S640" s="338"/>
      <c r="T640" s="338"/>
      <c r="U640" s="338"/>
      <c r="V640" s="338"/>
      <c r="W640" s="338"/>
      <c r="X640" s="338"/>
      <c r="Y640" s="338"/>
      <c r="Z640" s="338"/>
    </row>
    <row r="641" ht="22.5" customHeight="1">
      <c r="A641" s="528"/>
      <c r="B641" s="528"/>
      <c r="C641" s="528"/>
      <c r="D641" s="528"/>
      <c r="E641" s="528"/>
      <c r="F641" s="535"/>
      <c r="G641" s="536"/>
      <c r="H641" s="338"/>
      <c r="I641" s="338"/>
      <c r="J641" s="536"/>
      <c r="K641" s="338"/>
      <c r="L641" s="338"/>
      <c r="M641" s="338"/>
      <c r="N641" s="338"/>
      <c r="O641" s="338"/>
      <c r="P641" s="338"/>
      <c r="Q641" s="338"/>
      <c r="R641" s="338"/>
      <c r="S641" s="338"/>
      <c r="T641" s="338"/>
      <c r="U641" s="338"/>
      <c r="V641" s="338"/>
      <c r="W641" s="338"/>
      <c r="X641" s="338"/>
      <c r="Y641" s="338"/>
      <c r="Z641" s="338"/>
    </row>
    <row r="642" ht="22.5" customHeight="1">
      <c r="A642" s="528"/>
      <c r="B642" s="528"/>
      <c r="C642" s="528"/>
      <c r="D642" s="528"/>
      <c r="E642" s="528"/>
      <c r="F642" s="535"/>
      <c r="G642" s="536"/>
      <c r="H642" s="338"/>
      <c r="I642" s="338"/>
      <c r="J642" s="536"/>
      <c r="K642" s="338"/>
      <c r="L642" s="338"/>
      <c r="M642" s="338"/>
      <c r="N642" s="338"/>
      <c r="O642" s="338"/>
      <c r="P642" s="338"/>
      <c r="Q642" s="338"/>
      <c r="R642" s="338"/>
      <c r="S642" s="338"/>
      <c r="T642" s="338"/>
      <c r="U642" s="338"/>
      <c r="V642" s="338"/>
      <c r="W642" s="338"/>
      <c r="X642" s="338"/>
      <c r="Y642" s="338"/>
      <c r="Z642" s="338"/>
    </row>
    <row r="643" ht="22.5" customHeight="1">
      <c r="A643" s="528"/>
      <c r="B643" s="528"/>
      <c r="C643" s="528"/>
      <c r="D643" s="528"/>
      <c r="E643" s="528"/>
      <c r="F643" s="535"/>
      <c r="G643" s="536"/>
      <c r="H643" s="338"/>
      <c r="I643" s="338"/>
      <c r="J643" s="536"/>
      <c r="K643" s="338"/>
      <c r="L643" s="338"/>
      <c r="M643" s="338"/>
      <c r="N643" s="338"/>
      <c r="O643" s="338"/>
      <c r="P643" s="338"/>
      <c r="Q643" s="338"/>
      <c r="R643" s="338"/>
      <c r="S643" s="338"/>
      <c r="T643" s="338"/>
      <c r="U643" s="338"/>
      <c r="V643" s="338"/>
      <c r="W643" s="338"/>
      <c r="X643" s="338"/>
      <c r="Y643" s="338"/>
      <c r="Z643" s="338"/>
    </row>
    <row r="644" ht="22.5" customHeight="1">
      <c r="A644" s="528"/>
      <c r="B644" s="528"/>
      <c r="C644" s="528"/>
      <c r="D644" s="528"/>
      <c r="E644" s="528"/>
      <c r="F644" s="535"/>
      <c r="G644" s="536"/>
      <c r="H644" s="338"/>
      <c r="I644" s="338"/>
      <c r="J644" s="536"/>
      <c r="K644" s="338"/>
      <c r="L644" s="338"/>
      <c r="M644" s="338"/>
      <c r="N644" s="338"/>
      <c r="O644" s="338"/>
      <c r="P644" s="338"/>
      <c r="Q644" s="338"/>
      <c r="R644" s="338"/>
      <c r="S644" s="338"/>
      <c r="T644" s="338"/>
      <c r="U644" s="338"/>
      <c r="V644" s="338"/>
      <c r="W644" s="338"/>
      <c r="X644" s="338"/>
      <c r="Y644" s="338"/>
      <c r="Z644" s="338"/>
    </row>
    <row r="645" ht="22.5" customHeight="1">
      <c r="A645" s="528"/>
      <c r="B645" s="528"/>
      <c r="C645" s="528"/>
      <c r="D645" s="528"/>
      <c r="E645" s="528"/>
      <c r="F645" s="535"/>
      <c r="G645" s="536"/>
      <c r="H645" s="338"/>
      <c r="I645" s="338"/>
      <c r="J645" s="536"/>
      <c r="K645" s="338"/>
      <c r="L645" s="338"/>
      <c r="M645" s="338"/>
      <c r="N645" s="338"/>
      <c r="O645" s="338"/>
      <c r="P645" s="338"/>
      <c r="Q645" s="338"/>
      <c r="R645" s="338"/>
      <c r="S645" s="338"/>
      <c r="T645" s="338"/>
      <c r="U645" s="338"/>
      <c r="V645" s="338"/>
      <c r="W645" s="338"/>
      <c r="X645" s="338"/>
      <c r="Y645" s="338"/>
      <c r="Z645" s="338"/>
    </row>
    <row r="646" ht="22.5" customHeight="1">
      <c r="A646" s="528"/>
      <c r="B646" s="528"/>
      <c r="C646" s="528"/>
      <c r="D646" s="528"/>
      <c r="E646" s="528"/>
      <c r="F646" s="535"/>
      <c r="G646" s="536"/>
      <c r="H646" s="338"/>
      <c r="I646" s="338"/>
      <c r="J646" s="536"/>
      <c r="K646" s="338"/>
      <c r="L646" s="338"/>
      <c r="M646" s="338"/>
      <c r="N646" s="338"/>
      <c r="O646" s="338"/>
      <c r="P646" s="338"/>
      <c r="Q646" s="338"/>
      <c r="R646" s="338"/>
      <c r="S646" s="338"/>
      <c r="T646" s="338"/>
      <c r="U646" s="338"/>
      <c r="V646" s="338"/>
      <c r="W646" s="338"/>
      <c r="X646" s="338"/>
      <c r="Y646" s="338"/>
      <c r="Z646" s="338"/>
    </row>
    <row r="647" ht="22.5" customHeight="1">
      <c r="A647" s="528"/>
      <c r="B647" s="528"/>
      <c r="C647" s="528"/>
      <c r="D647" s="528"/>
      <c r="E647" s="528"/>
      <c r="F647" s="535"/>
      <c r="G647" s="536"/>
      <c r="H647" s="338"/>
      <c r="I647" s="338"/>
      <c r="J647" s="536"/>
      <c r="K647" s="338"/>
      <c r="L647" s="338"/>
      <c r="M647" s="338"/>
      <c r="N647" s="338"/>
      <c r="O647" s="338"/>
      <c r="P647" s="338"/>
      <c r="Q647" s="338"/>
      <c r="R647" s="338"/>
      <c r="S647" s="338"/>
      <c r="T647" s="338"/>
      <c r="U647" s="338"/>
      <c r="V647" s="338"/>
      <c r="W647" s="338"/>
      <c r="X647" s="338"/>
      <c r="Y647" s="338"/>
      <c r="Z647" s="338"/>
    </row>
    <row r="648" ht="22.5" customHeight="1">
      <c r="A648" s="528"/>
      <c r="B648" s="528"/>
      <c r="C648" s="528"/>
      <c r="D648" s="528"/>
      <c r="E648" s="528"/>
      <c r="F648" s="535"/>
      <c r="G648" s="536"/>
      <c r="H648" s="338"/>
      <c r="I648" s="338"/>
      <c r="J648" s="536"/>
      <c r="K648" s="338"/>
      <c r="L648" s="338"/>
      <c r="M648" s="338"/>
      <c r="N648" s="338"/>
      <c r="O648" s="338"/>
      <c r="P648" s="338"/>
      <c r="Q648" s="338"/>
      <c r="R648" s="338"/>
      <c r="S648" s="338"/>
      <c r="T648" s="338"/>
      <c r="U648" s="338"/>
      <c r="V648" s="338"/>
      <c r="W648" s="338"/>
      <c r="X648" s="338"/>
      <c r="Y648" s="338"/>
      <c r="Z648" s="338"/>
    </row>
    <row r="649" ht="22.5" customHeight="1">
      <c r="A649" s="528"/>
      <c r="B649" s="528"/>
      <c r="C649" s="528"/>
      <c r="D649" s="528"/>
      <c r="E649" s="528"/>
      <c r="F649" s="535"/>
      <c r="G649" s="536"/>
      <c r="H649" s="338"/>
      <c r="I649" s="338"/>
      <c r="J649" s="536"/>
      <c r="K649" s="338"/>
      <c r="L649" s="338"/>
      <c r="M649" s="338"/>
      <c r="N649" s="338"/>
      <c r="O649" s="338"/>
      <c r="P649" s="338"/>
      <c r="Q649" s="338"/>
      <c r="R649" s="338"/>
      <c r="S649" s="338"/>
      <c r="T649" s="338"/>
      <c r="U649" s="338"/>
      <c r="V649" s="338"/>
      <c r="W649" s="338"/>
      <c r="X649" s="338"/>
      <c r="Y649" s="338"/>
      <c r="Z649" s="338"/>
    </row>
    <row r="650" ht="22.5" customHeight="1">
      <c r="A650" s="528"/>
      <c r="B650" s="528"/>
      <c r="C650" s="528"/>
      <c r="D650" s="528"/>
      <c r="E650" s="528"/>
      <c r="F650" s="535"/>
      <c r="G650" s="536"/>
      <c r="H650" s="338"/>
      <c r="I650" s="338"/>
      <c r="J650" s="536"/>
      <c r="K650" s="338"/>
      <c r="L650" s="338"/>
      <c r="M650" s="338"/>
      <c r="N650" s="338"/>
      <c r="O650" s="338"/>
      <c r="P650" s="338"/>
      <c r="Q650" s="338"/>
      <c r="R650" s="338"/>
      <c r="S650" s="338"/>
      <c r="T650" s="338"/>
      <c r="U650" s="338"/>
      <c r="V650" s="338"/>
      <c r="W650" s="338"/>
      <c r="X650" s="338"/>
      <c r="Y650" s="338"/>
      <c r="Z650" s="338"/>
    </row>
    <row r="651" ht="22.5" customHeight="1">
      <c r="A651" s="528"/>
      <c r="B651" s="528"/>
      <c r="C651" s="528"/>
      <c r="D651" s="528"/>
      <c r="E651" s="528"/>
      <c r="F651" s="535"/>
      <c r="G651" s="536"/>
      <c r="H651" s="338"/>
      <c r="I651" s="338"/>
      <c r="J651" s="536"/>
      <c r="K651" s="338"/>
      <c r="L651" s="338"/>
      <c r="M651" s="338"/>
      <c r="N651" s="338"/>
      <c r="O651" s="338"/>
      <c r="P651" s="338"/>
      <c r="Q651" s="338"/>
      <c r="R651" s="338"/>
      <c r="S651" s="338"/>
      <c r="T651" s="338"/>
      <c r="U651" s="338"/>
      <c r="V651" s="338"/>
      <c r="W651" s="338"/>
      <c r="X651" s="338"/>
      <c r="Y651" s="338"/>
      <c r="Z651" s="338"/>
    </row>
    <row r="652" ht="22.5" customHeight="1">
      <c r="A652" s="528"/>
      <c r="B652" s="528"/>
      <c r="C652" s="528"/>
      <c r="D652" s="528"/>
      <c r="E652" s="528"/>
      <c r="F652" s="535"/>
      <c r="G652" s="536"/>
      <c r="H652" s="338"/>
      <c r="I652" s="338"/>
      <c r="J652" s="536"/>
      <c r="K652" s="338"/>
      <c r="L652" s="338"/>
      <c r="M652" s="338"/>
      <c r="N652" s="338"/>
      <c r="O652" s="338"/>
      <c r="P652" s="338"/>
      <c r="Q652" s="338"/>
      <c r="R652" s="338"/>
      <c r="S652" s="338"/>
      <c r="T652" s="338"/>
      <c r="U652" s="338"/>
      <c r="V652" s="338"/>
      <c r="W652" s="338"/>
      <c r="X652" s="338"/>
      <c r="Y652" s="338"/>
      <c r="Z652" s="338"/>
    </row>
    <row r="653" ht="22.5" customHeight="1">
      <c r="A653" s="528"/>
      <c r="B653" s="528"/>
      <c r="C653" s="528"/>
      <c r="D653" s="528"/>
      <c r="E653" s="528"/>
      <c r="F653" s="535"/>
      <c r="G653" s="536"/>
      <c r="H653" s="338"/>
      <c r="I653" s="338"/>
      <c r="J653" s="536"/>
      <c r="K653" s="338"/>
      <c r="L653" s="338"/>
      <c r="M653" s="338"/>
      <c r="N653" s="338"/>
      <c r="O653" s="338"/>
      <c r="P653" s="338"/>
      <c r="Q653" s="338"/>
      <c r="R653" s="338"/>
      <c r="S653" s="338"/>
      <c r="T653" s="338"/>
      <c r="U653" s="338"/>
      <c r="V653" s="338"/>
      <c r="W653" s="338"/>
      <c r="X653" s="338"/>
      <c r="Y653" s="338"/>
      <c r="Z653" s="338"/>
    </row>
    <row r="654" ht="22.5" customHeight="1">
      <c r="A654" s="528"/>
      <c r="B654" s="528"/>
      <c r="C654" s="528"/>
      <c r="D654" s="528"/>
      <c r="E654" s="528"/>
      <c r="F654" s="535"/>
      <c r="G654" s="536"/>
      <c r="H654" s="338"/>
      <c r="I654" s="338"/>
      <c r="J654" s="536"/>
      <c r="K654" s="338"/>
      <c r="L654" s="338"/>
      <c r="M654" s="338"/>
      <c r="N654" s="338"/>
      <c r="O654" s="338"/>
      <c r="P654" s="338"/>
      <c r="Q654" s="338"/>
      <c r="R654" s="338"/>
      <c r="S654" s="338"/>
      <c r="T654" s="338"/>
      <c r="U654" s="338"/>
      <c r="V654" s="338"/>
      <c r="W654" s="338"/>
      <c r="X654" s="338"/>
      <c r="Y654" s="338"/>
      <c r="Z654" s="338"/>
    </row>
    <row r="655" ht="22.5" customHeight="1">
      <c r="A655" s="528"/>
      <c r="B655" s="528"/>
      <c r="C655" s="528"/>
      <c r="D655" s="528"/>
      <c r="E655" s="528"/>
      <c r="F655" s="535"/>
      <c r="G655" s="536"/>
      <c r="H655" s="338"/>
      <c r="I655" s="338"/>
      <c r="J655" s="536"/>
      <c r="K655" s="338"/>
      <c r="L655" s="338"/>
      <c r="M655" s="338"/>
      <c r="N655" s="338"/>
      <c r="O655" s="338"/>
      <c r="P655" s="338"/>
      <c r="Q655" s="338"/>
      <c r="R655" s="338"/>
      <c r="S655" s="338"/>
      <c r="T655" s="338"/>
      <c r="U655" s="338"/>
      <c r="V655" s="338"/>
      <c r="W655" s="338"/>
      <c r="X655" s="338"/>
      <c r="Y655" s="338"/>
      <c r="Z655" s="338"/>
    </row>
    <row r="656" ht="22.5" customHeight="1">
      <c r="A656" s="528"/>
      <c r="B656" s="528"/>
      <c r="C656" s="528"/>
      <c r="D656" s="528"/>
      <c r="E656" s="528"/>
      <c r="F656" s="535"/>
      <c r="G656" s="536"/>
      <c r="H656" s="338"/>
      <c r="I656" s="338"/>
      <c r="J656" s="536"/>
      <c r="K656" s="338"/>
      <c r="L656" s="338"/>
      <c r="M656" s="338"/>
      <c r="N656" s="338"/>
      <c r="O656" s="338"/>
      <c r="P656" s="338"/>
      <c r="Q656" s="338"/>
      <c r="R656" s="338"/>
      <c r="S656" s="338"/>
      <c r="T656" s="338"/>
      <c r="U656" s="338"/>
      <c r="V656" s="338"/>
      <c r="W656" s="338"/>
      <c r="X656" s="338"/>
      <c r="Y656" s="338"/>
      <c r="Z656" s="338"/>
    </row>
    <row r="657" ht="22.5" customHeight="1">
      <c r="A657" s="528"/>
      <c r="B657" s="528"/>
      <c r="C657" s="528"/>
      <c r="D657" s="528"/>
      <c r="E657" s="528"/>
      <c r="F657" s="535"/>
      <c r="G657" s="536"/>
      <c r="H657" s="338"/>
      <c r="I657" s="338"/>
      <c r="J657" s="536"/>
      <c r="K657" s="338"/>
      <c r="L657" s="338"/>
      <c r="M657" s="338"/>
      <c r="N657" s="338"/>
      <c r="O657" s="338"/>
      <c r="P657" s="338"/>
      <c r="Q657" s="338"/>
      <c r="R657" s="338"/>
      <c r="S657" s="338"/>
      <c r="T657" s="338"/>
      <c r="U657" s="338"/>
      <c r="V657" s="338"/>
      <c r="W657" s="338"/>
      <c r="X657" s="338"/>
      <c r="Y657" s="338"/>
      <c r="Z657" s="338"/>
    </row>
    <row r="658" ht="22.5" customHeight="1">
      <c r="A658" s="528"/>
      <c r="B658" s="528"/>
      <c r="C658" s="528"/>
      <c r="D658" s="528"/>
      <c r="E658" s="528"/>
      <c r="F658" s="535"/>
      <c r="G658" s="536"/>
      <c r="H658" s="338"/>
      <c r="I658" s="338"/>
      <c r="J658" s="536"/>
      <c r="K658" s="338"/>
      <c r="L658" s="338"/>
      <c r="M658" s="338"/>
      <c r="N658" s="338"/>
      <c r="O658" s="338"/>
      <c r="P658" s="338"/>
      <c r="Q658" s="338"/>
      <c r="R658" s="338"/>
      <c r="S658" s="338"/>
      <c r="T658" s="338"/>
      <c r="U658" s="338"/>
      <c r="V658" s="338"/>
      <c r="W658" s="338"/>
      <c r="X658" s="338"/>
      <c r="Y658" s="338"/>
      <c r="Z658" s="338"/>
    </row>
    <row r="659" ht="22.5" customHeight="1">
      <c r="A659" s="528"/>
      <c r="B659" s="528"/>
      <c r="C659" s="528"/>
      <c r="D659" s="528"/>
      <c r="E659" s="528"/>
      <c r="F659" s="535"/>
      <c r="G659" s="536"/>
      <c r="H659" s="338"/>
      <c r="I659" s="338"/>
      <c r="J659" s="536"/>
      <c r="K659" s="338"/>
      <c r="L659" s="338"/>
      <c r="M659" s="338"/>
      <c r="N659" s="338"/>
      <c r="O659" s="338"/>
      <c r="P659" s="338"/>
      <c r="Q659" s="338"/>
      <c r="R659" s="338"/>
      <c r="S659" s="338"/>
      <c r="T659" s="338"/>
      <c r="U659" s="338"/>
      <c r="V659" s="338"/>
      <c r="W659" s="338"/>
      <c r="X659" s="338"/>
      <c r="Y659" s="338"/>
      <c r="Z659" s="338"/>
    </row>
    <row r="660" ht="22.5" customHeight="1">
      <c r="A660" s="528"/>
      <c r="B660" s="528"/>
      <c r="C660" s="528"/>
      <c r="D660" s="528"/>
      <c r="E660" s="528"/>
      <c r="F660" s="535"/>
      <c r="G660" s="536"/>
      <c r="H660" s="338"/>
      <c r="I660" s="338"/>
      <c r="J660" s="536"/>
      <c r="K660" s="338"/>
      <c r="L660" s="338"/>
      <c r="M660" s="338"/>
      <c r="N660" s="338"/>
      <c r="O660" s="338"/>
      <c r="P660" s="338"/>
      <c r="Q660" s="338"/>
      <c r="R660" s="338"/>
      <c r="S660" s="338"/>
      <c r="T660" s="338"/>
      <c r="U660" s="338"/>
      <c r="V660" s="338"/>
      <c r="W660" s="338"/>
      <c r="X660" s="338"/>
      <c r="Y660" s="338"/>
      <c r="Z660" s="338"/>
    </row>
    <row r="661" ht="22.5" customHeight="1">
      <c r="A661" s="528"/>
      <c r="B661" s="528"/>
      <c r="C661" s="528"/>
      <c r="D661" s="528"/>
      <c r="E661" s="528"/>
      <c r="F661" s="535"/>
      <c r="G661" s="536"/>
      <c r="H661" s="338"/>
      <c r="I661" s="338"/>
      <c r="J661" s="536"/>
      <c r="K661" s="338"/>
      <c r="L661" s="338"/>
      <c r="M661" s="338"/>
      <c r="N661" s="338"/>
      <c r="O661" s="338"/>
      <c r="P661" s="338"/>
      <c r="Q661" s="338"/>
      <c r="R661" s="338"/>
      <c r="S661" s="338"/>
      <c r="T661" s="338"/>
      <c r="U661" s="338"/>
      <c r="V661" s="338"/>
      <c r="W661" s="338"/>
      <c r="X661" s="338"/>
      <c r="Y661" s="338"/>
      <c r="Z661" s="338"/>
    </row>
    <row r="662" ht="22.5" customHeight="1">
      <c r="A662" s="528"/>
      <c r="B662" s="528"/>
      <c r="C662" s="528"/>
      <c r="D662" s="528"/>
      <c r="E662" s="528"/>
      <c r="F662" s="535"/>
      <c r="G662" s="536"/>
      <c r="H662" s="338"/>
      <c r="I662" s="338"/>
      <c r="J662" s="536"/>
      <c r="K662" s="338"/>
      <c r="L662" s="338"/>
      <c r="M662" s="338"/>
      <c r="N662" s="338"/>
      <c r="O662" s="338"/>
      <c r="P662" s="338"/>
      <c r="Q662" s="338"/>
      <c r="R662" s="338"/>
      <c r="S662" s="338"/>
      <c r="T662" s="338"/>
      <c r="U662" s="338"/>
      <c r="V662" s="338"/>
      <c r="W662" s="338"/>
      <c r="X662" s="338"/>
      <c r="Y662" s="338"/>
      <c r="Z662" s="338"/>
    </row>
    <row r="663" ht="22.5" customHeight="1">
      <c r="A663" s="528"/>
      <c r="B663" s="528"/>
      <c r="C663" s="528"/>
      <c r="D663" s="528"/>
      <c r="E663" s="528"/>
      <c r="F663" s="535"/>
      <c r="G663" s="536"/>
      <c r="H663" s="338"/>
      <c r="I663" s="338"/>
      <c r="J663" s="536"/>
      <c r="K663" s="338"/>
      <c r="L663" s="338"/>
      <c r="M663" s="338"/>
      <c r="N663" s="338"/>
      <c r="O663" s="338"/>
      <c r="P663" s="338"/>
      <c r="Q663" s="338"/>
      <c r="R663" s="338"/>
      <c r="S663" s="338"/>
      <c r="T663" s="338"/>
      <c r="U663" s="338"/>
      <c r="V663" s="338"/>
      <c r="W663" s="338"/>
      <c r="X663" s="338"/>
      <c r="Y663" s="338"/>
      <c r="Z663" s="338"/>
    </row>
    <row r="664" ht="22.5" customHeight="1">
      <c r="A664" s="528"/>
      <c r="B664" s="528"/>
      <c r="C664" s="528"/>
      <c r="D664" s="528"/>
      <c r="E664" s="528"/>
      <c r="F664" s="535"/>
      <c r="G664" s="536"/>
      <c r="H664" s="338"/>
      <c r="I664" s="338"/>
      <c r="J664" s="536"/>
      <c r="K664" s="338"/>
      <c r="L664" s="338"/>
      <c r="M664" s="338"/>
      <c r="N664" s="338"/>
      <c r="O664" s="338"/>
      <c r="P664" s="338"/>
      <c r="Q664" s="338"/>
      <c r="R664" s="338"/>
      <c r="S664" s="338"/>
      <c r="T664" s="338"/>
      <c r="U664" s="338"/>
      <c r="V664" s="338"/>
      <c r="W664" s="338"/>
      <c r="X664" s="338"/>
      <c r="Y664" s="338"/>
      <c r="Z664" s="338"/>
    </row>
    <row r="665" ht="22.5" customHeight="1">
      <c r="A665" s="528"/>
      <c r="B665" s="528"/>
      <c r="C665" s="528"/>
      <c r="D665" s="528"/>
      <c r="E665" s="528"/>
      <c r="F665" s="535"/>
      <c r="G665" s="536"/>
      <c r="H665" s="338"/>
      <c r="I665" s="338"/>
      <c r="J665" s="536"/>
      <c r="K665" s="338"/>
      <c r="L665" s="338"/>
      <c r="M665" s="338"/>
      <c r="N665" s="338"/>
      <c r="O665" s="338"/>
      <c r="P665" s="338"/>
      <c r="Q665" s="338"/>
      <c r="R665" s="338"/>
      <c r="S665" s="338"/>
      <c r="T665" s="338"/>
      <c r="U665" s="338"/>
      <c r="V665" s="338"/>
      <c r="W665" s="338"/>
      <c r="X665" s="338"/>
      <c r="Y665" s="338"/>
      <c r="Z665" s="338"/>
    </row>
    <row r="666" ht="22.5" customHeight="1">
      <c r="A666" s="528"/>
      <c r="B666" s="528"/>
      <c r="C666" s="528"/>
      <c r="D666" s="528"/>
      <c r="E666" s="528"/>
      <c r="F666" s="535"/>
      <c r="G666" s="536"/>
      <c r="H666" s="338"/>
      <c r="I666" s="338"/>
      <c r="J666" s="536"/>
      <c r="K666" s="338"/>
      <c r="L666" s="338"/>
      <c r="M666" s="338"/>
      <c r="N666" s="338"/>
      <c r="O666" s="338"/>
      <c r="P666" s="338"/>
      <c r="Q666" s="338"/>
      <c r="R666" s="338"/>
      <c r="S666" s="338"/>
      <c r="T666" s="338"/>
      <c r="U666" s="338"/>
      <c r="V666" s="338"/>
      <c r="W666" s="338"/>
      <c r="X666" s="338"/>
      <c r="Y666" s="338"/>
      <c r="Z666" s="338"/>
    </row>
    <row r="667" ht="22.5" customHeight="1">
      <c r="A667" s="528"/>
      <c r="B667" s="528"/>
      <c r="C667" s="528"/>
      <c r="D667" s="528"/>
      <c r="E667" s="528"/>
      <c r="F667" s="535"/>
      <c r="G667" s="536"/>
      <c r="H667" s="338"/>
      <c r="I667" s="338"/>
      <c r="J667" s="536"/>
      <c r="K667" s="338"/>
      <c r="L667" s="338"/>
      <c r="M667" s="338"/>
      <c r="N667" s="338"/>
      <c r="O667" s="338"/>
      <c r="P667" s="338"/>
      <c r="Q667" s="338"/>
      <c r="R667" s="338"/>
      <c r="S667" s="338"/>
      <c r="T667" s="338"/>
      <c r="U667" s="338"/>
      <c r="V667" s="338"/>
      <c r="W667" s="338"/>
      <c r="X667" s="338"/>
      <c r="Y667" s="338"/>
      <c r="Z667" s="338"/>
    </row>
    <row r="668" ht="22.5" customHeight="1">
      <c r="A668" s="528"/>
      <c r="B668" s="528"/>
      <c r="C668" s="528"/>
      <c r="D668" s="528"/>
      <c r="E668" s="528"/>
      <c r="F668" s="535"/>
      <c r="G668" s="536"/>
      <c r="H668" s="338"/>
      <c r="I668" s="338"/>
      <c r="J668" s="536"/>
      <c r="K668" s="338"/>
      <c r="L668" s="338"/>
      <c r="M668" s="338"/>
      <c r="N668" s="338"/>
      <c r="O668" s="338"/>
      <c r="P668" s="338"/>
      <c r="Q668" s="338"/>
      <c r="R668" s="338"/>
      <c r="S668" s="338"/>
      <c r="T668" s="338"/>
      <c r="U668" s="338"/>
      <c r="V668" s="338"/>
      <c r="W668" s="338"/>
      <c r="X668" s="338"/>
      <c r="Y668" s="338"/>
      <c r="Z668" s="338"/>
    </row>
    <row r="669" ht="22.5" customHeight="1">
      <c r="A669" s="528"/>
      <c r="B669" s="528"/>
      <c r="C669" s="528"/>
      <c r="D669" s="528"/>
      <c r="E669" s="528"/>
      <c r="F669" s="535"/>
      <c r="G669" s="536"/>
      <c r="H669" s="338"/>
      <c r="I669" s="338"/>
      <c r="J669" s="536"/>
      <c r="K669" s="338"/>
      <c r="L669" s="338"/>
      <c r="M669" s="338"/>
      <c r="N669" s="338"/>
      <c r="O669" s="338"/>
      <c r="P669" s="338"/>
      <c r="Q669" s="338"/>
      <c r="R669" s="338"/>
      <c r="S669" s="338"/>
      <c r="T669" s="338"/>
      <c r="U669" s="338"/>
      <c r="V669" s="338"/>
      <c r="W669" s="338"/>
      <c r="X669" s="338"/>
      <c r="Y669" s="338"/>
      <c r="Z669" s="338"/>
    </row>
    <row r="670" ht="22.5" customHeight="1">
      <c r="A670" s="528"/>
      <c r="B670" s="528"/>
      <c r="C670" s="528"/>
      <c r="D670" s="528"/>
      <c r="E670" s="528"/>
      <c r="F670" s="535"/>
      <c r="G670" s="536"/>
      <c r="H670" s="338"/>
      <c r="I670" s="338"/>
      <c r="J670" s="536"/>
      <c r="K670" s="338"/>
      <c r="L670" s="338"/>
      <c r="M670" s="338"/>
      <c r="N670" s="338"/>
      <c r="O670" s="338"/>
      <c r="P670" s="338"/>
      <c r="Q670" s="338"/>
      <c r="R670" s="338"/>
      <c r="S670" s="338"/>
      <c r="T670" s="338"/>
      <c r="U670" s="338"/>
      <c r="V670" s="338"/>
      <c r="W670" s="338"/>
      <c r="X670" s="338"/>
      <c r="Y670" s="338"/>
      <c r="Z670" s="338"/>
    </row>
    <row r="671" ht="22.5" customHeight="1">
      <c r="A671" s="528"/>
      <c r="B671" s="528"/>
      <c r="C671" s="528"/>
      <c r="D671" s="528"/>
      <c r="E671" s="528"/>
      <c r="F671" s="535"/>
      <c r="G671" s="536"/>
      <c r="H671" s="338"/>
      <c r="I671" s="338"/>
      <c r="J671" s="536"/>
      <c r="K671" s="338"/>
      <c r="L671" s="338"/>
      <c r="M671" s="338"/>
      <c r="N671" s="338"/>
      <c r="O671" s="338"/>
      <c r="P671" s="338"/>
      <c r="Q671" s="338"/>
      <c r="R671" s="338"/>
      <c r="S671" s="338"/>
      <c r="T671" s="338"/>
      <c r="U671" s="338"/>
      <c r="V671" s="338"/>
      <c r="W671" s="338"/>
      <c r="X671" s="338"/>
      <c r="Y671" s="338"/>
      <c r="Z671" s="338"/>
    </row>
    <row r="672" ht="22.5" customHeight="1">
      <c r="A672" s="528"/>
      <c r="B672" s="528"/>
      <c r="C672" s="528"/>
      <c r="D672" s="528"/>
      <c r="E672" s="528"/>
      <c r="F672" s="535"/>
      <c r="G672" s="536"/>
      <c r="H672" s="338"/>
      <c r="I672" s="338"/>
      <c r="J672" s="536"/>
      <c r="K672" s="338"/>
      <c r="L672" s="338"/>
      <c r="M672" s="338"/>
      <c r="N672" s="338"/>
      <c r="O672" s="338"/>
      <c r="P672" s="338"/>
      <c r="Q672" s="338"/>
      <c r="R672" s="338"/>
      <c r="S672" s="338"/>
      <c r="T672" s="338"/>
      <c r="U672" s="338"/>
      <c r="V672" s="338"/>
      <c r="W672" s="338"/>
      <c r="X672" s="338"/>
      <c r="Y672" s="338"/>
      <c r="Z672" s="338"/>
    </row>
    <row r="673" ht="22.5" customHeight="1">
      <c r="A673" s="528"/>
      <c r="B673" s="528"/>
      <c r="C673" s="528"/>
      <c r="D673" s="528"/>
      <c r="E673" s="528"/>
      <c r="F673" s="535"/>
      <c r="G673" s="536"/>
      <c r="H673" s="338"/>
      <c r="I673" s="338"/>
      <c r="J673" s="536"/>
      <c r="K673" s="338"/>
      <c r="L673" s="338"/>
      <c r="M673" s="338"/>
      <c r="N673" s="338"/>
      <c r="O673" s="338"/>
      <c r="P673" s="338"/>
      <c r="Q673" s="338"/>
      <c r="R673" s="338"/>
      <c r="S673" s="338"/>
      <c r="T673" s="338"/>
      <c r="U673" s="338"/>
      <c r="V673" s="338"/>
      <c r="W673" s="338"/>
      <c r="X673" s="338"/>
      <c r="Y673" s="338"/>
      <c r="Z673" s="338"/>
    </row>
    <row r="674" ht="22.5" customHeight="1">
      <c r="A674" s="528"/>
      <c r="B674" s="528"/>
      <c r="C674" s="528"/>
      <c r="D674" s="528"/>
      <c r="E674" s="528"/>
      <c r="F674" s="535"/>
      <c r="G674" s="536"/>
      <c r="H674" s="338"/>
      <c r="I674" s="338"/>
      <c r="J674" s="536"/>
      <c r="K674" s="338"/>
      <c r="L674" s="338"/>
      <c r="M674" s="338"/>
      <c r="N674" s="338"/>
      <c r="O674" s="338"/>
      <c r="P674" s="338"/>
      <c r="Q674" s="338"/>
      <c r="R674" s="338"/>
      <c r="S674" s="338"/>
      <c r="T674" s="338"/>
      <c r="U674" s="338"/>
      <c r="V674" s="338"/>
      <c r="W674" s="338"/>
      <c r="X674" s="338"/>
      <c r="Y674" s="338"/>
      <c r="Z674" s="338"/>
    </row>
    <row r="675" ht="22.5" customHeight="1">
      <c r="A675" s="528"/>
      <c r="B675" s="528"/>
      <c r="C675" s="528"/>
      <c r="D675" s="528"/>
      <c r="E675" s="528"/>
      <c r="F675" s="535"/>
      <c r="G675" s="536"/>
      <c r="H675" s="338"/>
      <c r="I675" s="338"/>
      <c r="J675" s="536"/>
      <c r="K675" s="338"/>
      <c r="L675" s="338"/>
      <c r="M675" s="338"/>
      <c r="N675" s="338"/>
      <c r="O675" s="338"/>
      <c r="P675" s="338"/>
      <c r="Q675" s="338"/>
      <c r="R675" s="338"/>
      <c r="S675" s="338"/>
      <c r="T675" s="338"/>
      <c r="U675" s="338"/>
      <c r="V675" s="338"/>
      <c r="W675" s="338"/>
      <c r="X675" s="338"/>
      <c r="Y675" s="338"/>
      <c r="Z675" s="338"/>
    </row>
    <row r="676" ht="22.5" customHeight="1">
      <c r="A676" s="528"/>
      <c r="B676" s="528"/>
      <c r="C676" s="528"/>
      <c r="D676" s="528"/>
      <c r="E676" s="528"/>
      <c r="F676" s="535"/>
      <c r="G676" s="536"/>
      <c r="H676" s="338"/>
      <c r="I676" s="338"/>
      <c r="J676" s="536"/>
      <c r="K676" s="338"/>
      <c r="L676" s="338"/>
      <c r="M676" s="338"/>
      <c r="N676" s="338"/>
      <c r="O676" s="338"/>
      <c r="P676" s="338"/>
      <c r="Q676" s="338"/>
      <c r="R676" s="338"/>
      <c r="S676" s="338"/>
      <c r="T676" s="338"/>
      <c r="U676" s="338"/>
      <c r="V676" s="338"/>
      <c r="W676" s="338"/>
      <c r="X676" s="338"/>
      <c r="Y676" s="338"/>
      <c r="Z676" s="338"/>
    </row>
    <row r="677" ht="22.5" customHeight="1">
      <c r="A677" s="528"/>
      <c r="B677" s="528"/>
      <c r="C677" s="528"/>
      <c r="D677" s="528"/>
      <c r="E677" s="528"/>
      <c r="F677" s="535"/>
      <c r="G677" s="536"/>
      <c r="H677" s="338"/>
      <c r="I677" s="338"/>
      <c r="J677" s="536"/>
      <c r="K677" s="338"/>
      <c r="L677" s="338"/>
      <c r="M677" s="338"/>
      <c r="N677" s="338"/>
      <c r="O677" s="338"/>
      <c r="P677" s="338"/>
      <c r="Q677" s="338"/>
      <c r="R677" s="338"/>
      <c r="S677" s="338"/>
      <c r="T677" s="338"/>
      <c r="U677" s="338"/>
      <c r="V677" s="338"/>
      <c r="W677" s="338"/>
      <c r="X677" s="338"/>
      <c r="Y677" s="338"/>
      <c r="Z677" s="338"/>
    </row>
    <row r="678" ht="22.5" customHeight="1">
      <c r="A678" s="528"/>
      <c r="B678" s="528"/>
      <c r="C678" s="528"/>
      <c r="D678" s="528"/>
      <c r="E678" s="528"/>
      <c r="F678" s="535"/>
      <c r="G678" s="536"/>
      <c r="H678" s="338"/>
      <c r="I678" s="338"/>
      <c r="J678" s="536"/>
      <c r="K678" s="338"/>
      <c r="L678" s="338"/>
      <c r="M678" s="338"/>
      <c r="N678" s="338"/>
      <c r="O678" s="338"/>
      <c r="P678" s="338"/>
      <c r="Q678" s="338"/>
      <c r="R678" s="338"/>
      <c r="S678" s="338"/>
      <c r="T678" s="338"/>
      <c r="U678" s="338"/>
      <c r="V678" s="338"/>
      <c r="W678" s="338"/>
      <c r="X678" s="338"/>
      <c r="Y678" s="338"/>
      <c r="Z678" s="338"/>
    </row>
    <row r="679" ht="22.5" customHeight="1">
      <c r="A679" s="528"/>
      <c r="B679" s="528"/>
      <c r="C679" s="528"/>
      <c r="D679" s="528"/>
      <c r="E679" s="528"/>
      <c r="F679" s="535"/>
      <c r="G679" s="536"/>
      <c r="H679" s="338"/>
      <c r="I679" s="338"/>
      <c r="J679" s="536"/>
      <c r="K679" s="338"/>
      <c r="L679" s="338"/>
      <c r="M679" s="338"/>
      <c r="N679" s="338"/>
      <c r="O679" s="338"/>
      <c r="P679" s="338"/>
      <c r="Q679" s="338"/>
      <c r="R679" s="338"/>
      <c r="S679" s="338"/>
      <c r="T679" s="338"/>
      <c r="U679" s="338"/>
      <c r="V679" s="338"/>
      <c r="W679" s="338"/>
      <c r="X679" s="338"/>
      <c r="Y679" s="338"/>
      <c r="Z679" s="338"/>
    </row>
    <row r="680" ht="22.5" customHeight="1">
      <c r="A680" s="528"/>
      <c r="B680" s="528"/>
      <c r="C680" s="528"/>
      <c r="D680" s="528"/>
      <c r="E680" s="528"/>
      <c r="F680" s="535"/>
      <c r="G680" s="536"/>
      <c r="H680" s="338"/>
      <c r="I680" s="338"/>
      <c r="J680" s="536"/>
      <c r="K680" s="338"/>
      <c r="L680" s="338"/>
      <c r="M680" s="338"/>
      <c r="N680" s="338"/>
      <c r="O680" s="338"/>
      <c r="P680" s="338"/>
      <c r="Q680" s="338"/>
      <c r="R680" s="338"/>
      <c r="S680" s="338"/>
      <c r="T680" s="338"/>
      <c r="U680" s="338"/>
      <c r="V680" s="338"/>
      <c r="W680" s="338"/>
      <c r="X680" s="338"/>
      <c r="Y680" s="338"/>
      <c r="Z680" s="338"/>
    </row>
    <row r="681" ht="22.5" customHeight="1">
      <c r="A681" s="528"/>
      <c r="B681" s="528"/>
      <c r="C681" s="528"/>
      <c r="D681" s="528"/>
      <c r="E681" s="528"/>
      <c r="F681" s="535"/>
      <c r="G681" s="536"/>
      <c r="H681" s="338"/>
      <c r="I681" s="338"/>
      <c r="J681" s="536"/>
      <c r="K681" s="338"/>
      <c r="L681" s="338"/>
      <c r="M681" s="338"/>
      <c r="N681" s="338"/>
      <c r="O681" s="338"/>
      <c r="P681" s="338"/>
      <c r="Q681" s="338"/>
      <c r="R681" s="338"/>
      <c r="S681" s="338"/>
      <c r="T681" s="338"/>
      <c r="U681" s="338"/>
      <c r="V681" s="338"/>
      <c r="W681" s="338"/>
      <c r="X681" s="338"/>
      <c r="Y681" s="338"/>
      <c r="Z681" s="338"/>
    </row>
    <row r="682" ht="22.5" customHeight="1">
      <c r="A682" s="528"/>
      <c r="B682" s="528"/>
      <c r="C682" s="528"/>
      <c r="D682" s="528"/>
      <c r="E682" s="528"/>
      <c r="F682" s="535"/>
      <c r="G682" s="536"/>
      <c r="H682" s="338"/>
      <c r="I682" s="338"/>
      <c r="J682" s="536"/>
      <c r="K682" s="338"/>
      <c r="L682" s="338"/>
      <c r="M682" s="338"/>
      <c r="N682" s="338"/>
      <c r="O682" s="338"/>
      <c r="P682" s="338"/>
      <c r="Q682" s="338"/>
      <c r="R682" s="338"/>
      <c r="S682" s="338"/>
      <c r="T682" s="338"/>
      <c r="U682" s="338"/>
      <c r="V682" s="338"/>
      <c r="W682" s="338"/>
      <c r="X682" s="338"/>
      <c r="Y682" s="338"/>
      <c r="Z682" s="338"/>
    </row>
    <row r="683" ht="22.5" customHeight="1">
      <c r="A683" s="528"/>
      <c r="B683" s="528"/>
      <c r="C683" s="528"/>
      <c r="D683" s="528"/>
      <c r="E683" s="528"/>
      <c r="F683" s="535"/>
      <c r="G683" s="536"/>
      <c r="H683" s="338"/>
      <c r="I683" s="338"/>
      <c r="J683" s="536"/>
      <c r="K683" s="338"/>
      <c r="L683" s="338"/>
      <c r="M683" s="338"/>
      <c r="N683" s="338"/>
      <c r="O683" s="338"/>
      <c r="P683" s="338"/>
      <c r="Q683" s="338"/>
      <c r="R683" s="338"/>
      <c r="S683" s="338"/>
      <c r="T683" s="338"/>
      <c r="U683" s="338"/>
      <c r="V683" s="338"/>
      <c r="W683" s="338"/>
      <c r="X683" s="338"/>
      <c r="Y683" s="338"/>
      <c r="Z683" s="338"/>
    </row>
    <row r="684" ht="22.5" customHeight="1">
      <c r="A684" s="528"/>
      <c r="B684" s="528"/>
      <c r="C684" s="528"/>
      <c r="D684" s="528"/>
      <c r="E684" s="528"/>
      <c r="F684" s="535"/>
      <c r="G684" s="536"/>
      <c r="H684" s="338"/>
      <c r="I684" s="338"/>
      <c r="J684" s="536"/>
      <c r="K684" s="338"/>
      <c r="L684" s="338"/>
      <c r="M684" s="338"/>
      <c r="N684" s="338"/>
      <c r="O684" s="338"/>
      <c r="P684" s="338"/>
      <c r="Q684" s="338"/>
      <c r="R684" s="338"/>
      <c r="S684" s="338"/>
      <c r="T684" s="338"/>
      <c r="U684" s="338"/>
      <c r="V684" s="338"/>
      <c r="W684" s="338"/>
      <c r="X684" s="338"/>
      <c r="Y684" s="338"/>
      <c r="Z684" s="338"/>
    </row>
    <row r="685" ht="22.5" customHeight="1">
      <c r="A685" s="528"/>
      <c r="B685" s="528"/>
      <c r="C685" s="528"/>
      <c r="D685" s="528"/>
      <c r="E685" s="528"/>
      <c r="F685" s="535"/>
      <c r="G685" s="536"/>
      <c r="H685" s="338"/>
      <c r="I685" s="338"/>
      <c r="J685" s="536"/>
      <c r="K685" s="338"/>
      <c r="L685" s="338"/>
      <c r="M685" s="338"/>
      <c r="N685" s="338"/>
      <c r="O685" s="338"/>
      <c r="P685" s="338"/>
      <c r="Q685" s="338"/>
      <c r="R685" s="338"/>
      <c r="S685" s="338"/>
      <c r="T685" s="338"/>
      <c r="U685" s="338"/>
      <c r="V685" s="338"/>
      <c r="W685" s="338"/>
      <c r="X685" s="338"/>
      <c r="Y685" s="338"/>
      <c r="Z685" s="338"/>
    </row>
    <row r="686" ht="22.5" customHeight="1">
      <c r="A686" s="528"/>
      <c r="B686" s="528"/>
      <c r="C686" s="528"/>
      <c r="D686" s="528"/>
      <c r="E686" s="528"/>
      <c r="F686" s="535"/>
      <c r="G686" s="536"/>
      <c r="H686" s="338"/>
      <c r="I686" s="338"/>
      <c r="J686" s="536"/>
      <c r="K686" s="338"/>
      <c r="L686" s="338"/>
      <c r="M686" s="338"/>
      <c r="N686" s="338"/>
      <c r="O686" s="338"/>
      <c r="P686" s="338"/>
      <c r="Q686" s="338"/>
      <c r="R686" s="338"/>
      <c r="S686" s="338"/>
      <c r="T686" s="338"/>
      <c r="U686" s="338"/>
      <c r="V686" s="338"/>
      <c r="W686" s="338"/>
      <c r="X686" s="338"/>
      <c r="Y686" s="338"/>
      <c r="Z686" s="338"/>
    </row>
    <row r="687" ht="22.5" customHeight="1">
      <c r="A687" s="528"/>
      <c r="B687" s="528"/>
      <c r="C687" s="528"/>
      <c r="D687" s="528"/>
      <c r="E687" s="528"/>
      <c r="F687" s="535"/>
      <c r="G687" s="536"/>
      <c r="H687" s="338"/>
      <c r="I687" s="338"/>
      <c r="J687" s="536"/>
      <c r="K687" s="338"/>
      <c r="L687" s="338"/>
      <c r="M687" s="338"/>
      <c r="N687" s="338"/>
      <c r="O687" s="338"/>
      <c r="P687" s="338"/>
      <c r="Q687" s="338"/>
      <c r="R687" s="338"/>
      <c r="S687" s="338"/>
      <c r="T687" s="338"/>
      <c r="U687" s="338"/>
      <c r="V687" s="338"/>
      <c r="W687" s="338"/>
      <c r="X687" s="338"/>
      <c r="Y687" s="338"/>
      <c r="Z687" s="338"/>
    </row>
    <row r="688" ht="22.5" customHeight="1">
      <c r="A688" s="528"/>
      <c r="B688" s="528"/>
      <c r="C688" s="528"/>
      <c r="D688" s="528"/>
      <c r="E688" s="528"/>
      <c r="F688" s="535"/>
      <c r="G688" s="536"/>
      <c r="H688" s="338"/>
      <c r="I688" s="338"/>
      <c r="J688" s="536"/>
      <c r="K688" s="338"/>
      <c r="L688" s="338"/>
      <c r="M688" s="338"/>
      <c r="N688" s="338"/>
      <c r="O688" s="338"/>
      <c r="P688" s="338"/>
      <c r="Q688" s="338"/>
      <c r="R688" s="338"/>
      <c r="S688" s="338"/>
      <c r="T688" s="338"/>
      <c r="U688" s="338"/>
      <c r="V688" s="338"/>
      <c r="W688" s="338"/>
      <c r="X688" s="338"/>
      <c r="Y688" s="338"/>
      <c r="Z688" s="338"/>
    </row>
    <row r="689" ht="22.5" customHeight="1">
      <c r="A689" s="528"/>
      <c r="B689" s="528"/>
      <c r="C689" s="528"/>
      <c r="D689" s="528"/>
      <c r="E689" s="528"/>
      <c r="F689" s="535"/>
      <c r="G689" s="536"/>
      <c r="H689" s="338"/>
      <c r="I689" s="338"/>
      <c r="J689" s="536"/>
      <c r="K689" s="338"/>
      <c r="L689" s="338"/>
      <c r="M689" s="338"/>
      <c r="N689" s="338"/>
      <c r="O689" s="338"/>
      <c r="P689" s="338"/>
      <c r="Q689" s="338"/>
      <c r="R689" s="338"/>
      <c r="S689" s="338"/>
      <c r="T689" s="338"/>
      <c r="U689" s="338"/>
      <c r="V689" s="338"/>
      <c r="W689" s="338"/>
      <c r="X689" s="338"/>
      <c r="Y689" s="338"/>
      <c r="Z689" s="338"/>
    </row>
    <row r="690" ht="22.5" customHeight="1">
      <c r="A690" s="528"/>
      <c r="B690" s="528"/>
      <c r="C690" s="528"/>
      <c r="D690" s="528"/>
      <c r="E690" s="528"/>
      <c r="F690" s="535"/>
      <c r="G690" s="536"/>
      <c r="H690" s="338"/>
      <c r="I690" s="338"/>
      <c r="J690" s="536"/>
      <c r="K690" s="338"/>
      <c r="L690" s="338"/>
      <c r="M690" s="338"/>
      <c r="N690" s="338"/>
      <c r="O690" s="338"/>
      <c r="P690" s="338"/>
      <c r="Q690" s="338"/>
      <c r="R690" s="338"/>
      <c r="S690" s="338"/>
      <c r="T690" s="338"/>
      <c r="U690" s="338"/>
      <c r="V690" s="338"/>
      <c r="W690" s="338"/>
      <c r="X690" s="338"/>
      <c r="Y690" s="338"/>
      <c r="Z690" s="338"/>
    </row>
    <row r="691" ht="22.5" customHeight="1">
      <c r="A691" s="528"/>
      <c r="B691" s="528"/>
      <c r="C691" s="528"/>
      <c r="D691" s="528"/>
      <c r="E691" s="528"/>
      <c r="F691" s="535"/>
      <c r="G691" s="536"/>
      <c r="H691" s="338"/>
      <c r="I691" s="338"/>
      <c r="J691" s="536"/>
      <c r="K691" s="338"/>
      <c r="L691" s="338"/>
      <c r="M691" s="338"/>
      <c r="N691" s="338"/>
      <c r="O691" s="338"/>
      <c r="P691" s="338"/>
      <c r="Q691" s="338"/>
      <c r="R691" s="338"/>
      <c r="S691" s="338"/>
      <c r="T691" s="338"/>
      <c r="U691" s="338"/>
      <c r="V691" s="338"/>
      <c r="W691" s="338"/>
      <c r="X691" s="338"/>
      <c r="Y691" s="338"/>
      <c r="Z691" s="338"/>
    </row>
    <row r="692" ht="22.5" customHeight="1">
      <c r="A692" s="528"/>
      <c r="B692" s="528"/>
      <c r="C692" s="528"/>
      <c r="D692" s="528"/>
      <c r="E692" s="528"/>
      <c r="F692" s="535"/>
      <c r="G692" s="536"/>
      <c r="H692" s="338"/>
      <c r="I692" s="338"/>
      <c r="J692" s="536"/>
      <c r="K692" s="338"/>
      <c r="L692" s="338"/>
      <c r="M692" s="338"/>
      <c r="N692" s="338"/>
      <c r="O692" s="338"/>
      <c r="P692" s="338"/>
      <c r="Q692" s="338"/>
      <c r="R692" s="338"/>
      <c r="S692" s="338"/>
      <c r="T692" s="338"/>
      <c r="U692" s="338"/>
      <c r="V692" s="338"/>
      <c r="W692" s="338"/>
      <c r="X692" s="338"/>
      <c r="Y692" s="338"/>
      <c r="Z692" s="338"/>
    </row>
    <row r="693" ht="22.5" customHeight="1">
      <c r="A693" s="528"/>
      <c r="B693" s="528"/>
      <c r="C693" s="528"/>
      <c r="D693" s="528"/>
      <c r="E693" s="528"/>
      <c r="F693" s="535"/>
      <c r="G693" s="536"/>
      <c r="H693" s="338"/>
      <c r="I693" s="338"/>
      <c r="J693" s="536"/>
      <c r="K693" s="338"/>
      <c r="L693" s="338"/>
      <c r="M693" s="338"/>
      <c r="N693" s="338"/>
      <c r="O693" s="338"/>
      <c r="P693" s="338"/>
      <c r="Q693" s="338"/>
      <c r="R693" s="338"/>
      <c r="S693" s="338"/>
      <c r="T693" s="338"/>
      <c r="U693" s="338"/>
      <c r="V693" s="338"/>
      <c r="W693" s="338"/>
      <c r="X693" s="338"/>
      <c r="Y693" s="338"/>
      <c r="Z693" s="338"/>
    </row>
    <row r="694" ht="22.5" customHeight="1">
      <c r="A694" s="528"/>
      <c r="B694" s="528"/>
      <c r="C694" s="528"/>
      <c r="D694" s="528"/>
      <c r="E694" s="528"/>
      <c r="F694" s="535"/>
      <c r="G694" s="536"/>
      <c r="H694" s="338"/>
      <c r="I694" s="338"/>
      <c r="J694" s="536"/>
      <c r="K694" s="338"/>
      <c r="L694" s="338"/>
      <c r="M694" s="338"/>
      <c r="N694" s="338"/>
      <c r="O694" s="338"/>
      <c r="P694" s="338"/>
      <c r="Q694" s="338"/>
      <c r="R694" s="338"/>
      <c r="S694" s="338"/>
      <c r="T694" s="338"/>
      <c r="U694" s="338"/>
      <c r="V694" s="338"/>
      <c r="W694" s="338"/>
      <c r="X694" s="338"/>
      <c r="Y694" s="338"/>
      <c r="Z694" s="338"/>
    </row>
    <row r="695" ht="22.5" customHeight="1">
      <c r="A695" s="528"/>
      <c r="B695" s="528"/>
      <c r="C695" s="528"/>
      <c r="D695" s="528"/>
      <c r="E695" s="528"/>
      <c r="F695" s="535"/>
      <c r="G695" s="536"/>
      <c r="H695" s="338"/>
      <c r="I695" s="338"/>
      <c r="J695" s="536"/>
      <c r="K695" s="338"/>
      <c r="L695" s="338"/>
      <c r="M695" s="338"/>
      <c r="N695" s="338"/>
      <c r="O695" s="338"/>
      <c r="P695" s="338"/>
      <c r="Q695" s="338"/>
      <c r="R695" s="338"/>
      <c r="S695" s="338"/>
      <c r="T695" s="338"/>
      <c r="U695" s="338"/>
      <c r="V695" s="338"/>
      <c r="W695" s="338"/>
      <c r="X695" s="338"/>
      <c r="Y695" s="338"/>
      <c r="Z695" s="338"/>
    </row>
    <row r="696" ht="22.5" customHeight="1">
      <c r="A696" s="528"/>
      <c r="B696" s="528"/>
      <c r="C696" s="528"/>
      <c r="D696" s="528"/>
      <c r="E696" s="528"/>
      <c r="F696" s="535"/>
      <c r="G696" s="536"/>
      <c r="H696" s="338"/>
      <c r="I696" s="338"/>
      <c r="J696" s="536"/>
      <c r="K696" s="338"/>
      <c r="L696" s="338"/>
      <c r="M696" s="338"/>
      <c r="N696" s="338"/>
      <c r="O696" s="338"/>
      <c r="P696" s="338"/>
      <c r="Q696" s="338"/>
      <c r="R696" s="338"/>
      <c r="S696" s="338"/>
      <c r="T696" s="338"/>
      <c r="U696" s="338"/>
      <c r="V696" s="338"/>
      <c r="W696" s="338"/>
      <c r="X696" s="338"/>
      <c r="Y696" s="338"/>
      <c r="Z696" s="338"/>
    </row>
    <row r="697" ht="22.5" customHeight="1">
      <c r="A697" s="528"/>
      <c r="B697" s="528"/>
      <c r="C697" s="528"/>
      <c r="D697" s="528"/>
      <c r="E697" s="528"/>
      <c r="F697" s="535"/>
      <c r="G697" s="536"/>
      <c r="H697" s="338"/>
      <c r="I697" s="338"/>
      <c r="J697" s="536"/>
      <c r="K697" s="338"/>
      <c r="L697" s="338"/>
      <c r="M697" s="338"/>
      <c r="N697" s="338"/>
      <c r="O697" s="338"/>
      <c r="P697" s="338"/>
      <c r="Q697" s="338"/>
      <c r="R697" s="338"/>
      <c r="S697" s="338"/>
      <c r="T697" s="338"/>
      <c r="U697" s="338"/>
      <c r="V697" s="338"/>
      <c r="W697" s="338"/>
      <c r="X697" s="338"/>
      <c r="Y697" s="338"/>
      <c r="Z697" s="338"/>
    </row>
    <row r="698" ht="22.5" customHeight="1">
      <c r="A698" s="528"/>
      <c r="B698" s="528"/>
      <c r="C698" s="528"/>
      <c r="D698" s="528"/>
      <c r="E698" s="528"/>
      <c r="F698" s="535"/>
      <c r="G698" s="536"/>
      <c r="H698" s="338"/>
      <c r="I698" s="338"/>
      <c r="J698" s="536"/>
      <c r="K698" s="338"/>
      <c r="L698" s="338"/>
      <c r="M698" s="338"/>
      <c r="N698" s="338"/>
      <c r="O698" s="338"/>
      <c r="P698" s="338"/>
      <c r="Q698" s="338"/>
      <c r="R698" s="338"/>
      <c r="S698" s="338"/>
      <c r="T698" s="338"/>
      <c r="U698" s="338"/>
      <c r="V698" s="338"/>
      <c r="W698" s="338"/>
      <c r="X698" s="338"/>
      <c r="Y698" s="338"/>
      <c r="Z698" s="338"/>
    </row>
    <row r="699" ht="22.5" customHeight="1">
      <c r="A699" s="528"/>
      <c r="B699" s="528"/>
      <c r="C699" s="528"/>
      <c r="D699" s="528"/>
      <c r="E699" s="528"/>
      <c r="F699" s="535"/>
      <c r="G699" s="536"/>
      <c r="H699" s="338"/>
      <c r="I699" s="338"/>
      <c r="J699" s="536"/>
      <c r="K699" s="338"/>
      <c r="L699" s="338"/>
      <c r="M699" s="338"/>
      <c r="N699" s="338"/>
      <c r="O699" s="338"/>
      <c r="P699" s="338"/>
      <c r="Q699" s="338"/>
      <c r="R699" s="338"/>
      <c r="S699" s="338"/>
      <c r="T699" s="338"/>
      <c r="U699" s="338"/>
      <c r="V699" s="338"/>
      <c r="W699" s="338"/>
      <c r="X699" s="338"/>
      <c r="Y699" s="338"/>
      <c r="Z699" s="338"/>
    </row>
    <row r="700" ht="22.5" customHeight="1">
      <c r="A700" s="528"/>
      <c r="B700" s="528"/>
      <c r="C700" s="528"/>
      <c r="D700" s="528"/>
      <c r="E700" s="528"/>
      <c r="F700" s="535"/>
      <c r="G700" s="536"/>
      <c r="H700" s="338"/>
      <c r="I700" s="338"/>
      <c r="J700" s="536"/>
      <c r="K700" s="338"/>
      <c r="L700" s="338"/>
      <c r="M700" s="338"/>
      <c r="N700" s="338"/>
      <c r="O700" s="338"/>
      <c r="P700" s="338"/>
      <c r="Q700" s="338"/>
      <c r="R700" s="338"/>
      <c r="S700" s="338"/>
      <c r="T700" s="338"/>
      <c r="U700" s="338"/>
      <c r="V700" s="338"/>
      <c r="W700" s="338"/>
      <c r="X700" s="338"/>
      <c r="Y700" s="338"/>
      <c r="Z700" s="338"/>
    </row>
    <row r="701" ht="22.5" customHeight="1">
      <c r="A701" s="528"/>
      <c r="B701" s="528"/>
      <c r="C701" s="528"/>
      <c r="D701" s="528"/>
      <c r="E701" s="528"/>
      <c r="F701" s="535"/>
      <c r="G701" s="536"/>
      <c r="H701" s="338"/>
      <c r="I701" s="338"/>
      <c r="J701" s="536"/>
      <c r="K701" s="338"/>
      <c r="L701" s="338"/>
      <c r="M701" s="338"/>
      <c r="N701" s="338"/>
      <c r="O701" s="338"/>
      <c r="P701" s="338"/>
      <c r="Q701" s="338"/>
      <c r="R701" s="338"/>
      <c r="S701" s="338"/>
      <c r="T701" s="338"/>
      <c r="U701" s="338"/>
      <c r="V701" s="338"/>
      <c r="W701" s="338"/>
      <c r="X701" s="338"/>
      <c r="Y701" s="338"/>
      <c r="Z701" s="338"/>
    </row>
    <row r="702" ht="22.5" customHeight="1">
      <c r="A702" s="528"/>
      <c r="B702" s="528"/>
      <c r="C702" s="528"/>
      <c r="D702" s="528"/>
      <c r="E702" s="528"/>
      <c r="F702" s="535"/>
      <c r="G702" s="536"/>
      <c r="H702" s="338"/>
      <c r="I702" s="338"/>
      <c r="J702" s="536"/>
      <c r="K702" s="338"/>
      <c r="L702" s="338"/>
      <c r="M702" s="338"/>
      <c r="N702" s="338"/>
      <c r="O702" s="338"/>
      <c r="P702" s="338"/>
      <c r="Q702" s="338"/>
      <c r="R702" s="338"/>
      <c r="S702" s="338"/>
      <c r="T702" s="338"/>
      <c r="U702" s="338"/>
      <c r="V702" s="338"/>
      <c r="W702" s="338"/>
      <c r="X702" s="338"/>
      <c r="Y702" s="338"/>
      <c r="Z702" s="338"/>
    </row>
    <row r="703" ht="22.5" customHeight="1">
      <c r="A703" s="528"/>
      <c r="B703" s="528"/>
      <c r="C703" s="528"/>
      <c r="D703" s="528"/>
      <c r="E703" s="528"/>
      <c r="F703" s="535"/>
      <c r="G703" s="536"/>
      <c r="H703" s="338"/>
      <c r="I703" s="338"/>
      <c r="J703" s="536"/>
      <c r="K703" s="338"/>
      <c r="L703" s="338"/>
      <c r="M703" s="338"/>
      <c r="N703" s="338"/>
      <c r="O703" s="338"/>
      <c r="P703" s="338"/>
      <c r="Q703" s="338"/>
      <c r="R703" s="338"/>
      <c r="S703" s="338"/>
      <c r="T703" s="338"/>
      <c r="U703" s="338"/>
      <c r="V703" s="338"/>
      <c r="W703" s="338"/>
      <c r="X703" s="338"/>
      <c r="Y703" s="338"/>
      <c r="Z703" s="338"/>
    </row>
    <row r="704" ht="22.5" customHeight="1">
      <c r="A704" s="528"/>
      <c r="B704" s="528"/>
      <c r="C704" s="528"/>
      <c r="D704" s="528"/>
      <c r="E704" s="528"/>
      <c r="F704" s="535"/>
      <c r="G704" s="536"/>
      <c r="H704" s="338"/>
      <c r="I704" s="338"/>
      <c r="J704" s="536"/>
      <c r="K704" s="338"/>
      <c r="L704" s="338"/>
      <c r="M704" s="338"/>
      <c r="N704" s="338"/>
      <c r="O704" s="338"/>
      <c r="P704" s="338"/>
      <c r="Q704" s="338"/>
      <c r="R704" s="338"/>
      <c r="S704" s="338"/>
      <c r="T704" s="338"/>
      <c r="U704" s="338"/>
      <c r="V704" s="338"/>
      <c r="W704" s="338"/>
      <c r="X704" s="338"/>
      <c r="Y704" s="338"/>
      <c r="Z704" s="338"/>
    </row>
    <row r="705" ht="22.5" customHeight="1">
      <c r="A705" s="528"/>
      <c r="B705" s="528"/>
      <c r="C705" s="528"/>
      <c r="D705" s="528"/>
      <c r="E705" s="528"/>
      <c r="F705" s="535"/>
      <c r="G705" s="536"/>
      <c r="H705" s="338"/>
      <c r="I705" s="338"/>
      <c r="J705" s="536"/>
      <c r="K705" s="338"/>
      <c r="L705" s="338"/>
      <c r="M705" s="338"/>
      <c r="N705" s="338"/>
      <c r="O705" s="338"/>
      <c r="P705" s="338"/>
      <c r="Q705" s="338"/>
      <c r="R705" s="338"/>
      <c r="S705" s="338"/>
      <c r="T705" s="338"/>
      <c r="U705" s="338"/>
      <c r="V705" s="338"/>
      <c r="W705" s="338"/>
      <c r="X705" s="338"/>
      <c r="Y705" s="338"/>
      <c r="Z705" s="338"/>
    </row>
    <row r="706" ht="22.5" customHeight="1">
      <c r="A706" s="528"/>
      <c r="B706" s="528"/>
      <c r="C706" s="528"/>
      <c r="D706" s="528"/>
      <c r="E706" s="528"/>
      <c r="F706" s="535"/>
      <c r="G706" s="536"/>
      <c r="H706" s="338"/>
      <c r="I706" s="338"/>
      <c r="J706" s="536"/>
      <c r="K706" s="338"/>
      <c r="L706" s="338"/>
      <c r="M706" s="338"/>
      <c r="N706" s="338"/>
      <c r="O706" s="338"/>
      <c r="P706" s="338"/>
      <c r="Q706" s="338"/>
      <c r="R706" s="338"/>
      <c r="S706" s="338"/>
      <c r="T706" s="338"/>
      <c r="U706" s="338"/>
      <c r="V706" s="338"/>
      <c r="W706" s="338"/>
      <c r="X706" s="338"/>
      <c r="Y706" s="338"/>
      <c r="Z706" s="338"/>
    </row>
    <row r="707" ht="22.5" customHeight="1">
      <c r="A707" s="528"/>
      <c r="B707" s="528"/>
      <c r="C707" s="528"/>
      <c r="D707" s="528"/>
      <c r="E707" s="528"/>
      <c r="F707" s="535"/>
      <c r="G707" s="536"/>
      <c r="H707" s="338"/>
      <c r="I707" s="338"/>
      <c r="J707" s="536"/>
      <c r="K707" s="338"/>
      <c r="L707" s="338"/>
      <c r="M707" s="338"/>
      <c r="N707" s="338"/>
      <c r="O707" s="338"/>
      <c r="P707" s="338"/>
      <c r="Q707" s="338"/>
      <c r="R707" s="338"/>
      <c r="S707" s="338"/>
      <c r="T707" s="338"/>
      <c r="U707" s="338"/>
      <c r="V707" s="338"/>
      <c r="W707" s="338"/>
      <c r="X707" s="338"/>
      <c r="Y707" s="338"/>
      <c r="Z707" s="338"/>
    </row>
    <row r="708" ht="22.5" customHeight="1">
      <c r="A708" s="528"/>
      <c r="B708" s="528"/>
      <c r="C708" s="528"/>
      <c r="D708" s="528"/>
      <c r="E708" s="528"/>
      <c r="F708" s="535"/>
      <c r="G708" s="536"/>
      <c r="H708" s="338"/>
      <c r="I708" s="338"/>
      <c r="J708" s="536"/>
      <c r="K708" s="338"/>
      <c r="L708" s="338"/>
      <c r="M708" s="338"/>
      <c r="N708" s="338"/>
      <c r="O708" s="338"/>
      <c r="P708" s="338"/>
      <c r="Q708" s="338"/>
      <c r="R708" s="338"/>
      <c r="S708" s="338"/>
      <c r="T708" s="338"/>
      <c r="U708" s="338"/>
      <c r="V708" s="338"/>
      <c r="W708" s="338"/>
      <c r="X708" s="338"/>
      <c r="Y708" s="338"/>
      <c r="Z708" s="338"/>
    </row>
    <row r="709" ht="22.5" customHeight="1">
      <c r="A709" s="528"/>
      <c r="B709" s="528"/>
      <c r="C709" s="528"/>
      <c r="D709" s="528"/>
      <c r="E709" s="528"/>
      <c r="F709" s="535"/>
      <c r="G709" s="536"/>
      <c r="H709" s="338"/>
      <c r="I709" s="338"/>
      <c r="J709" s="536"/>
      <c r="K709" s="338"/>
      <c r="L709" s="338"/>
      <c r="M709" s="338"/>
      <c r="N709" s="338"/>
      <c r="O709" s="338"/>
      <c r="P709" s="338"/>
      <c r="Q709" s="338"/>
      <c r="R709" s="338"/>
      <c r="S709" s="338"/>
      <c r="T709" s="338"/>
      <c r="U709" s="338"/>
      <c r="V709" s="338"/>
      <c r="W709" s="338"/>
      <c r="X709" s="338"/>
      <c r="Y709" s="338"/>
      <c r="Z709" s="338"/>
    </row>
    <row r="710" ht="22.5" customHeight="1">
      <c r="A710" s="528"/>
      <c r="B710" s="528"/>
      <c r="C710" s="528"/>
      <c r="D710" s="528"/>
      <c r="E710" s="528"/>
      <c r="F710" s="535"/>
      <c r="G710" s="536"/>
      <c r="H710" s="338"/>
      <c r="I710" s="338"/>
      <c r="J710" s="536"/>
      <c r="K710" s="338"/>
      <c r="L710" s="338"/>
      <c r="M710" s="338"/>
      <c r="N710" s="338"/>
      <c r="O710" s="338"/>
      <c r="P710" s="338"/>
      <c r="Q710" s="338"/>
      <c r="R710" s="338"/>
      <c r="S710" s="338"/>
      <c r="T710" s="338"/>
      <c r="U710" s="338"/>
      <c r="V710" s="338"/>
      <c r="W710" s="338"/>
      <c r="X710" s="338"/>
      <c r="Y710" s="338"/>
      <c r="Z710" s="338"/>
    </row>
    <row r="711" ht="22.5" customHeight="1">
      <c r="A711" s="528"/>
      <c r="B711" s="528"/>
      <c r="C711" s="528"/>
      <c r="D711" s="528"/>
      <c r="E711" s="528"/>
      <c r="F711" s="535"/>
      <c r="G711" s="536"/>
      <c r="H711" s="338"/>
      <c r="I711" s="338"/>
      <c r="J711" s="536"/>
      <c r="K711" s="338"/>
      <c r="L711" s="338"/>
      <c r="M711" s="338"/>
      <c r="N711" s="338"/>
      <c r="O711" s="338"/>
      <c r="P711" s="338"/>
      <c r="Q711" s="338"/>
      <c r="R711" s="338"/>
      <c r="S711" s="338"/>
      <c r="T711" s="338"/>
      <c r="U711" s="338"/>
      <c r="V711" s="338"/>
      <c r="W711" s="338"/>
      <c r="X711" s="338"/>
      <c r="Y711" s="338"/>
      <c r="Z711" s="338"/>
    </row>
    <row r="712" ht="22.5" customHeight="1">
      <c r="A712" s="528"/>
      <c r="B712" s="528"/>
      <c r="C712" s="528"/>
      <c r="D712" s="528"/>
      <c r="E712" s="528"/>
      <c r="F712" s="535"/>
      <c r="G712" s="536"/>
      <c r="H712" s="338"/>
      <c r="I712" s="338"/>
      <c r="J712" s="536"/>
      <c r="K712" s="338"/>
      <c r="L712" s="338"/>
      <c r="M712" s="338"/>
      <c r="N712" s="338"/>
      <c r="O712" s="338"/>
      <c r="P712" s="338"/>
      <c r="Q712" s="338"/>
      <c r="R712" s="338"/>
      <c r="S712" s="338"/>
      <c r="T712" s="338"/>
      <c r="U712" s="338"/>
      <c r="V712" s="338"/>
      <c r="W712" s="338"/>
      <c r="X712" s="338"/>
      <c r="Y712" s="338"/>
      <c r="Z712" s="338"/>
    </row>
    <row r="713" ht="22.5" customHeight="1">
      <c r="A713" s="528"/>
      <c r="B713" s="528"/>
      <c r="C713" s="528"/>
      <c r="D713" s="528"/>
      <c r="E713" s="528"/>
      <c r="F713" s="535"/>
      <c r="G713" s="536"/>
      <c r="H713" s="338"/>
      <c r="I713" s="338"/>
      <c r="J713" s="536"/>
      <c r="K713" s="338"/>
      <c r="L713" s="338"/>
      <c r="M713" s="338"/>
      <c r="N713" s="338"/>
      <c r="O713" s="338"/>
      <c r="P713" s="338"/>
      <c r="Q713" s="338"/>
      <c r="R713" s="338"/>
      <c r="S713" s="338"/>
      <c r="T713" s="338"/>
      <c r="U713" s="338"/>
      <c r="V713" s="338"/>
      <c r="W713" s="338"/>
      <c r="X713" s="338"/>
      <c r="Y713" s="338"/>
      <c r="Z713" s="338"/>
    </row>
    <row r="714" ht="22.5" customHeight="1">
      <c r="A714" s="528"/>
      <c r="B714" s="528"/>
      <c r="C714" s="528"/>
      <c r="D714" s="528"/>
      <c r="E714" s="528"/>
      <c r="F714" s="535"/>
      <c r="G714" s="536"/>
      <c r="H714" s="338"/>
      <c r="I714" s="338"/>
      <c r="J714" s="536"/>
      <c r="K714" s="338"/>
      <c r="L714" s="338"/>
      <c r="M714" s="338"/>
      <c r="N714" s="338"/>
      <c r="O714" s="338"/>
      <c r="P714" s="338"/>
      <c r="Q714" s="338"/>
      <c r="R714" s="338"/>
      <c r="S714" s="338"/>
      <c r="T714" s="338"/>
      <c r="U714" s="338"/>
      <c r="V714" s="338"/>
      <c r="W714" s="338"/>
      <c r="X714" s="338"/>
      <c r="Y714" s="338"/>
      <c r="Z714" s="338"/>
    </row>
    <row r="715" ht="22.5" customHeight="1">
      <c r="A715" s="528"/>
      <c r="B715" s="528"/>
      <c r="C715" s="528"/>
      <c r="D715" s="528"/>
      <c r="E715" s="528"/>
      <c r="F715" s="535"/>
      <c r="G715" s="536"/>
      <c r="H715" s="338"/>
      <c r="I715" s="338"/>
      <c r="J715" s="536"/>
      <c r="K715" s="338"/>
      <c r="L715" s="338"/>
      <c r="M715" s="338"/>
      <c r="N715" s="338"/>
      <c r="O715" s="338"/>
      <c r="P715" s="338"/>
      <c r="Q715" s="338"/>
      <c r="R715" s="338"/>
      <c r="S715" s="338"/>
      <c r="T715" s="338"/>
      <c r="U715" s="338"/>
      <c r="V715" s="338"/>
      <c r="W715" s="338"/>
      <c r="X715" s="338"/>
      <c r="Y715" s="338"/>
      <c r="Z715" s="338"/>
    </row>
    <row r="716" ht="22.5" customHeight="1">
      <c r="A716" s="528"/>
      <c r="B716" s="528"/>
      <c r="C716" s="528"/>
      <c r="D716" s="528"/>
      <c r="E716" s="528"/>
      <c r="F716" s="535"/>
      <c r="G716" s="536"/>
      <c r="H716" s="338"/>
      <c r="I716" s="338"/>
      <c r="J716" s="536"/>
      <c r="K716" s="338"/>
      <c r="L716" s="338"/>
      <c r="M716" s="338"/>
      <c r="N716" s="338"/>
      <c r="O716" s="338"/>
      <c r="P716" s="338"/>
      <c r="Q716" s="338"/>
      <c r="R716" s="338"/>
      <c r="S716" s="338"/>
      <c r="T716" s="338"/>
      <c r="U716" s="338"/>
      <c r="V716" s="338"/>
      <c r="W716" s="338"/>
      <c r="X716" s="338"/>
      <c r="Y716" s="338"/>
      <c r="Z716" s="338"/>
    </row>
    <row r="717" ht="22.5" customHeight="1">
      <c r="A717" s="528"/>
      <c r="B717" s="528"/>
      <c r="C717" s="528"/>
      <c r="D717" s="528"/>
      <c r="E717" s="528"/>
      <c r="F717" s="535"/>
      <c r="G717" s="536"/>
      <c r="H717" s="338"/>
      <c r="I717" s="338"/>
      <c r="J717" s="536"/>
      <c r="K717" s="338"/>
      <c r="L717" s="338"/>
      <c r="M717" s="338"/>
      <c r="N717" s="338"/>
      <c r="O717" s="338"/>
      <c r="P717" s="338"/>
      <c r="Q717" s="338"/>
      <c r="R717" s="338"/>
      <c r="S717" s="338"/>
      <c r="T717" s="338"/>
      <c r="U717" s="338"/>
      <c r="V717" s="338"/>
      <c r="W717" s="338"/>
      <c r="X717" s="338"/>
      <c r="Y717" s="338"/>
      <c r="Z717" s="338"/>
    </row>
    <row r="718" ht="22.5" customHeight="1">
      <c r="A718" s="528"/>
      <c r="B718" s="528"/>
      <c r="C718" s="528"/>
      <c r="D718" s="528"/>
      <c r="E718" s="528"/>
      <c r="F718" s="535"/>
      <c r="G718" s="536"/>
      <c r="H718" s="338"/>
      <c r="I718" s="338"/>
      <c r="J718" s="536"/>
      <c r="K718" s="338"/>
      <c r="L718" s="338"/>
      <c r="M718" s="338"/>
      <c r="N718" s="338"/>
      <c r="O718" s="338"/>
      <c r="P718" s="338"/>
      <c r="Q718" s="338"/>
      <c r="R718" s="338"/>
      <c r="S718" s="338"/>
      <c r="T718" s="338"/>
      <c r="U718" s="338"/>
      <c r="V718" s="338"/>
      <c r="W718" s="338"/>
      <c r="X718" s="338"/>
      <c r="Y718" s="338"/>
      <c r="Z718" s="338"/>
    </row>
    <row r="719" ht="22.5" customHeight="1">
      <c r="A719" s="528"/>
      <c r="B719" s="528"/>
      <c r="C719" s="528"/>
      <c r="D719" s="528"/>
      <c r="E719" s="528"/>
      <c r="F719" s="535"/>
      <c r="G719" s="536"/>
      <c r="H719" s="338"/>
      <c r="I719" s="338"/>
      <c r="J719" s="536"/>
      <c r="K719" s="338"/>
      <c r="L719" s="338"/>
      <c r="M719" s="338"/>
      <c r="N719" s="338"/>
      <c r="O719" s="338"/>
      <c r="P719" s="338"/>
      <c r="Q719" s="338"/>
      <c r="R719" s="338"/>
      <c r="S719" s="338"/>
      <c r="T719" s="338"/>
      <c r="U719" s="338"/>
      <c r="V719" s="338"/>
      <c r="W719" s="338"/>
      <c r="X719" s="338"/>
      <c r="Y719" s="338"/>
      <c r="Z719" s="338"/>
    </row>
    <row r="720" ht="22.5" customHeight="1">
      <c r="A720" s="528"/>
      <c r="B720" s="528"/>
      <c r="C720" s="528"/>
      <c r="D720" s="528"/>
      <c r="E720" s="528"/>
      <c r="F720" s="535"/>
      <c r="G720" s="536"/>
      <c r="H720" s="338"/>
      <c r="I720" s="338"/>
      <c r="J720" s="536"/>
      <c r="K720" s="338"/>
      <c r="L720" s="338"/>
      <c r="M720" s="338"/>
      <c r="N720" s="338"/>
      <c r="O720" s="338"/>
      <c r="P720" s="338"/>
      <c r="Q720" s="338"/>
      <c r="R720" s="338"/>
      <c r="S720" s="338"/>
      <c r="T720" s="338"/>
      <c r="U720" s="338"/>
      <c r="V720" s="338"/>
      <c r="W720" s="338"/>
      <c r="X720" s="338"/>
      <c r="Y720" s="338"/>
      <c r="Z720" s="338"/>
    </row>
    <row r="721" ht="22.5" customHeight="1">
      <c r="A721" s="528"/>
      <c r="B721" s="528"/>
      <c r="C721" s="528"/>
      <c r="D721" s="528"/>
      <c r="E721" s="528"/>
      <c r="F721" s="535"/>
      <c r="G721" s="536"/>
      <c r="H721" s="338"/>
      <c r="I721" s="338"/>
      <c r="J721" s="536"/>
      <c r="K721" s="338"/>
      <c r="L721" s="338"/>
      <c r="M721" s="338"/>
      <c r="N721" s="338"/>
      <c r="O721" s="338"/>
      <c r="P721" s="338"/>
      <c r="Q721" s="338"/>
      <c r="R721" s="338"/>
      <c r="S721" s="338"/>
      <c r="T721" s="338"/>
      <c r="U721" s="338"/>
      <c r="V721" s="338"/>
      <c r="W721" s="338"/>
      <c r="X721" s="338"/>
      <c r="Y721" s="338"/>
      <c r="Z721" s="338"/>
    </row>
    <row r="722" ht="22.5" customHeight="1">
      <c r="A722" s="528"/>
      <c r="B722" s="528"/>
      <c r="C722" s="528"/>
      <c r="D722" s="528"/>
      <c r="E722" s="528"/>
      <c r="F722" s="535"/>
      <c r="G722" s="536"/>
      <c r="H722" s="338"/>
      <c r="I722" s="338"/>
      <c r="J722" s="536"/>
      <c r="K722" s="338"/>
      <c r="L722" s="338"/>
      <c r="M722" s="338"/>
      <c r="N722" s="338"/>
      <c r="O722" s="338"/>
      <c r="P722" s="338"/>
      <c r="Q722" s="338"/>
      <c r="R722" s="338"/>
      <c r="S722" s="338"/>
      <c r="T722" s="338"/>
      <c r="U722" s="338"/>
      <c r="V722" s="338"/>
      <c r="W722" s="338"/>
      <c r="X722" s="338"/>
      <c r="Y722" s="338"/>
      <c r="Z722" s="338"/>
    </row>
    <row r="723" ht="22.5" customHeight="1">
      <c r="A723" s="528"/>
      <c r="B723" s="528"/>
      <c r="C723" s="528"/>
      <c r="D723" s="528"/>
      <c r="E723" s="528"/>
      <c r="F723" s="535"/>
      <c r="G723" s="536"/>
      <c r="H723" s="338"/>
      <c r="I723" s="338"/>
      <c r="J723" s="536"/>
      <c r="K723" s="338"/>
      <c r="L723" s="338"/>
      <c r="M723" s="338"/>
      <c r="N723" s="338"/>
      <c r="O723" s="338"/>
      <c r="P723" s="338"/>
      <c r="Q723" s="338"/>
      <c r="R723" s="338"/>
      <c r="S723" s="338"/>
      <c r="T723" s="338"/>
      <c r="U723" s="338"/>
      <c r="V723" s="338"/>
      <c r="W723" s="338"/>
      <c r="X723" s="338"/>
      <c r="Y723" s="338"/>
      <c r="Z723" s="338"/>
    </row>
    <row r="724" ht="22.5" customHeight="1">
      <c r="A724" s="528"/>
      <c r="B724" s="528"/>
      <c r="C724" s="528"/>
      <c r="D724" s="528"/>
      <c r="E724" s="528"/>
      <c r="F724" s="535"/>
      <c r="G724" s="536"/>
      <c r="H724" s="338"/>
      <c r="I724" s="338"/>
      <c r="J724" s="536"/>
      <c r="K724" s="338"/>
      <c r="L724" s="338"/>
      <c r="M724" s="338"/>
      <c r="N724" s="338"/>
      <c r="O724" s="338"/>
      <c r="P724" s="338"/>
      <c r="Q724" s="338"/>
      <c r="R724" s="338"/>
      <c r="S724" s="338"/>
      <c r="T724" s="338"/>
      <c r="U724" s="338"/>
      <c r="V724" s="338"/>
      <c r="W724" s="338"/>
      <c r="X724" s="338"/>
      <c r="Y724" s="338"/>
      <c r="Z724" s="338"/>
    </row>
    <row r="725" ht="22.5" customHeight="1">
      <c r="A725" s="528"/>
      <c r="B725" s="528"/>
      <c r="C725" s="528"/>
      <c r="D725" s="528"/>
      <c r="E725" s="528"/>
      <c r="F725" s="535"/>
      <c r="G725" s="536"/>
      <c r="H725" s="338"/>
      <c r="I725" s="338"/>
      <c r="J725" s="536"/>
      <c r="K725" s="338"/>
      <c r="L725" s="338"/>
      <c r="M725" s="338"/>
      <c r="N725" s="338"/>
      <c r="O725" s="338"/>
      <c r="P725" s="338"/>
      <c r="Q725" s="338"/>
      <c r="R725" s="338"/>
      <c r="S725" s="338"/>
      <c r="T725" s="338"/>
      <c r="U725" s="338"/>
      <c r="V725" s="338"/>
      <c r="W725" s="338"/>
      <c r="X725" s="338"/>
      <c r="Y725" s="338"/>
      <c r="Z725" s="338"/>
    </row>
    <row r="726" ht="22.5" customHeight="1">
      <c r="A726" s="528"/>
      <c r="B726" s="528"/>
      <c r="C726" s="528"/>
      <c r="D726" s="528"/>
      <c r="E726" s="528"/>
      <c r="F726" s="535"/>
      <c r="G726" s="536"/>
      <c r="H726" s="338"/>
      <c r="I726" s="338"/>
      <c r="J726" s="536"/>
      <c r="K726" s="338"/>
      <c r="L726" s="338"/>
      <c r="M726" s="338"/>
      <c r="N726" s="338"/>
      <c r="O726" s="338"/>
      <c r="P726" s="338"/>
      <c r="Q726" s="338"/>
      <c r="R726" s="338"/>
      <c r="S726" s="338"/>
      <c r="T726" s="338"/>
      <c r="U726" s="338"/>
      <c r="V726" s="338"/>
      <c r="W726" s="338"/>
      <c r="X726" s="338"/>
      <c r="Y726" s="338"/>
      <c r="Z726" s="338"/>
    </row>
    <row r="727" ht="22.5" customHeight="1">
      <c r="A727" s="528"/>
      <c r="B727" s="528"/>
      <c r="C727" s="528"/>
      <c r="D727" s="528"/>
      <c r="E727" s="528"/>
      <c r="F727" s="535"/>
      <c r="G727" s="536"/>
      <c r="H727" s="338"/>
      <c r="I727" s="338"/>
      <c r="J727" s="536"/>
      <c r="K727" s="338"/>
      <c r="L727" s="338"/>
      <c r="M727" s="338"/>
      <c r="N727" s="338"/>
      <c r="O727" s="338"/>
      <c r="P727" s="338"/>
      <c r="Q727" s="338"/>
      <c r="R727" s="338"/>
      <c r="S727" s="338"/>
      <c r="T727" s="338"/>
      <c r="U727" s="338"/>
      <c r="V727" s="338"/>
      <c r="W727" s="338"/>
      <c r="X727" s="338"/>
      <c r="Y727" s="338"/>
      <c r="Z727" s="338"/>
    </row>
    <row r="728" ht="22.5" customHeight="1">
      <c r="A728" s="528"/>
      <c r="B728" s="528"/>
      <c r="C728" s="528"/>
      <c r="D728" s="528"/>
      <c r="E728" s="528"/>
      <c r="F728" s="535"/>
      <c r="G728" s="536"/>
      <c r="H728" s="338"/>
      <c r="I728" s="338"/>
      <c r="J728" s="536"/>
      <c r="K728" s="338"/>
      <c r="L728" s="338"/>
      <c r="M728" s="338"/>
      <c r="N728" s="338"/>
      <c r="O728" s="338"/>
      <c r="P728" s="338"/>
      <c r="Q728" s="338"/>
      <c r="R728" s="338"/>
      <c r="S728" s="338"/>
      <c r="T728" s="338"/>
      <c r="U728" s="338"/>
      <c r="V728" s="338"/>
      <c r="W728" s="338"/>
      <c r="X728" s="338"/>
      <c r="Y728" s="338"/>
      <c r="Z728" s="338"/>
    </row>
    <row r="729" ht="22.5" customHeight="1">
      <c r="A729" s="528"/>
      <c r="B729" s="528"/>
      <c r="C729" s="528"/>
      <c r="D729" s="528"/>
      <c r="E729" s="528"/>
      <c r="F729" s="535"/>
      <c r="G729" s="536"/>
      <c r="H729" s="338"/>
      <c r="I729" s="338"/>
      <c r="J729" s="536"/>
      <c r="K729" s="338"/>
      <c r="L729" s="338"/>
      <c r="M729" s="338"/>
      <c r="N729" s="338"/>
      <c r="O729" s="338"/>
      <c r="P729" s="338"/>
      <c r="Q729" s="338"/>
      <c r="R729" s="338"/>
      <c r="S729" s="338"/>
      <c r="T729" s="338"/>
      <c r="U729" s="338"/>
      <c r="V729" s="338"/>
      <c r="W729" s="338"/>
      <c r="X729" s="338"/>
      <c r="Y729" s="338"/>
      <c r="Z729" s="338"/>
    </row>
    <row r="730" ht="22.5" customHeight="1">
      <c r="A730" s="528"/>
      <c r="B730" s="528"/>
      <c r="C730" s="528"/>
      <c r="D730" s="528"/>
      <c r="E730" s="528"/>
      <c r="F730" s="535"/>
      <c r="G730" s="536"/>
      <c r="H730" s="338"/>
      <c r="I730" s="338"/>
      <c r="J730" s="536"/>
      <c r="K730" s="338"/>
      <c r="L730" s="338"/>
      <c r="M730" s="338"/>
      <c r="N730" s="338"/>
      <c r="O730" s="338"/>
      <c r="P730" s="338"/>
      <c r="Q730" s="338"/>
      <c r="R730" s="338"/>
      <c r="S730" s="338"/>
      <c r="T730" s="338"/>
      <c r="U730" s="338"/>
      <c r="V730" s="338"/>
      <c r="W730" s="338"/>
      <c r="X730" s="338"/>
      <c r="Y730" s="338"/>
      <c r="Z730" s="338"/>
    </row>
    <row r="731" ht="22.5" customHeight="1">
      <c r="A731" s="528"/>
      <c r="B731" s="528"/>
      <c r="C731" s="528"/>
      <c r="D731" s="528"/>
      <c r="E731" s="528"/>
      <c r="F731" s="535"/>
      <c r="G731" s="536"/>
      <c r="H731" s="338"/>
      <c r="I731" s="338"/>
      <c r="J731" s="536"/>
      <c r="K731" s="338"/>
      <c r="L731" s="338"/>
      <c r="M731" s="338"/>
      <c r="N731" s="338"/>
      <c r="O731" s="338"/>
      <c r="P731" s="338"/>
      <c r="Q731" s="338"/>
      <c r="R731" s="338"/>
      <c r="S731" s="338"/>
      <c r="T731" s="338"/>
      <c r="U731" s="338"/>
      <c r="V731" s="338"/>
      <c r="W731" s="338"/>
      <c r="X731" s="338"/>
      <c r="Y731" s="338"/>
      <c r="Z731" s="338"/>
    </row>
    <row r="732" ht="22.5" customHeight="1">
      <c r="A732" s="528"/>
      <c r="B732" s="528"/>
      <c r="C732" s="528"/>
      <c r="D732" s="528"/>
      <c r="E732" s="528"/>
      <c r="F732" s="535"/>
      <c r="G732" s="536"/>
      <c r="H732" s="338"/>
      <c r="I732" s="338"/>
      <c r="J732" s="536"/>
      <c r="K732" s="338"/>
      <c r="L732" s="338"/>
      <c r="M732" s="338"/>
      <c r="N732" s="338"/>
      <c r="O732" s="338"/>
      <c r="P732" s="338"/>
      <c r="Q732" s="338"/>
      <c r="R732" s="338"/>
      <c r="S732" s="338"/>
      <c r="T732" s="338"/>
      <c r="U732" s="338"/>
      <c r="V732" s="338"/>
      <c r="W732" s="338"/>
      <c r="X732" s="338"/>
      <c r="Y732" s="338"/>
      <c r="Z732" s="338"/>
    </row>
    <row r="733" ht="22.5" customHeight="1">
      <c r="A733" s="528"/>
      <c r="B733" s="528"/>
      <c r="C733" s="528"/>
      <c r="D733" s="528"/>
      <c r="E733" s="528"/>
      <c r="F733" s="535"/>
      <c r="G733" s="536"/>
      <c r="H733" s="338"/>
      <c r="I733" s="338"/>
      <c r="J733" s="536"/>
      <c r="K733" s="338"/>
      <c r="L733" s="338"/>
      <c r="M733" s="338"/>
      <c r="N733" s="338"/>
      <c r="O733" s="338"/>
      <c r="P733" s="338"/>
      <c r="Q733" s="338"/>
      <c r="R733" s="338"/>
      <c r="S733" s="338"/>
      <c r="T733" s="338"/>
      <c r="U733" s="338"/>
      <c r="V733" s="338"/>
      <c r="W733" s="338"/>
      <c r="X733" s="338"/>
      <c r="Y733" s="338"/>
      <c r="Z733" s="338"/>
    </row>
    <row r="734" ht="22.5" customHeight="1">
      <c r="A734" s="528"/>
      <c r="B734" s="528"/>
      <c r="C734" s="528"/>
      <c r="D734" s="528"/>
      <c r="E734" s="528"/>
      <c r="F734" s="535"/>
      <c r="G734" s="536"/>
      <c r="H734" s="338"/>
      <c r="I734" s="338"/>
      <c r="J734" s="536"/>
      <c r="K734" s="338"/>
      <c r="L734" s="338"/>
      <c r="M734" s="338"/>
      <c r="N734" s="338"/>
      <c r="O734" s="338"/>
      <c r="P734" s="338"/>
      <c r="Q734" s="338"/>
      <c r="R734" s="338"/>
      <c r="S734" s="338"/>
      <c r="T734" s="338"/>
      <c r="U734" s="338"/>
      <c r="V734" s="338"/>
      <c r="W734" s="338"/>
      <c r="X734" s="338"/>
      <c r="Y734" s="338"/>
      <c r="Z734" s="338"/>
    </row>
    <row r="735" ht="22.5" customHeight="1">
      <c r="A735" s="528"/>
      <c r="B735" s="528"/>
      <c r="C735" s="528"/>
      <c r="D735" s="528"/>
      <c r="E735" s="528"/>
      <c r="F735" s="535"/>
      <c r="G735" s="536"/>
      <c r="H735" s="338"/>
      <c r="I735" s="338"/>
      <c r="J735" s="536"/>
      <c r="K735" s="338"/>
      <c r="L735" s="338"/>
      <c r="M735" s="338"/>
      <c r="N735" s="338"/>
      <c r="O735" s="338"/>
      <c r="P735" s="338"/>
      <c r="Q735" s="338"/>
      <c r="R735" s="338"/>
      <c r="S735" s="338"/>
      <c r="T735" s="338"/>
      <c r="U735" s="338"/>
      <c r="V735" s="338"/>
      <c r="W735" s="338"/>
      <c r="X735" s="338"/>
      <c r="Y735" s="338"/>
      <c r="Z735" s="338"/>
    </row>
    <row r="736" ht="22.5" customHeight="1">
      <c r="A736" s="528"/>
      <c r="B736" s="528"/>
      <c r="C736" s="528"/>
      <c r="D736" s="528"/>
      <c r="E736" s="528"/>
      <c r="F736" s="535"/>
      <c r="G736" s="536"/>
      <c r="H736" s="338"/>
      <c r="I736" s="338"/>
      <c r="J736" s="536"/>
      <c r="K736" s="338"/>
      <c r="L736" s="338"/>
      <c r="M736" s="338"/>
      <c r="N736" s="338"/>
      <c r="O736" s="338"/>
      <c r="P736" s="338"/>
      <c r="Q736" s="338"/>
      <c r="R736" s="338"/>
      <c r="S736" s="338"/>
      <c r="T736" s="338"/>
      <c r="U736" s="338"/>
      <c r="V736" s="338"/>
      <c r="W736" s="338"/>
      <c r="X736" s="338"/>
      <c r="Y736" s="338"/>
      <c r="Z736" s="338"/>
    </row>
    <row r="737" ht="22.5" customHeight="1">
      <c r="A737" s="528"/>
      <c r="B737" s="528"/>
      <c r="C737" s="528"/>
      <c r="D737" s="528"/>
      <c r="E737" s="528"/>
      <c r="F737" s="535"/>
      <c r="G737" s="536"/>
      <c r="H737" s="338"/>
      <c r="I737" s="338"/>
      <c r="J737" s="536"/>
      <c r="K737" s="338"/>
      <c r="L737" s="338"/>
      <c r="M737" s="338"/>
      <c r="N737" s="338"/>
      <c r="O737" s="338"/>
      <c r="P737" s="338"/>
      <c r="Q737" s="338"/>
      <c r="R737" s="338"/>
      <c r="S737" s="338"/>
      <c r="T737" s="338"/>
      <c r="U737" s="338"/>
      <c r="V737" s="338"/>
      <c r="W737" s="338"/>
      <c r="X737" s="338"/>
      <c r="Y737" s="338"/>
      <c r="Z737" s="338"/>
    </row>
    <row r="738" ht="22.5" customHeight="1">
      <c r="A738" s="528"/>
      <c r="B738" s="528"/>
      <c r="C738" s="528"/>
      <c r="D738" s="528"/>
      <c r="E738" s="528"/>
      <c r="F738" s="535"/>
      <c r="G738" s="536"/>
      <c r="H738" s="338"/>
      <c r="I738" s="338"/>
      <c r="J738" s="536"/>
      <c r="K738" s="338"/>
      <c r="L738" s="338"/>
      <c r="M738" s="338"/>
      <c r="N738" s="338"/>
      <c r="O738" s="338"/>
      <c r="P738" s="338"/>
      <c r="Q738" s="338"/>
      <c r="R738" s="338"/>
      <c r="S738" s="338"/>
      <c r="T738" s="338"/>
      <c r="U738" s="338"/>
      <c r="V738" s="338"/>
      <c r="W738" s="338"/>
      <c r="X738" s="338"/>
      <c r="Y738" s="338"/>
      <c r="Z738" s="338"/>
    </row>
    <row r="739" ht="22.5" customHeight="1">
      <c r="A739" s="528"/>
      <c r="B739" s="528"/>
      <c r="C739" s="528"/>
      <c r="D739" s="528"/>
      <c r="E739" s="528"/>
      <c r="F739" s="535"/>
      <c r="G739" s="536"/>
      <c r="H739" s="338"/>
      <c r="I739" s="338"/>
      <c r="J739" s="536"/>
      <c r="K739" s="338"/>
      <c r="L739" s="338"/>
      <c r="M739" s="338"/>
      <c r="N739" s="338"/>
      <c r="O739" s="338"/>
      <c r="P739" s="338"/>
      <c r="Q739" s="338"/>
      <c r="R739" s="338"/>
      <c r="S739" s="338"/>
      <c r="T739" s="338"/>
      <c r="U739" s="338"/>
      <c r="V739" s="338"/>
      <c r="W739" s="338"/>
      <c r="X739" s="338"/>
      <c r="Y739" s="338"/>
      <c r="Z739" s="338"/>
    </row>
    <row r="740" ht="22.5" customHeight="1">
      <c r="A740" s="528"/>
      <c r="B740" s="528"/>
      <c r="C740" s="528"/>
      <c r="D740" s="528"/>
      <c r="E740" s="528"/>
      <c r="F740" s="535"/>
      <c r="G740" s="536"/>
      <c r="H740" s="338"/>
      <c r="I740" s="338"/>
      <c r="J740" s="536"/>
      <c r="K740" s="338"/>
      <c r="L740" s="338"/>
      <c r="M740" s="338"/>
      <c r="N740" s="338"/>
      <c r="O740" s="338"/>
      <c r="P740" s="338"/>
      <c r="Q740" s="338"/>
      <c r="R740" s="338"/>
      <c r="S740" s="338"/>
      <c r="T740" s="338"/>
      <c r="U740" s="338"/>
      <c r="V740" s="338"/>
      <c r="W740" s="338"/>
      <c r="X740" s="338"/>
      <c r="Y740" s="338"/>
      <c r="Z740" s="338"/>
    </row>
    <row r="741" ht="22.5" customHeight="1">
      <c r="A741" s="528"/>
      <c r="B741" s="528"/>
      <c r="C741" s="528"/>
      <c r="D741" s="528"/>
      <c r="E741" s="528"/>
      <c r="F741" s="535"/>
      <c r="G741" s="536"/>
      <c r="H741" s="338"/>
      <c r="I741" s="338"/>
      <c r="J741" s="536"/>
      <c r="K741" s="338"/>
      <c r="L741" s="338"/>
      <c r="M741" s="338"/>
      <c r="N741" s="338"/>
      <c r="O741" s="338"/>
      <c r="P741" s="338"/>
      <c r="Q741" s="338"/>
      <c r="R741" s="338"/>
      <c r="S741" s="338"/>
      <c r="T741" s="338"/>
      <c r="U741" s="338"/>
      <c r="V741" s="338"/>
      <c r="W741" s="338"/>
      <c r="X741" s="338"/>
      <c r="Y741" s="338"/>
      <c r="Z741" s="338"/>
    </row>
    <row r="742" ht="22.5" customHeight="1">
      <c r="A742" s="528"/>
      <c r="B742" s="528"/>
      <c r="C742" s="528"/>
      <c r="D742" s="528"/>
      <c r="E742" s="528"/>
      <c r="F742" s="535"/>
      <c r="G742" s="536"/>
      <c r="H742" s="338"/>
      <c r="I742" s="338"/>
      <c r="J742" s="536"/>
      <c r="K742" s="338"/>
      <c r="L742" s="338"/>
      <c r="M742" s="338"/>
      <c r="N742" s="338"/>
      <c r="O742" s="338"/>
      <c r="P742" s="338"/>
      <c r="Q742" s="338"/>
      <c r="R742" s="338"/>
      <c r="S742" s="338"/>
      <c r="T742" s="338"/>
      <c r="U742" s="338"/>
      <c r="V742" s="338"/>
      <c r="W742" s="338"/>
      <c r="X742" s="338"/>
      <c r="Y742" s="338"/>
      <c r="Z742" s="338"/>
    </row>
    <row r="743" ht="22.5" customHeight="1">
      <c r="A743" s="528"/>
      <c r="B743" s="528"/>
      <c r="C743" s="528"/>
      <c r="D743" s="528"/>
      <c r="E743" s="528"/>
      <c r="F743" s="535"/>
      <c r="G743" s="536"/>
      <c r="H743" s="338"/>
      <c r="I743" s="338"/>
      <c r="J743" s="536"/>
      <c r="K743" s="338"/>
      <c r="L743" s="338"/>
      <c r="M743" s="338"/>
      <c r="N743" s="338"/>
      <c r="O743" s="338"/>
      <c r="P743" s="338"/>
      <c r="Q743" s="338"/>
      <c r="R743" s="338"/>
      <c r="S743" s="338"/>
      <c r="T743" s="338"/>
      <c r="U743" s="338"/>
      <c r="V743" s="338"/>
      <c r="W743" s="338"/>
      <c r="X743" s="338"/>
      <c r="Y743" s="338"/>
      <c r="Z743" s="338"/>
    </row>
    <row r="744" ht="22.5" customHeight="1">
      <c r="A744" s="528"/>
      <c r="B744" s="528"/>
      <c r="C744" s="528"/>
      <c r="D744" s="528"/>
      <c r="E744" s="528"/>
      <c r="F744" s="535"/>
      <c r="G744" s="536"/>
      <c r="H744" s="338"/>
      <c r="I744" s="338"/>
      <c r="J744" s="536"/>
      <c r="K744" s="338"/>
      <c r="L744" s="338"/>
      <c r="M744" s="338"/>
      <c r="N744" s="338"/>
      <c r="O744" s="338"/>
      <c r="P744" s="338"/>
      <c r="Q744" s="338"/>
      <c r="R744" s="338"/>
      <c r="S744" s="338"/>
      <c r="T744" s="338"/>
      <c r="U744" s="338"/>
      <c r="V744" s="338"/>
      <c r="W744" s="338"/>
      <c r="X744" s="338"/>
      <c r="Y744" s="338"/>
      <c r="Z744" s="338"/>
    </row>
    <row r="745" ht="22.5" customHeight="1">
      <c r="A745" s="528"/>
      <c r="B745" s="528"/>
      <c r="C745" s="528"/>
      <c r="D745" s="528"/>
      <c r="E745" s="528"/>
      <c r="F745" s="535"/>
      <c r="G745" s="536"/>
      <c r="H745" s="338"/>
      <c r="I745" s="338"/>
      <c r="J745" s="536"/>
      <c r="K745" s="338"/>
      <c r="L745" s="338"/>
      <c r="M745" s="338"/>
      <c r="N745" s="338"/>
      <c r="O745" s="338"/>
      <c r="P745" s="338"/>
      <c r="Q745" s="338"/>
      <c r="R745" s="338"/>
      <c r="S745" s="338"/>
      <c r="T745" s="338"/>
      <c r="U745" s="338"/>
      <c r="V745" s="338"/>
      <c r="W745" s="338"/>
      <c r="X745" s="338"/>
      <c r="Y745" s="338"/>
      <c r="Z745" s="338"/>
    </row>
    <row r="746" ht="22.5" customHeight="1">
      <c r="A746" s="528"/>
      <c r="B746" s="528"/>
      <c r="C746" s="528"/>
      <c r="D746" s="528"/>
      <c r="E746" s="528"/>
      <c r="F746" s="535"/>
      <c r="G746" s="536"/>
      <c r="H746" s="338"/>
      <c r="I746" s="338"/>
      <c r="J746" s="536"/>
      <c r="K746" s="338"/>
      <c r="L746" s="338"/>
      <c r="M746" s="338"/>
      <c r="N746" s="338"/>
      <c r="O746" s="338"/>
      <c r="P746" s="338"/>
      <c r="Q746" s="338"/>
      <c r="R746" s="338"/>
      <c r="S746" s="338"/>
      <c r="T746" s="338"/>
      <c r="U746" s="338"/>
      <c r="V746" s="338"/>
      <c r="W746" s="338"/>
      <c r="X746" s="338"/>
      <c r="Y746" s="338"/>
      <c r="Z746" s="338"/>
    </row>
    <row r="747" ht="22.5" customHeight="1">
      <c r="A747" s="528"/>
      <c r="B747" s="528"/>
      <c r="C747" s="528"/>
      <c r="D747" s="528"/>
      <c r="E747" s="528"/>
      <c r="F747" s="535"/>
      <c r="G747" s="536"/>
      <c r="H747" s="338"/>
      <c r="I747" s="338"/>
      <c r="J747" s="536"/>
      <c r="K747" s="338"/>
      <c r="L747" s="338"/>
      <c r="M747" s="338"/>
      <c r="N747" s="338"/>
      <c r="O747" s="338"/>
      <c r="P747" s="338"/>
      <c r="Q747" s="338"/>
      <c r="R747" s="338"/>
      <c r="S747" s="338"/>
      <c r="T747" s="338"/>
      <c r="U747" s="338"/>
      <c r="V747" s="338"/>
      <c r="W747" s="338"/>
      <c r="X747" s="338"/>
      <c r="Y747" s="338"/>
      <c r="Z747" s="338"/>
    </row>
    <row r="748" ht="22.5" customHeight="1">
      <c r="A748" s="528"/>
      <c r="B748" s="528"/>
      <c r="C748" s="528"/>
      <c r="D748" s="528"/>
      <c r="E748" s="528"/>
      <c r="F748" s="535"/>
      <c r="G748" s="536"/>
      <c r="H748" s="338"/>
      <c r="I748" s="338"/>
      <c r="J748" s="536"/>
      <c r="K748" s="338"/>
      <c r="L748" s="338"/>
      <c r="M748" s="338"/>
      <c r="N748" s="338"/>
      <c r="O748" s="338"/>
      <c r="P748" s="338"/>
      <c r="Q748" s="338"/>
      <c r="R748" s="338"/>
      <c r="S748" s="338"/>
      <c r="T748" s="338"/>
      <c r="U748" s="338"/>
      <c r="V748" s="338"/>
      <c r="W748" s="338"/>
      <c r="X748" s="338"/>
      <c r="Y748" s="338"/>
      <c r="Z748" s="338"/>
    </row>
    <row r="749" ht="22.5" customHeight="1">
      <c r="A749" s="528"/>
      <c r="B749" s="528"/>
      <c r="C749" s="528"/>
      <c r="D749" s="528"/>
      <c r="E749" s="528"/>
      <c r="F749" s="535"/>
      <c r="G749" s="536"/>
      <c r="H749" s="338"/>
      <c r="I749" s="338"/>
      <c r="J749" s="536"/>
      <c r="K749" s="338"/>
      <c r="L749" s="338"/>
      <c r="M749" s="338"/>
      <c r="N749" s="338"/>
      <c r="O749" s="338"/>
      <c r="P749" s="338"/>
      <c r="Q749" s="338"/>
      <c r="R749" s="338"/>
      <c r="S749" s="338"/>
      <c r="T749" s="338"/>
      <c r="U749" s="338"/>
      <c r="V749" s="338"/>
      <c r="W749" s="338"/>
      <c r="X749" s="338"/>
      <c r="Y749" s="338"/>
      <c r="Z749" s="338"/>
    </row>
    <row r="750" ht="22.5" customHeight="1">
      <c r="A750" s="528"/>
      <c r="B750" s="528"/>
      <c r="C750" s="528"/>
      <c r="D750" s="528"/>
      <c r="E750" s="528"/>
      <c r="F750" s="535"/>
      <c r="G750" s="536"/>
      <c r="H750" s="338"/>
      <c r="I750" s="338"/>
      <c r="J750" s="536"/>
      <c r="K750" s="338"/>
      <c r="L750" s="338"/>
      <c r="M750" s="338"/>
      <c r="N750" s="338"/>
      <c r="O750" s="338"/>
      <c r="P750" s="338"/>
      <c r="Q750" s="338"/>
      <c r="R750" s="338"/>
      <c r="S750" s="338"/>
      <c r="T750" s="338"/>
      <c r="U750" s="338"/>
      <c r="V750" s="338"/>
      <c r="W750" s="338"/>
      <c r="X750" s="338"/>
      <c r="Y750" s="338"/>
      <c r="Z750" s="338"/>
    </row>
    <row r="751" ht="22.5" customHeight="1">
      <c r="A751" s="528"/>
      <c r="B751" s="528"/>
      <c r="C751" s="528"/>
      <c r="D751" s="528"/>
      <c r="E751" s="528"/>
      <c r="F751" s="535"/>
      <c r="G751" s="536"/>
      <c r="H751" s="338"/>
      <c r="I751" s="338"/>
      <c r="J751" s="536"/>
      <c r="K751" s="338"/>
      <c r="L751" s="338"/>
      <c r="M751" s="338"/>
      <c r="N751" s="338"/>
      <c r="O751" s="338"/>
      <c r="P751" s="338"/>
      <c r="Q751" s="338"/>
      <c r="R751" s="338"/>
      <c r="S751" s="338"/>
      <c r="T751" s="338"/>
      <c r="U751" s="338"/>
      <c r="V751" s="338"/>
      <c r="W751" s="338"/>
      <c r="X751" s="338"/>
      <c r="Y751" s="338"/>
      <c r="Z751" s="338"/>
    </row>
    <row r="752" ht="22.5" customHeight="1">
      <c r="A752" s="528"/>
      <c r="B752" s="528"/>
      <c r="C752" s="528"/>
      <c r="D752" s="528"/>
      <c r="E752" s="528"/>
      <c r="F752" s="535"/>
      <c r="G752" s="536"/>
      <c r="H752" s="338"/>
      <c r="I752" s="338"/>
      <c r="J752" s="536"/>
      <c r="K752" s="338"/>
      <c r="L752" s="338"/>
      <c r="M752" s="338"/>
      <c r="N752" s="338"/>
      <c r="O752" s="338"/>
      <c r="P752" s="338"/>
      <c r="Q752" s="338"/>
      <c r="R752" s="338"/>
      <c r="S752" s="338"/>
      <c r="T752" s="338"/>
      <c r="U752" s="338"/>
      <c r="V752" s="338"/>
      <c r="W752" s="338"/>
      <c r="X752" s="338"/>
      <c r="Y752" s="338"/>
      <c r="Z752" s="338"/>
    </row>
    <row r="753" ht="22.5" customHeight="1">
      <c r="A753" s="528"/>
      <c r="B753" s="528"/>
      <c r="C753" s="528"/>
      <c r="D753" s="528"/>
      <c r="E753" s="528"/>
      <c r="F753" s="535"/>
      <c r="G753" s="536"/>
      <c r="H753" s="338"/>
      <c r="I753" s="338"/>
      <c r="J753" s="536"/>
      <c r="K753" s="338"/>
      <c r="L753" s="338"/>
      <c r="M753" s="338"/>
      <c r="N753" s="338"/>
      <c r="O753" s="338"/>
      <c r="P753" s="338"/>
      <c r="Q753" s="338"/>
      <c r="R753" s="338"/>
      <c r="S753" s="338"/>
      <c r="T753" s="338"/>
      <c r="U753" s="338"/>
      <c r="V753" s="338"/>
      <c r="W753" s="338"/>
      <c r="X753" s="338"/>
      <c r="Y753" s="338"/>
      <c r="Z753" s="338"/>
    </row>
    <row r="754" ht="22.5" customHeight="1">
      <c r="A754" s="528"/>
      <c r="B754" s="528"/>
      <c r="C754" s="528"/>
      <c r="D754" s="528"/>
      <c r="E754" s="528"/>
      <c r="F754" s="535"/>
      <c r="G754" s="536"/>
      <c r="H754" s="338"/>
      <c r="I754" s="338"/>
      <c r="J754" s="536"/>
      <c r="K754" s="338"/>
      <c r="L754" s="338"/>
      <c r="M754" s="338"/>
      <c r="N754" s="338"/>
      <c r="O754" s="338"/>
      <c r="P754" s="338"/>
      <c r="Q754" s="338"/>
      <c r="R754" s="338"/>
      <c r="S754" s="338"/>
      <c r="T754" s="338"/>
      <c r="U754" s="338"/>
      <c r="V754" s="338"/>
      <c r="W754" s="338"/>
      <c r="X754" s="338"/>
      <c r="Y754" s="338"/>
      <c r="Z754" s="338"/>
    </row>
    <row r="755" ht="22.5" customHeight="1">
      <c r="A755" s="528"/>
      <c r="B755" s="528"/>
      <c r="C755" s="528"/>
      <c r="D755" s="528"/>
      <c r="E755" s="528"/>
      <c r="F755" s="535"/>
      <c r="G755" s="536"/>
      <c r="H755" s="338"/>
      <c r="I755" s="338"/>
      <c r="J755" s="536"/>
      <c r="K755" s="338"/>
      <c r="L755" s="338"/>
      <c r="M755" s="338"/>
      <c r="N755" s="338"/>
      <c r="O755" s="338"/>
      <c r="P755" s="338"/>
      <c r="Q755" s="338"/>
      <c r="R755" s="338"/>
      <c r="S755" s="338"/>
      <c r="T755" s="338"/>
      <c r="U755" s="338"/>
      <c r="V755" s="338"/>
      <c r="W755" s="338"/>
      <c r="X755" s="338"/>
      <c r="Y755" s="338"/>
      <c r="Z755" s="338"/>
    </row>
    <row r="756" ht="22.5" customHeight="1">
      <c r="A756" s="528"/>
      <c r="B756" s="528"/>
      <c r="C756" s="528"/>
      <c r="D756" s="528"/>
      <c r="E756" s="528"/>
      <c r="F756" s="535"/>
      <c r="G756" s="536"/>
      <c r="H756" s="338"/>
      <c r="I756" s="338"/>
      <c r="J756" s="536"/>
      <c r="K756" s="338"/>
      <c r="L756" s="338"/>
      <c r="M756" s="338"/>
      <c r="N756" s="338"/>
      <c r="O756" s="338"/>
      <c r="P756" s="338"/>
      <c r="Q756" s="338"/>
      <c r="R756" s="338"/>
      <c r="S756" s="338"/>
      <c r="T756" s="338"/>
      <c r="U756" s="338"/>
      <c r="V756" s="338"/>
      <c r="W756" s="338"/>
      <c r="X756" s="338"/>
      <c r="Y756" s="338"/>
      <c r="Z756" s="338"/>
    </row>
    <row r="757" ht="22.5" customHeight="1">
      <c r="A757" s="528"/>
      <c r="B757" s="528"/>
      <c r="C757" s="528"/>
      <c r="D757" s="528"/>
      <c r="E757" s="528"/>
      <c r="F757" s="535"/>
      <c r="G757" s="536"/>
      <c r="H757" s="338"/>
      <c r="I757" s="338"/>
      <c r="J757" s="536"/>
      <c r="K757" s="338"/>
      <c r="L757" s="338"/>
      <c r="M757" s="338"/>
      <c r="N757" s="338"/>
      <c r="O757" s="338"/>
      <c r="P757" s="338"/>
      <c r="Q757" s="338"/>
      <c r="R757" s="338"/>
      <c r="S757" s="338"/>
      <c r="T757" s="338"/>
      <c r="U757" s="338"/>
      <c r="V757" s="338"/>
      <c r="W757" s="338"/>
      <c r="X757" s="338"/>
      <c r="Y757" s="338"/>
      <c r="Z757" s="338"/>
    </row>
    <row r="758" ht="22.5" customHeight="1">
      <c r="A758" s="528"/>
      <c r="B758" s="528"/>
      <c r="C758" s="528"/>
      <c r="D758" s="528"/>
      <c r="E758" s="528"/>
      <c r="F758" s="535"/>
      <c r="G758" s="536"/>
      <c r="H758" s="338"/>
      <c r="I758" s="338"/>
      <c r="J758" s="536"/>
      <c r="K758" s="338"/>
      <c r="L758" s="338"/>
      <c r="M758" s="338"/>
      <c r="N758" s="338"/>
      <c r="O758" s="338"/>
      <c r="P758" s="338"/>
      <c r="Q758" s="338"/>
      <c r="R758" s="338"/>
      <c r="S758" s="338"/>
      <c r="T758" s="338"/>
      <c r="U758" s="338"/>
      <c r="V758" s="338"/>
      <c r="W758" s="338"/>
      <c r="X758" s="338"/>
      <c r="Y758" s="338"/>
      <c r="Z758" s="338"/>
    </row>
    <row r="759" ht="22.5" customHeight="1">
      <c r="A759" s="528"/>
      <c r="B759" s="528"/>
      <c r="C759" s="528"/>
      <c r="D759" s="528"/>
      <c r="E759" s="528"/>
      <c r="F759" s="535"/>
      <c r="G759" s="536"/>
      <c r="H759" s="338"/>
      <c r="I759" s="338"/>
      <c r="J759" s="536"/>
      <c r="K759" s="338"/>
      <c r="L759" s="338"/>
      <c r="M759" s="338"/>
      <c r="N759" s="338"/>
      <c r="O759" s="338"/>
      <c r="P759" s="338"/>
      <c r="Q759" s="338"/>
      <c r="R759" s="338"/>
      <c r="S759" s="338"/>
      <c r="T759" s="338"/>
      <c r="U759" s="338"/>
      <c r="V759" s="338"/>
      <c r="W759" s="338"/>
      <c r="X759" s="338"/>
      <c r="Y759" s="338"/>
      <c r="Z759" s="338"/>
    </row>
    <row r="760" ht="22.5" customHeight="1">
      <c r="A760" s="528"/>
      <c r="B760" s="528"/>
      <c r="C760" s="528"/>
      <c r="D760" s="528"/>
      <c r="E760" s="528"/>
      <c r="F760" s="535"/>
      <c r="G760" s="536"/>
      <c r="H760" s="338"/>
      <c r="I760" s="338"/>
      <c r="J760" s="536"/>
      <c r="K760" s="338"/>
      <c r="L760" s="338"/>
      <c r="M760" s="338"/>
      <c r="N760" s="338"/>
      <c r="O760" s="338"/>
      <c r="P760" s="338"/>
      <c r="Q760" s="338"/>
      <c r="R760" s="338"/>
      <c r="S760" s="338"/>
      <c r="T760" s="338"/>
      <c r="U760" s="338"/>
      <c r="V760" s="338"/>
      <c r="W760" s="338"/>
      <c r="X760" s="338"/>
      <c r="Y760" s="338"/>
      <c r="Z760" s="338"/>
    </row>
    <row r="761" ht="22.5" customHeight="1">
      <c r="A761" s="528"/>
      <c r="B761" s="528"/>
      <c r="C761" s="528"/>
      <c r="D761" s="528"/>
      <c r="E761" s="528"/>
      <c r="F761" s="535"/>
      <c r="G761" s="536"/>
      <c r="H761" s="338"/>
      <c r="I761" s="338"/>
      <c r="J761" s="536"/>
      <c r="K761" s="338"/>
      <c r="L761" s="338"/>
      <c r="M761" s="338"/>
      <c r="N761" s="338"/>
      <c r="O761" s="338"/>
      <c r="P761" s="338"/>
      <c r="Q761" s="338"/>
      <c r="R761" s="338"/>
      <c r="S761" s="338"/>
      <c r="T761" s="338"/>
      <c r="U761" s="338"/>
      <c r="V761" s="338"/>
      <c r="W761" s="338"/>
      <c r="X761" s="338"/>
      <c r="Y761" s="338"/>
      <c r="Z761" s="338"/>
    </row>
    <row r="762" ht="22.5" customHeight="1">
      <c r="A762" s="528"/>
      <c r="B762" s="528"/>
      <c r="C762" s="528"/>
      <c r="D762" s="528"/>
      <c r="E762" s="528"/>
      <c r="F762" s="535"/>
      <c r="G762" s="536"/>
      <c r="H762" s="338"/>
      <c r="I762" s="338"/>
      <c r="J762" s="536"/>
      <c r="K762" s="338"/>
      <c r="L762" s="338"/>
      <c r="M762" s="338"/>
      <c r="N762" s="338"/>
      <c r="O762" s="338"/>
      <c r="P762" s="338"/>
      <c r="Q762" s="338"/>
      <c r="R762" s="338"/>
      <c r="S762" s="338"/>
      <c r="T762" s="338"/>
      <c r="U762" s="338"/>
      <c r="V762" s="338"/>
      <c r="W762" s="338"/>
      <c r="X762" s="338"/>
      <c r="Y762" s="338"/>
      <c r="Z762" s="338"/>
    </row>
    <row r="763" ht="22.5" customHeight="1">
      <c r="A763" s="528"/>
      <c r="B763" s="528"/>
      <c r="C763" s="528"/>
      <c r="D763" s="528"/>
      <c r="E763" s="528"/>
      <c r="F763" s="535"/>
      <c r="G763" s="536"/>
      <c r="H763" s="338"/>
      <c r="I763" s="338"/>
      <c r="J763" s="536"/>
      <c r="K763" s="338"/>
      <c r="L763" s="338"/>
      <c r="M763" s="338"/>
      <c r="N763" s="338"/>
      <c r="O763" s="338"/>
      <c r="P763" s="338"/>
      <c r="Q763" s="338"/>
      <c r="R763" s="338"/>
      <c r="S763" s="338"/>
      <c r="T763" s="338"/>
      <c r="U763" s="338"/>
      <c r="V763" s="338"/>
      <c r="W763" s="338"/>
      <c r="X763" s="338"/>
      <c r="Y763" s="338"/>
      <c r="Z763" s="338"/>
    </row>
    <row r="764" ht="22.5" customHeight="1">
      <c r="A764" s="528"/>
      <c r="B764" s="528"/>
      <c r="C764" s="528"/>
      <c r="D764" s="528"/>
      <c r="E764" s="528"/>
      <c r="F764" s="535"/>
      <c r="G764" s="536"/>
      <c r="H764" s="338"/>
      <c r="I764" s="338"/>
      <c r="J764" s="536"/>
      <c r="K764" s="338"/>
      <c r="L764" s="338"/>
      <c r="M764" s="338"/>
      <c r="N764" s="338"/>
      <c r="O764" s="338"/>
      <c r="P764" s="338"/>
      <c r="Q764" s="338"/>
      <c r="R764" s="338"/>
      <c r="S764" s="338"/>
      <c r="T764" s="338"/>
      <c r="U764" s="338"/>
      <c r="V764" s="338"/>
      <c r="W764" s="338"/>
      <c r="X764" s="338"/>
      <c r="Y764" s="338"/>
      <c r="Z764" s="338"/>
    </row>
    <row r="765" ht="22.5" customHeight="1">
      <c r="A765" s="528"/>
      <c r="B765" s="528"/>
      <c r="C765" s="528"/>
      <c r="D765" s="528"/>
      <c r="E765" s="528"/>
      <c r="F765" s="535"/>
      <c r="G765" s="536"/>
      <c r="H765" s="338"/>
      <c r="I765" s="338"/>
      <c r="J765" s="536"/>
      <c r="K765" s="338"/>
      <c r="L765" s="338"/>
      <c r="M765" s="338"/>
      <c r="N765" s="338"/>
      <c r="O765" s="338"/>
      <c r="P765" s="338"/>
      <c r="Q765" s="338"/>
      <c r="R765" s="338"/>
      <c r="S765" s="338"/>
      <c r="T765" s="338"/>
      <c r="U765" s="338"/>
      <c r="V765" s="338"/>
      <c r="W765" s="338"/>
      <c r="X765" s="338"/>
      <c r="Y765" s="338"/>
      <c r="Z765" s="338"/>
    </row>
    <row r="766" ht="22.5" customHeight="1">
      <c r="A766" s="528"/>
      <c r="B766" s="528"/>
      <c r="C766" s="528"/>
      <c r="D766" s="528"/>
      <c r="E766" s="528"/>
      <c r="F766" s="535"/>
      <c r="G766" s="536"/>
      <c r="H766" s="338"/>
      <c r="I766" s="338"/>
      <c r="J766" s="536"/>
      <c r="K766" s="338"/>
      <c r="L766" s="338"/>
      <c r="M766" s="338"/>
      <c r="N766" s="338"/>
      <c r="O766" s="338"/>
      <c r="P766" s="338"/>
      <c r="Q766" s="338"/>
      <c r="R766" s="338"/>
      <c r="S766" s="338"/>
      <c r="T766" s="338"/>
      <c r="U766" s="338"/>
      <c r="V766" s="338"/>
      <c r="W766" s="338"/>
      <c r="X766" s="338"/>
      <c r="Y766" s="338"/>
      <c r="Z766" s="338"/>
    </row>
    <row r="767" ht="22.5" customHeight="1">
      <c r="A767" s="528"/>
      <c r="B767" s="528"/>
      <c r="C767" s="528"/>
      <c r="D767" s="528"/>
      <c r="E767" s="528"/>
      <c r="F767" s="535"/>
      <c r="G767" s="536"/>
      <c r="H767" s="338"/>
      <c r="I767" s="338"/>
      <c r="J767" s="536"/>
      <c r="K767" s="338"/>
      <c r="L767" s="338"/>
      <c r="M767" s="338"/>
      <c r="N767" s="338"/>
      <c r="O767" s="338"/>
      <c r="P767" s="338"/>
      <c r="Q767" s="338"/>
      <c r="R767" s="338"/>
      <c r="S767" s="338"/>
      <c r="T767" s="338"/>
      <c r="U767" s="338"/>
      <c r="V767" s="338"/>
      <c r="W767" s="338"/>
      <c r="X767" s="338"/>
      <c r="Y767" s="338"/>
      <c r="Z767" s="338"/>
    </row>
    <row r="768" ht="22.5" customHeight="1">
      <c r="A768" s="528"/>
      <c r="B768" s="528"/>
      <c r="C768" s="528"/>
      <c r="D768" s="528"/>
      <c r="E768" s="528"/>
      <c r="F768" s="535"/>
      <c r="G768" s="536"/>
      <c r="H768" s="338"/>
      <c r="I768" s="338"/>
      <c r="J768" s="536"/>
      <c r="K768" s="338"/>
      <c r="L768" s="338"/>
      <c r="M768" s="338"/>
      <c r="N768" s="338"/>
      <c r="O768" s="338"/>
      <c r="P768" s="338"/>
      <c r="Q768" s="338"/>
      <c r="R768" s="338"/>
      <c r="S768" s="338"/>
      <c r="T768" s="338"/>
      <c r="U768" s="338"/>
      <c r="V768" s="338"/>
      <c r="W768" s="338"/>
      <c r="X768" s="338"/>
      <c r="Y768" s="338"/>
      <c r="Z768" s="338"/>
    </row>
    <row r="769" ht="22.5" customHeight="1">
      <c r="A769" s="528"/>
      <c r="B769" s="528"/>
      <c r="C769" s="528"/>
      <c r="D769" s="528"/>
      <c r="E769" s="528"/>
      <c r="F769" s="535"/>
      <c r="G769" s="536"/>
      <c r="H769" s="338"/>
      <c r="I769" s="338"/>
      <c r="J769" s="536"/>
      <c r="K769" s="338"/>
      <c r="L769" s="338"/>
      <c r="M769" s="338"/>
      <c r="N769" s="338"/>
      <c r="O769" s="338"/>
      <c r="P769" s="338"/>
      <c r="Q769" s="338"/>
      <c r="R769" s="338"/>
      <c r="S769" s="338"/>
      <c r="T769" s="338"/>
      <c r="U769" s="338"/>
      <c r="V769" s="338"/>
      <c r="W769" s="338"/>
      <c r="X769" s="338"/>
      <c r="Y769" s="338"/>
      <c r="Z769" s="338"/>
    </row>
    <row r="770" ht="22.5" customHeight="1">
      <c r="A770" s="528"/>
      <c r="B770" s="528"/>
      <c r="C770" s="528"/>
      <c r="D770" s="528"/>
      <c r="E770" s="528"/>
      <c r="F770" s="535"/>
      <c r="G770" s="536"/>
      <c r="H770" s="338"/>
      <c r="I770" s="338"/>
      <c r="J770" s="536"/>
      <c r="K770" s="338"/>
      <c r="L770" s="338"/>
      <c r="M770" s="338"/>
      <c r="N770" s="338"/>
      <c r="O770" s="338"/>
      <c r="P770" s="338"/>
      <c r="Q770" s="338"/>
      <c r="R770" s="338"/>
      <c r="S770" s="338"/>
      <c r="T770" s="338"/>
      <c r="U770" s="338"/>
      <c r="V770" s="338"/>
      <c r="W770" s="338"/>
      <c r="X770" s="338"/>
      <c r="Y770" s="338"/>
      <c r="Z770" s="338"/>
    </row>
    <row r="771" ht="22.5" customHeight="1">
      <c r="A771" s="528"/>
      <c r="B771" s="528"/>
      <c r="C771" s="528"/>
      <c r="D771" s="528"/>
      <c r="E771" s="528"/>
      <c r="F771" s="535"/>
      <c r="G771" s="536"/>
      <c r="H771" s="338"/>
      <c r="I771" s="338"/>
      <c r="J771" s="536"/>
      <c r="K771" s="338"/>
      <c r="L771" s="338"/>
      <c r="M771" s="338"/>
      <c r="N771" s="338"/>
      <c r="O771" s="338"/>
      <c r="P771" s="338"/>
      <c r="Q771" s="338"/>
      <c r="R771" s="338"/>
      <c r="S771" s="338"/>
      <c r="T771" s="338"/>
      <c r="U771" s="338"/>
      <c r="V771" s="338"/>
      <c r="W771" s="338"/>
      <c r="X771" s="338"/>
      <c r="Y771" s="338"/>
      <c r="Z771" s="338"/>
    </row>
    <row r="772" ht="22.5" customHeight="1">
      <c r="A772" s="528"/>
      <c r="B772" s="528"/>
      <c r="C772" s="528"/>
      <c r="D772" s="528"/>
      <c r="E772" s="528"/>
      <c r="F772" s="535"/>
      <c r="G772" s="536"/>
      <c r="H772" s="338"/>
      <c r="I772" s="338"/>
      <c r="J772" s="536"/>
      <c r="K772" s="338"/>
      <c r="L772" s="338"/>
      <c r="M772" s="338"/>
      <c r="N772" s="338"/>
      <c r="O772" s="338"/>
      <c r="P772" s="338"/>
      <c r="Q772" s="338"/>
      <c r="R772" s="338"/>
      <c r="S772" s="338"/>
      <c r="T772" s="338"/>
      <c r="U772" s="338"/>
      <c r="V772" s="338"/>
      <c r="W772" s="338"/>
      <c r="X772" s="338"/>
      <c r="Y772" s="338"/>
      <c r="Z772" s="338"/>
    </row>
    <row r="773" ht="22.5" customHeight="1">
      <c r="A773" s="528"/>
      <c r="B773" s="528"/>
      <c r="C773" s="528"/>
      <c r="D773" s="528"/>
      <c r="E773" s="528"/>
      <c r="F773" s="535"/>
      <c r="G773" s="536"/>
      <c r="H773" s="338"/>
      <c r="I773" s="338"/>
      <c r="J773" s="536"/>
      <c r="K773" s="338"/>
      <c r="L773" s="338"/>
      <c r="M773" s="338"/>
      <c r="N773" s="338"/>
      <c r="O773" s="338"/>
      <c r="P773" s="338"/>
      <c r="Q773" s="338"/>
      <c r="R773" s="338"/>
      <c r="S773" s="338"/>
      <c r="T773" s="338"/>
      <c r="U773" s="338"/>
      <c r="V773" s="338"/>
      <c r="W773" s="338"/>
      <c r="X773" s="338"/>
      <c r="Y773" s="338"/>
      <c r="Z773" s="338"/>
    </row>
    <row r="774" ht="22.5" customHeight="1">
      <c r="A774" s="528"/>
      <c r="B774" s="528"/>
      <c r="C774" s="528"/>
      <c r="D774" s="528"/>
      <c r="E774" s="528"/>
      <c r="F774" s="535"/>
      <c r="G774" s="536"/>
      <c r="H774" s="338"/>
      <c r="I774" s="338"/>
      <c r="J774" s="536"/>
      <c r="K774" s="338"/>
      <c r="L774" s="338"/>
      <c r="M774" s="338"/>
      <c r="N774" s="338"/>
      <c r="O774" s="338"/>
      <c r="P774" s="338"/>
      <c r="Q774" s="338"/>
      <c r="R774" s="338"/>
      <c r="S774" s="338"/>
      <c r="T774" s="338"/>
      <c r="U774" s="338"/>
      <c r="V774" s="338"/>
      <c r="W774" s="338"/>
      <c r="X774" s="338"/>
      <c r="Y774" s="338"/>
      <c r="Z774" s="338"/>
    </row>
    <row r="775" ht="22.5" customHeight="1">
      <c r="A775" s="528"/>
      <c r="B775" s="528"/>
      <c r="C775" s="528"/>
      <c r="D775" s="528"/>
      <c r="E775" s="528"/>
      <c r="F775" s="535"/>
      <c r="G775" s="536"/>
      <c r="H775" s="338"/>
      <c r="I775" s="338"/>
      <c r="J775" s="536"/>
      <c r="K775" s="338"/>
      <c r="L775" s="338"/>
      <c r="M775" s="338"/>
      <c r="N775" s="338"/>
      <c r="O775" s="338"/>
      <c r="P775" s="338"/>
      <c r="Q775" s="338"/>
      <c r="R775" s="338"/>
      <c r="S775" s="338"/>
      <c r="T775" s="338"/>
      <c r="U775" s="338"/>
      <c r="V775" s="338"/>
      <c r="W775" s="338"/>
      <c r="X775" s="338"/>
      <c r="Y775" s="338"/>
      <c r="Z775" s="338"/>
    </row>
    <row r="776" ht="22.5" customHeight="1">
      <c r="A776" s="528"/>
      <c r="B776" s="528"/>
      <c r="C776" s="528"/>
      <c r="D776" s="528"/>
      <c r="E776" s="528"/>
      <c r="F776" s="535"/>
      <c r="G776" s="536"/>
      <c r="H776" s="338"/>
      <c r="I776" s="338"/>
      <c r="J776" s="536"/>
      <c r="K776" s="338"/>
      <c r="L776" s="338"/>
      <c r="M776" s="338"/>
      <c r="N776" s="338"/>
      <c r="O776" s="338"/>
      <c r="P776" s="338"/>
      <c r="Q776" s="338"/>
      <c r="R776" s="338"/>
      <c r="S776" s="338"/>
      <c r="T776" s="338"/>
      <c r="U776" s="338"/>
      <c r="V776" s="338"/>
      <c r="W776" s="338"/>
      <c r="X776" s="338"/>
      <c r="Y776" s="338"/>
      <c r="Z776" s="338"/>
    </row>
    <row r="777" ht="22.5" customHeight="1">
      <c r="A777" s="528"/>
      <c r="B777" s="528"/>
      <c r="C777" s="528"/>
      <c r="D777" s="528"/>
      <c r="E777" s="528"/>
      <c r="F777" s="535"/>
      <c r="G777" s="536"/>
      <c r="H777" s="338"/>
      <c r="I777" s="338"/>
      <c r="J777" s="536"/>
      <c r="K777" s="338"/>
      <c r="L777" s="338"/>
      <c r="M777" s="338"/>
      <c r="N777" s="338"/>
      <c r="O777" s="338"/>
      <c r="P777" s="338"/>
      <c r="Q777" s="338"/>
      <c r="R777" s="338"/>
      <c r="S777" s="338"/>
      <c r="T777" s="338"/>
      <c r="U777" s="338"/>
      <c r="V777" s="338"/>
      <c r="W777" s="338"/>
      <c r="X777" s="338"/>
      <c r="Y777" s="338"/>
      <c r="Z777" s="338"/>
    </row>
    <row r="778" ht="22.5" customHeight="1">
      <c r="A778" s="528"/>
      <c r="B778" s="528"/>
      <c r="C778" s="528"/>
      <c r="D778" s="528"/>
      <c r="E778" s="528"/>
      <c r="F778" s="535"/>
      <c r="G778" s="536"/>
      <c r="H778" s="338"/>
      <c r="I778" s="338"/>
      <c r="J778" s="536"/>
      <c r="K778" s="338"/>
      <c r="L778" s="338"/>
      <c r="M778" s="338"/>
      <c r="N778" s="338"/>
      <c r="O778" s="338"/>
      <c r="P778" s="338"/>
      <c r="Q778" s="338"/>
      <c r="R778" s="338"/>
      <c r="S778" s="338"/>
      <c r="T778" s="338"/>
      <c r="U778" s="338"/>
      <c r="V778" s="338"/>
      <c r="W778" s="338"/>
      <c r="X778" s="338"/>
      <c r="Y778" s="338"/>
      <c r="Z778" s="338"/>
    </row>
    <row r="779" ht="22.5" customHeight="1">
      <c r="A779" s="528"/>
      <c r="B779" s="528"/>
      <c r="C779" s="528"/>
      <c r="D779" s="528"/>
      <c r="E779" s="528"/>
      <c r="F779" s="535"/>
      <c r="G779" s="536"/>
      <c r="H779" s="338"/>
      <c r="I779" s="338"/>
      <c r="J779" s="536"/>
      <c r="K779" s="338"/>
      <c r="L779" s="338"/>
      <c r="M779" s="338"/>
      <c r="N779" s="338"/>
      <c r="O779" s="338"/>
      <c r="P779" s="338"/>
      <c r="Q779" s="338"/>
      <c r="R779" s="338"/>
      <c r="S779" s="338"/>
      <c r="T779" s="338"/>
      <c r="U779" s="338"/>
      <c r="V779" s="338"/>
      <c r="W779" s="338"/>
      <c r="X779" s="338"/>
      <c r="Y779" s="338"/>
      <c r="Z779" s="338"/>
    </row>
    <row r="780" ht="22.5" customHeight="1">
      <c r="A780" s="528"/>
      <c r="B780" s="528"/>
      <c r="C780" s="528"/>
      <c r="D780" s="528"/>
      <c r="E780" s="528"/>
      <c r="F780" s="535"/>
      <c r="G780" s="536"/>
      <c r="H780" s="338"/>
      <c r="I780" s="338"/>
      <c r="J780" s="536"/>
      <c r="K780" s="338"/>
      <c r="L780" s="338"/>
      <c r="M780" s="338"/>
      <c r="N780" s="338"/>
      <c r="O780" s="338"/>
      <c r="P780" s="338"/>
      <c r="Q780" s="338"/>
      <c r="R780" s="338"/>
      <c r="S780" s="338"/>
      <c r="T780" s="338"/>
      <c r="U780" s="338"/>
      <c r="V780" s="338"/>
      <c r="W780" s="338"/>
      <c r="X780" s="338"/>
      <c r="Y780" s="338"/>
      <c r="Z780" s="338"/>
    </row>
    <row r="781" ht="22.5" customHeight="1">
      <c r="A781" s="528"/>
      <c r="B781" s="528"/>
      <c r="C781" s="528"/>
      <c r="D781" s="528"/>
      <c r="E781" s="528"/>
      <c r="F781" s="535"/>
      <c r="G781" s="536"/>
      <c r="H781" s="338"/>
      <c r="I781" s="338"/>
      <c r="J781" s="536"/>
      <c r="K781" s="338"/>
      <c r="L781" s="338"/>
      <c r="M781" s="338"/>
      <c r="N781" s="338"/>
      <c r="O781" s="338"/>
      <c r="P781" s="338"/>
      <c r="Q781" s="338"/>
      <c r="R781" s="338"/>
      <c r="S781" s="338"/>
      <c r="T781" s="338"/>
      <c r="U781" s="338"/>
      <c r="V781" s="338"/>
      <c r="W781" s="338"/>
      <c r="X781" s="338"/>
      <c r="Y781" s="338"/>
      <c r="Z781" s="338"/>
    </row>
    <row r="782" ht="22.5" customHeight="1">
      <c r="A782" s="528"/>
      <c r="B782" s="528"/>
      <c r="C782" s="528"/>
      <c r="D782" s="528"/>
      <c r="E782" s="528"/>
      <c r="F782" s="535"/>
      <c r="G782" s="536"/>
      <c r="H782" s="338"/>
      <c r="I782" s="338"/>
      <c r="J782" s="536"/>
      <c r="K782" s="338"/>
      <c r="L782" s="338"/>
      <c r="M782" s="338"/>
      <c r="N782" s="338"/>
      <c r="O782" s="338"/>
      <c r="P782" s="338"/>
      <c r="Q782" s="338"/>
      <c r="R782" s="338"/>
      <c r="S782" s="338"/>
      <c r="T782" s="338"/>
      <c r="U782" s="338"/>
      <c r="V782" s="338"/>
      <c r="W782" s="338"/>
      <c r="X782" s="338"/>
      <c r="Y782" s="338"/>
      <c r="Z782" s="338"/>
    </row>
    <row r="783" ht="22.5" customHeight="1">
      <c r="A783" s="528"/>
      <c r="B783" s="528"/>
      <c r="C783" s="528"/>
      <c r="D783" s="528"/>
      <c r="E783" s="528"/>
      <c r="F783" s="535"/>
      <c r="G783" s="536"/>
      <c r="H783" s="338"/>
      <c r="I783" s="338"/>
      <c r="J783" s="536"/>
      <c r="K783" s="338"/>
      <c r="L783" s="338"/>
      <c r="M783" s="338"/>
      <c r="N783" s="338"/>
      <c r="O783" s="338"/>
      <c r="P783" s="338"/>
      <c r="Q783" s="338"/>
      <c r="R783" s="338"/>
      <c r="S783" s="338"/>
      <c r="T783" s="338"/>
      <c r="U783" s="338"/>
      <c r="V783" s="338"/>
      <c r="W783" s="338"/>
      <c r="X783" s="338"/>
      <c r="Y783" s="338"/>
      <c r="Z783" s="338"/>
    </row>
    <row r="784" ht="22.5" customHeight="1">
      <c r="A784" s="528"/>
      <c r="B784" s="528"/>
      <c r="C784" s="528"/>
      <c r="D784" s="528"/>
      <c r="E784" s="528"/>
      <c r="F784" s="535"/>
      <c r="G784" s="536"/>
      <c r="H784" s="338"/>
      <c r="I784" s="338"/>
      <c r="J784" s="536"/>
      <c r="K784" s="338"/>
      <c r="L784" s="338"/>
      <c r="M784" s="338"/>
      <c r="N784" s="338"/>
      <c r="O784" s="338"/>
      <c r="P784" s="338"/>
      <c r="Q784" s="338"/>
      <c r="R784" s="338"/>
      <c r="S784" s="338"/>
      <c r="T784" s="338"/>
      <c r="U784" s="338"/>
      <c r="V784" s="338"/>
      <c r="W784" s="338"/>
      <c r="X784" s="338"/>
      <c r="Y784" s="338"/>
      <c r="Z784" s="338"/>
    </row>
    <row r="785" ht="22.5" customHeight="1">
      <c r="A785" s="528"/>
      <c r="B785" s="528"/>
      <c r="C785" s="528"/>
      <c r="D785" s="528"/>
      <c r="E785" s="528"/>
      <c r="F785" s="535"/>
      <c r="G785" s="536"/>
      <c r="H785" s="338"/>
      <c r="I785" s="338"/>
      <c r="J785" s="536"/>
      <c r="K785" s="338"/>
      <c r="L785" s="338"/>
      <c r="M785" s="338"/>
      <c r="N785" s="338"/>
      <c r="O785" s="338"/>
      <c r="P785" s="338"/>
      <c r="Q785" s="338"/>
      <c r="R785" s="338"/>
      <c r="S785" s="338"/>
      <c r="T785" s="338"/>
      <c r="U785" s="338"/>
      <c r="V785" s="338"/>
      <c r="W785" s="338"/>
      <c r="X785" s="338"/>
      <c r="Y785" s="338"/>
      <c r="Z785" s="338"/>
    </row>
    <row r="786" ht="22.5" customHeight="1">
      <c r="A786" s="528"/>
      <c r="B786" s="528"/>
      <c r="C786" s="528"/>
      <c r="D786" s="528"/>
      <c r="E786" s="528"/>
      <c r="F786" s="535"/>
      <c r="G786" s="536"/>
      <c r="H786" s="338"/>
      <c r="I786" s="338"/>
      <c r="J786" s="536"/>
      <c r="K786" s="338"/>
      <c r="L786" s="338"/>
      <c r="M786" s="338"/>
      <c r="N786" s="338"/>
      <c r="O786" s="338"/>
      <c r="P786" s="338"/>
      <c r="Q786" s="338"/>
      <c r="R786" s="338"/>
      <c r="S786" s="338"/>
      <c r="T786" s="338"/>
      <c r="U786" s="338"/>
      <c r="V786" s="338"/>
      <c r="W786" s="338"/>
      <c r="X786" s="338"/>
      <c r="Y786" s="338"/>
      <c r="Z786" s="338"/>
    </row>
    <row r="787" ht="22.5" customHeight="1">
      <c r="A787" s="528"/>
      <c r="B787" s="528"/>
      <c r="C787" s="528"/>
      <c r="D787" s="528"/>
      <c r="E787" s="528"/>
      <c r="F787" s="535"/>
      <c r="G787" s="536"/>
      <c r="H787" s="338"/>
      <c r="I787" s="338"/>
      <c r="J787" s="536"/>
      <c r="K787" s="338"/>
      <c r="L787" s="338"/>
      <c r="M787" s="338"/>
      <c r="N787" s="338"/>
      <c r="O787" s="338"/>
      <c r="P787" s="338"/>
      <c r="Q787" s="338"/>
      <c r="R787" s="338"/>
      <c r="S787" s="338"/>
      <c r="T787" s="338"/>
      <c r="U787" s="338"/>
      <c r="V787" s="338"/>
      <c r="W787" s="338"/>
      <c r="X787" s="338"/>
      <c r="Y787" s="338"/>
      <c r="Z787" s="338"/>
    </row>
    <row r="788" ht="22.5" customHeight="1">
      <c r="A788" s="528"/>
      <c r="B788" s="528"/>
      <c r="C788" s="528"/>
      <c r="D788" s="528"/>
      <c r="E788" s="528"/>
      <c r="F788" s="535"/>
      <c r="G788" s="536"/>
      <c r="H788" s="338"/>
      <c r="I788" s="338"/>
      <c r="J788" s="536"/>
      <c r="K788" s="338"/>
      <c r="L788" s="338"/>
      <c r="M788" s="338"/>
      <c r="N788" s="338"/>
      <c r="O788" s="338"/>
      <c r="P788" s="338"/>
      <c r="Q788" s="338"/>
      <c r="R788" s="338"/>
      <c r="S788" s="338"/>
      <c r="T788" s="338"/>
      <c r="U788" s="338"/>
      <c r="V788" s="338"/>
      <c r="W788" s="338"/>
      <c r="X788" s="338"/>
      <c r="Y788" s="338"/>
      <c r="Z788" s="338"/>
    </row>
    <row r="789" ht="22.5" customHeight="1">
      <c r="A789" s="528"/>
      <c r="B789" s="528"/>
      <c r="C789" s="528"/>
      <c r="D789" s="528"/>
      <c r="E789" s="528"/>
      <c r="F789" s="535"/>
      <c r="G789" s="536"/>
      <c r="H789" s="338"/>
      <c r="I789" s="338"/>
      <c r="J789" s="536"/>
      <c r="K789" s="338"/>
      <c r="L789" s="338"/>
      <c r="M789" s="338"/>
      <c r="N789" s="338"/>
      <c r="O789" s="338"/>
      <c r="P789" s="338"/>
      <c r="Q789" s="338"/>
      <c r="R789" s="338"/>
      <c r="S789" s="338"/>
      <c r="T789" s="338"/>
      <c r="U789" s="338"/>
      <c r="V789" s="338"/>
      <c r="W789" s="338"/>
      <c r="X789" s="338"/>
      <c r="Y789" s="338"/>
      <c r="Z789" s="338"/>
    </row>
    <row r="790" ht="22.5" customHeight="1">
      <c r="A790" s="528"/>
      <c r="B790" s="528"/>
      <c r="C790" s="528"/>
      <c r="D790" s="528"/>
      <c r="E790" s="528"/>
      <c r="F790" s="535"/>
      <c r="G790" s="536"/>
      <c r="H790" s="338"/>
      <c r="I790" s="338"/>
      <c r="J790" s="536"/>
      <c r="K790" s="338"/>
      <c r="L790" s="338"/>
      <c r="M790" s="338"/>
      <c r="N790" s="338"/>
      <c r="O790" s="338"/>
      <c r="P790" s="338"/>
      <c r="Q790" s="338"/>
      <c r="R790" s="338"/>
      <c r="S790" s="338"/>
      <c r="T790" s="338"/>
      <c r="U790" s="338"/>
      <c r="V790" s="338"/>
      <c r="W790" s="338"/>
      <c r="X790" s="338"/>
      <c r="Y790" s="338"/>
      <c r="Z790" s="338"/>
    </row>
    <row r="791" ht="22.5" customHeight="1">
      <c r="A791" s="528"/>
      <c r="B791" s="528"/>
      <c r="C791" s="528"/>
      <c r="D791" s="528"/>
      <c r="E791" s="528"/>
      <c r="F791" s="535"/>
      <c r="G791" s="536"/>
      <c r="H791" s="338"/>
      <c r="I791" s="338"/>
      <c r="J791" s="536"/>
      <c r="K791" s="338"/>
      <c r="L791" s="338"/>
      <c r="M791" s="338"/>
      <c r="N791" s="338"/>
      <c r="O791" s="338"/>
      <c r="P791" s="338"/>
      <c r="Q791" s="338"/>
      <c r="R791" s="338"/>
      <c r="S791" s="338"/>
      <c r="T791" s="338"/>
      <c r="U791" s="338"/>
      <c r="V791" s="338"/>
      <c r="W791" s="338"/>
      <c r="X791" s="338"/>
      <c r="Y791" s="338"/>
      <c r="Z791" s="338"/>
    </row>
    <row r="792" ht="22.5" customHeight="1">
      <c r="A792" s="528"/>
      <c r="B792" s="528"/>
      <c r="C792" s="528"/>
      <c r="D792" s="528"/>
      <c r="E792" s="528"/>
      <c r="F792" s="535"/>
      <c r="G792" s="536"/>
      <c r="H792" s="338"/>
      <c r="I792" s="338"/>
      <c r="J792" s="536"/>
      <c r="K792" s="338"/>
      <c r="L792" s="338"/>
      <c r="M792" s="338"/>
      <c r="N792" s="338"/>
      <c r="O792" s="338"/>
      <c r="P792" s="338"/>
      <c r="Q792" s="338"/>
      <c r="R792" s="338"/>
      <c r="S792" s="338"/>
      <c r="T792" s="338"/>
      <c r="U792" s="338"/>
      <c r="V792" s="338"/>
      <c r="W792" s="338"/>
      <c r="X792" s="338"/>
      <c r="Y792" s="338"/>
      <c r="Z792" s="338"/>
    </row>
    <row r="793" ht="22.5" customHeight="1">
      <c r="A793" s="528"/>
      <c r="B793" s="528"/>
      <c r="C793" s="528"/>
      <c r="D793" s="528"/>
      <c r="E793" s="528"/>
      <c r="F793" s="535"/>
      <c r="G793" s="536"/>
      <c r="H793" s="338"/>
      <c r="I793" s="338"/>
      <c r="J793" s="536"/>
      <c r="K793" s="338"/>
      <c r="L793" s="338"/>
      <c r="M793" s="338"/>
      <c r="N793" s="338"/>
      <c r="O793" s="338"/>
      <c r="P793" s="338"/>
      <c r="Q793" s="338"/>
      <c r="R793" s="338"/>
      <c r="S793" s="338"/>
      <c r="T793" s="338"/>
      <c r="U793" s="338"/>
      <c r="V793" s="338"/>
      <c r="W793" s="338"/>
      <c r="X793" s="338"/>
      <c r="Y793" s="338"/>
      <c r="Z793" s="338"/>
    </row>
    <row r="794" ht="22.5" customHeight="1">
      <c r="A794" s="528"/>
      <c r="B794" s="528"/>
      <c r="C794" s="528"/>
      <c r="D794" s="528"/>
      <c r="E794" s="528"/>
      <c r="F794" s="535"/>
      <c r="G794" s="536"/>
      <c r="H794" s="338"/>
      <c r="I794" s="338"/>
      <c r="J794" s="536"/>
      <c r="K794" s="338"/>
      <c r="L794" s="338"/>
      <c r="M794" s="338"/>
      <c r="N794" s="338"/>
      <c r="O794" s="338"/>
      <c r="P794" s="338"/>
      <c r="Q794" s="338"/>
      <c r="R794" s="338"/>
      <c r="S794" s="338"/>
      <c r="T794" s="338"/>
      <c r="U794" s="338"/>
      <c r="V794" s="338"/>
      <c r="W794" s="338"/>
      <c r="X794" s="338"/>
      <c r="Y794" s="338"/>
      <c r="Z794" s="338"/>
    </row>
    <row r="795" ht="22.5" customHeight="1">
      <c r="A795" s="528"/>
      <c r="B795" s="528"/>
      <c r="C795" s="528"/>
      <c r="D795" s="528"/>
      <c r="E795" s="528"/>
      <c r="F795" s="535"/>
      <c r="G795" s="536"/>
      <c r="H795" s="338"/>
      <c r="I795" s="338"/>
      <c r="J795" s="536"/>
      <c r="K795" s="338"/>
      <c r="L795" s="338"/>
      <c r="M795" s="338"/>
      <c r="N795" s="338"/>
      <c r="O795" s="338"/>
      <c r="P795" s="338"/>
      <c r="Q795" s="338"/>
      <c r="R795" s="338"/>
      <c r="S795" s="338"/>
      <c r="T795" s="338"/>
      <c r="U795" s="338"/>
      <c r="V795" s="338"/>
      <c r="W795" s="338"/>
      <c r="X795" s="338"/>
      <c r="Y795" s="338"/>
      <c r="Z795" s="338"/>
    </row>
    <row r="796" ht="22.5" customHeight="1">
      <c r="A796" s="528"/>
      <c r="B796" s="528"/>
      <c r="C796" s="528"/>
      <c r="D796" s="528"/>
      <c r="E796" s="528"/>
      <c r="F796" s="535"/>
      <c r="G796" s="536"/>
      <c r="H796" s="338"/>
      <c r="I796" s="338"/>
      <c r="J796" s="536"/>
      <c r="K796" s="338"/>
      <c r="L796" s="338"/>
      <c r="M796" s="338"/>
      <c r="N796" s="338"/>
      <c r="O796" s="338"/>
      <c r="P796" s="338"/>
      <c r="Q796" s="338"/>
      <c r="R796" s="338"/>
      <c r="S796" s="338"/>
      <c r="T796" s="338"/>
      <c r="U796" s="338"/>
      <c r="V796" s="338"/>
      <c r="W796" s="338"/>
      <c r="X796" s="338"/>
      <c r="Y796" s="338"/>
      <c r="Z796" s="338"/>
    </row>
    <row r="797" ht="22.5" customHeight="1">
      <c r="A797" s="528"/>
      <c r="B797" s="528"/>
      <c r="C797" s="528"/>
      <c r="D797" s="528"/>
      <c r="E797" s="528"/>
      <c r="F797" s="535"/>
      <c r="G797" s="536"/>
      <c r="H797" s="338"/>
      <c r="I797" s="338"/>
      <c r="J797" s="536"/>
      <c r="K797" s="338"/>
      <c r="L797" s="338"/>
      <c r="M797" s="338"/>
      <c r="N797" s="338"/>
      <c r="O797" s="338"/>
      <c r="P797" s="338"/>
      <c r="Q797" s="338"/>
      <c r="R797" s="338"/>
      <c r="S797" s="338"/>
      <c r="T797" s="338"/>
      <c r="U797" s="338"/>
      <c r="V797" s="338"/>
      <c r="W797" s="338"/>
      <c r="X797" s="338"/>
      <c r="Y797" s="338"/>
      <c r="Z797" s="338"/>
    </row>
    <row r="798" ht="22.5" customHeight="1">
      <c r="A798" s="528"/>
      <c r="B798" s="528"/>
      <c r="C798" s="528"/>
      <c r="D798" s="528"/>
      <c r="E798" s="528"/>
      <c r="F798" s="535"/>
      <c r="G798" s="536"/>
      <c r="H798" s="338"/>
      <c r="I798" s="338"/>
      <c r="J798" s="536"/>
      <c r="K798" s="338"/>
      <c r="L798" s="338"/>
      <c r="M798" s="338"/>
      <c r="N798" s="338"/>
      <c r="O798" s="338"/>
      <c r="P798" s="338"/>
      <c r="Q798" s="338"/>
      <c r="R798" s="338"/>
      <c r="S798" s="338"/>
      <c r="T798" s="338"/>
      <c r="U798" s="338"/>
      <c r="V798" s="338"/>
      <c r="W798" s="338"/>
      <c r="X798" s="338"/>
      <c r="Y798" s="338"/>
      <c r="Z798" s="338"/>
    </row>
    <row r="799" ht="22.5" customHeight="1">
      <c r="A799" s="528"/>
      <c r="B799" s="528"/>
      <c r="C799" s="528"/>
      <c r="D799" s="528"/>
      <c r="E799" s="528"/>
      <c r="F799" s="535"/>
      <c r="G799" s="536"/>
      <c r="H799" s="338"/>
      <c r="I799" s="338"/>
      <c r="J799" s="536"/>
      <c r="K799" s="338"/>
      <c r="L799" s="338"/>
      <c r="M799" s="338"/>
      <c r="N799" s="338"/>
      <c r="O799" s="338"/>
      <c r="P799" s="338"/>
      <c r="Q799" s="338"/>
      <c r="R799" s="338"/>
      <c r="S799" s="338"/>
      <c r="T799" s="338"/>
      <c r="U799" s="338"/>
      <c r="V799" s="338"/>
      <c r="W799" s="338"/>
      <c r="X799" s="338"/>
      <c r="Y799" s="338"/>
      <c r="Z799" s="338"/>
    </row>
    <row r="800" ht="22.5" customHeight="1">
      <c r="A800" s="528"/>
      <c r="B800" s="528"/>
      <c r="C800" s="528"/>
      <c r="D800" s="528"/>
      <c r="E800" s="528"/>
      <c r="F800" s="535"/>
      <c r="G800" s="536"/>
      <c r="H800" s="338"/>
      <c r="I800" s="338"/>
      <c r="J800" s="536"/>
      <c r="K800" s="338"/>
      <c r="L800" s="338"/>
      <c r="M800" s="338"/>
      <c r="N800" s="338"/>
      <c r="O800" s="338"/>
      <c r="P800" s="338"/>
      <c r="Q800" s="338"/>
      <c r="R800" s="338"/>
      <c r="S800" s="338"/>
      <c r="T800" s="338"/>
      <c r="U800" s="338"/>
      <c r="V800" s="338"/>
      <c r="W800" s="338"/>
      <c r="X800" s="338"/>
      <c r="Y800" s="338"/>
      <c r="Z800" s="338"/>
    </row>
    <row r="801" ht="22.5" customHeight="1">
      <c r="A801" s="528"/>
      <c r="B801" s="528"/>
      <c r="C801" s="528"/>
      <c r="D801" s="528"/>
      <c r="E801" s="528"/>
      <c r="F801" s="535"/>
      <c r="G801" s="536"/>
      <c r="H801" s="338"/>
      <c r="I801" s="338"/>
      <c r="J801" s="536"/>
      <c r="K801" s="338"/>
      <c r="L801" s="338"/>
      <c r="M801" s="338"/>
      <c r="N801" s="338"/>
      <c r="O801" s="338"/>
      <c r="P801" s="338"/>
      <c r="Q801" s="338"/>
      <c r="R801" s="338"/>
      <c r="S801" s="338"/>
      <c r="T801" s="338"/>
      <c r="U801" s="338"/>
      <c r="V801" s="338"/>
      <c r="W801" s="338"/>
      <c r="X801" s="338"/>
      <c r="Y801" s="338"/>
      <c r="Z801" s="338"/>
    </row>
    <row r="802" ht="22.5" customHeight="1">
      <c r="A802" s="528"/>
      <c r="B802" s="528"/>
      <c r="C802" s="528"/>
      <c r="D802" s="528"/>
      <c r="E802" s="528"/>
      <c r="F802" s="535"/>
      <c r="G802" s="536"/>
      <c r="H802" s="338"/>
      <c r="I802" s="338"/>
      <c r="J802" s="536"/>
      <c r="K802" s="338"/>
      <c r="L802" s="338"/>
      <c r="M802" s="338"/>
      <c r="N802" s="338"/>
      <c r="O802" s="338"/>
      <c r="P802" s="338"/>
      <c r="Q802" s="338"/>
      <c r="R802" s="338"/>
      <c r="S802" s="338"/>
      <c r="T802" s="338"/>
      <c r="U802" s="338"/>
      <c r="V802" s="338"/>
      <c r="W802" s="338"/>
      <c r="X802" s="338"/>
      <c r="Y802" s="338"/>
      <c r="Z802" s="338"/>
    </row>
    <row r="803" ht="22.5" customHeight="1">
      <c r="A803" s="528"/>
      <c r="B803" s="528"/>
      <c r="C803" s="528"/>
      <c r="D803" s="528"/>
      <c r="E803" s="528"/>
      <c r="F803" s="535"/>
      <c r="G803" s="536"/>
      <c r="H803" s="338"/>
      <c r="I803" s="338"/>
      <c r="J803" s="536"/>
      <c r="K803" s="338"/>
      <c r="L803" s="338"/>
      <c r="M803" s="338"/>
      <c r="N803" s="338"/>
      <c r="O803" s="338"/>
      <c r="P803" s="338"/>
      <c r="Q803" s="338"/>
      <c r="R803" s="338"/>
      <c r="S803" s="338"/>
      <c r="T803" s="338"/>
      <c r="U803" s="338"/>
      <c r="V803" s="338"/>
      <c r="W803" s="338"/>
      <c r="X803" s="338"/>
      <c r="Y803" s="338"/>
      <c r="Z803" s="338"/>
    </row>
    <row r="804" ht="22.5" customHeight="1">
      <c r="A804" s="528"/>
      <c r="B804" s="528"/>
      <c r="C804" s="528"/>
      <c r="D804" s="528"/>
      <c r="E804" s="528"/>
      <c r="F804" s="535"/>
      <c r="G804" s="536"/>
      <c r="H804" s="338"/>
      <c r="I804" s="338"/>
      <c r="J804" s="536"/>
      <c r="K804" s="338"/>
      <c r="L804" s="338"/>
      <c r="M804" s="338"/>
      <c r="N804" s="338"/>
      <c r="O804" s="338"/>
      <c r="P804" s="338"/>
      <c r="Q804" s="338"/>
      <c r="R804" s="338"/>
      <c r="S804" s="338"/>
      <c r="T804" s="338"/>
      <c r="U804" s="338"/>
      <c r="V804" s="338"/>
      <c r="W804" s="338"/>
      <c r="X804" s="338"/>
      <c r="Y804" s="338"/>
      <c r="Z804" s="338"/>
    </row>
    <row r="805" ht="22.5" customHeight="1">
      <c r="A805" s="528"/>
      <c r="B805" s="528"/>
      <c r="C805" s="528"/>
      <c r="D805" s="528"/>
      <c r="E805" s="528"/>
      <c r="F805" s="535"/>
      <c r="G805" s="536"/>
      <c r="H805" s="338"/>
      <c r="I805" s="338"/>
      <c r="J805" s="536"/>
      <c r="K805" s="338"/>
      <c r="L805" s="338"/>
      <c r="M805" s="338"/>
      <c r="N805" s="338"/>
      <c r="O805" s="338"/>
      <c r="P805" s="338"/>
      <c r="Q805" s="338"/>
      <c r="R805" s="338"/>
      <c r="S805" s="338"/>
      <c r="T805" s="338"/>
      <c r="U805" s="338"/>
      <c r="V805" s="338"/>
      <c r="W805" s="338"/>
      <c r="X805" s="338"/>
      <c r="Y805" s="338"/>
      <c r="Z805" s="338"/>
    </row>
    <row r="806" ht="22.5" customHeight="1">
      <c r="A806" s="528"/>
      <c r="B806" s="528"/>
      <c r="C806" s="528"/>
      <c r="D806" s="528"/>
      <c r="E806" s="528"/>
      <c r="F806" s="535"/>
      <c r="G806" s="536"/>
      <c r="H806" s="338"/>
      <c r="I806" s="338"/>
      <c r="J806" s="536"/>
      <c r="K806" s="338"/>
      <c r="L806" s="338"/>
      <c r="M806" s="338"/>
      <c r="N806" s="338"/>
      <c r="O806" s="338"/>
      <c r="P806" s="338"/>
      <c r="Q806" s="338"/>
      <c r="R806" s="338"/>
      <c r="S806" s="338"/>
      <c r="T806" s="338"/>
      <c r="U806" s="338"/>
      <c r="V806" s="338"/>
      <c r="W806" s="338"/>
      <c r="X806" s="338"/>
      <c r="Y806" s="338"/>
      <c r="Z806" s="338"/>
    </row>
    <row r="807" ht="22.5" customHeight="1">
      <c r="A807" s="528"/>
      <c r="B807" s="528"/>
      <c r="C807" s="528"/>
      <c r="D807" s="528"/>
      <c r="E807" s="528"/>
      <c r="F807" s="535"/>
      <c r="G807" s="536"/>
      <c r="H807" s="338"/>
      <c r="I807" s="338"/>
      <c r="J807" s="536"/>
      <c r="K807" s="338"/>
      <c r="L807" s="338"/>
      <c r="M807" s="338"/>
      <c r="N807" s="338"/>
      <c r="O807" s="338"/>
      <c r="P807" s="338"/>
      <c r="Q807" s="338"/>
      <c r="R807" s="338"/>
      <c r="S807" s="338"/>
      <c r="T807" s="338"/>
      <c r="U807" s="338"/>
      <c r="V807" s="338"/>
      <c r="W807" s="338"/>
      <c r="X807" s="338"/>
      <c r="Y807" s="338"/>
      <c r="Z807" s="338"/>
    </row>
    <row r="808" ht="22.5" customHeight="1">
      <c r="A808" s="528"/>
      <c r="B808" s="528"/>
      <c r="C808" s="528"/>
      <c r="D808" s="528"/>
      <c r="E808" s="528"/>
      <c r="F808" s="535"/>
      <c r="G808" s="536"/>
      <c r="H808" s="338"/>
      <c r="I808" s="338"/>
      <c r="J808" s="536"/>
      <c r="K808" s="338"/>
      <c r="L808" s="338"/>
      <c r="M808" s="338"/>
      <c r="N808" s="338"/>
      <c r="O808" s="338"/>
      <c r="P808" s="338"/>
      <c r="Q808" s="338"/>
      <c r="R808" s="338"/>
      <c r="S808" s="338"/>
      <c r="T808" s="338"/>
      <c r="U808" s="338"/>
      <c r="V808" s="338"/>
      <c r="W808" s="338"/>
      <c r="X808" s="338"/>
      <c r="Y808" s="338"/>
      <c r="Z808" s="338"/>
    </row>
    <row r="809" ht="22.5" customHeight="1">
      <c r="A809" s="528"/>
      <c r="B809" s="528"/>
      <c r="C809" s="528"/>
      <c r="D809" s="528"/>
      <c r="E809" s="528"/>
      <c r="F809" s="535"/>
      <c r="G809" s="536"/>
      <c r="H809" s="338"/>
      <c r="I809" s="338"/>
      <c r="J809" s="536"/>
      <c r="K809" s="338"/>
      <c r="L809" s="338"/>
      <c r="M809" s="338"/>
      <c r="N809" s="338"/>
      <c r="O809" s="338"/>
      <c r="P809" s="338"/>
      <c r="Q809" s="338"/>
      <c r="R809" s="338"/>
      <c r="S809" s="338"/>
      <c r="T809" s="338"/>
      <c r="U809" s="338"/>
      <c r="V809" s="338"/>
      <c r="W809" s="338"/>
      <c r="X809" s="338"/>
      <c r="Y809" s="338"/>
      <c r="Z809" s="338"/>
    </row>
    <row r="810" ht="22.5" customHeight="1">
      <c r="A810" s="528"/>
      <c r="B810" s="528"/>
      <c r="C810" s="528"/>
      <c r="D810" s="528"/>
      <c r="E810" s="528"/>
      <c r="F810" s="535"/>
      <c r="G810" s="536"/>
      <c r="H810" s="338"/>
      <c r="I810" s="338"/>
      <c r="J810" s="536"/>
      <c r="K810" s="338"/>
      <c r="L810" s="338"/>
      <c r="M810" s="338"/>
      <c r="N810" s="338"/>
      <c r="O810" s="338"/>
      <c r="P810" s="338"/>
      <c r="Q810" s="338"/>
      <c r="R810" s="338"/>
      <c r="S810" s="338"/>
      <c r="T810" s="338"/>
      <c r="U810" s="338"/>
      <c r="V810" s="338"/>
      <c r="W810" s="338"/>
      <c r="X810" s="338"/>
      <c r="Y810" s="338"/>
      <c r="Z810" s="338"/>
    </row>
    <row r="811" ht="22.5" customHeight="1">
      <c r="A811" s="528"/>
      <c r="B811" s="528"/>
      <c r="C811" s="528"/>
      <c r="D811" s="528"/>
      <c r="E811" s="528"/>
      <c r="F811" s="535"/>
      <c r="G811" s="536"/>
      <c r="H811" s="338"/>
      <c r="I811" s="338"/>
      <c r="J811" s="536"/>
      <c r="K811" s="338"/>
      <c r="L811" s="338"/>
      <c r="M811" s="338"/>
      <c r="N811" s="338"/>
      <c r="O811" s="338"/>
      <c r="P811" s="338"/>
      <c r="Q811" s="338"/>
      <c r="R811" s="338"/>
      <c r="S811" s="338"/>
      <c r="T811" s="338"/>
      <c r="U811" s="338"/>
      <c r="V811" s="338"/>
      <c r="W811" s="338"/>
      <c r="X811" s="338"/>
      <c r="Y811" s="338"/>
      <c r="Z811" s="338"/>
    </row>
    <row r="812" ht="22.5" customHeight="1">
      <c r="A812" s="528"/>
      <c r="B812" s="528"/>
      <c r="C812" s="528"/>
      <c r="D812" s="528"/>
      <c r="E812" s="528"/>
      <c r="F812" s="535"/>
      <c r="G812" s="536"/>
      <c r="H812" s="338"/>
      <c r="I812" s="338"/>
      <c r="J812" s="536"/>
      <c r="K812" s="338"/>
      <c r="L812" s="338"/>
      <c r="M812" s="338"/>
      <c r="N812" s="338"/>
      <c r="O812" s="338"/>
      <c r="P812" s="338"/>
      <c r="Q812" s="338"/>
      <c r="R812" s="338"/>
      <c r="S812" s="338"/>
      <c r="T812" s="338"/>
      <c r="U812" s="338"/>
      <c r="V812" s="338"/>
      <c r="W812" s="338"/>
      <c r="X812" s="338"/>
      <c r="Y812" s="338"/>
      <c r="Z812" s="338"/>
    </row>
    <row r="813" ht="22.5" customHeight="1">
      <c r="A813" s="528"/>
      <c r="B813" s="528"/>
      <c r="C813" s="528"/>
      <c r="D813" s="528"/>
      <c r="E813" s="528"/>
      <c r="F813" s="535"/>
      <c r="G813" s="536"/>
      <c r="H813" s="338"/>
      <c r="I813" s="338"/>
      <c r="J813" s="536"/>
      <c r="K813" s="338"/>
      <c r="L813" s="338"/>
      <c r="M813" s="338"/>
      <c r="N813" s="338"/>
      <c r="O813" s="338"/>
      <c r="P813" s="338"/>
      <c r="Q813" s="338"/>
      <c r="R813" s="338"/>
      <c r="S813" s="338"/>
      <c r="T813" s="338"/>
      <c r="U813" s="338"/>
      <c r="V813" s="338"/>
      <c r="W813" s="338"/>
      <c r="X813" s="338"/>
      <c r="Y813" s="338"/>
      <c r="Z813" s="338"/>
    </row>
    <row r="814" ht="22.5" customHeight="1">
      <c r="A814" s="528"/>
      <c r="B814" s="528"/>
      <c r="C814" s="528"/>
      <c r="D814" s="528"/>
      <c r="E814" s="528"/>
      <c r="F814" s="535"/>
      <c r="G814" s="536"/>
      <c r="H814" s="338"/>
      <c r="I814" s="338"/>
      <c r="J814" s="536"/>
      <c r="K814" s="338"/>
      <c r="L814" s="338"/>
      <c r="M814" s="338"/>
      <c r="N814" s="338"/>
      <c r="O814" s="338"/>
      <c r="P814" s="338"/>
      <c r="Q814" s="338"/>
      <c r="R814" s="338"/>
      <c r="S814" s="338"/>
      <c r="T814" s="338"/>
      <c r="U814" s="338"/>
      <c r="V814" s="338"/>
      <c r="W814" s="338"/>
      <c r="X814" s="338"/>
      <c r="Y814" s="338"/>
      <c r="Z814" s="338"/>
    </row>
    <row r="815" ht="22.5" customHeight="1">
      <c r="A815" s="528"/>
      <c r="B815" s="528"/>
      <c r="C815" s="528"/>
      <c r="D815" s="528"/>
      <c r="E815" s="528"/>
      <c r="F815" s="535"/>
      <c r="G815" s="536"/>
      <c r="H815" s="338"/>
      <c r="I815" s="338"/>
      <c r="J815" s="536"/>
      <c r="K815" s="338"/>
      <c r="L815" s="338"/>
      <c r="M815" s="338"/>
      <c r="N815" s="338"/>
      <c r="O815" s="338"/>
      <c r="P815" s="338"/>
      <c r="Q815" s="338"/>
      <c r="R815" s="338"/>
      <c r="S815" s="338"/>
      <c r="T815" s="338"/>
      <c r="U815" s="338"/>
      <c r="V815" s="338"/>
      <c r="W815" s="338"/>
      <c r="X815" s="338"/>
      <c r="Y815" s="338"/>
      <c r="Z815" s="338"/>
    </row>
    <row r="816" ht="22.5" customHeight="1">
      <c r="A816" s="528"/>
      <c r="B816" s="528"/>
      <c r="C816" s="528"/>
      <c r="D816" s="528"/>
      <c r="E816" s="528"/>
      <c r="F816" s="535"/>
      <c r="G816" s="536"/>
      <c r="H816" s="338"/>
      <c r="I816" s="338"/>
      <c r="J816" s="536"/>
      <c r="K816" s="338"/>
      <c r="L816" s="338"/>
      <c r="M816" s="338"/>
      <c r="N816" s="338"/>
      <c r="O816" s="338"/>
      <c r="P816" s="338"/>
      <c r="Q816" s="338"/>
      <c r="R816" s="338"/>
      <c r="S816" s="338"/>
      <c r="T816" s="338"/>
      <c r="U816" s="338"/>
      <c r="V816" s="338"/>
      <c r="W816" s="338"/>
      <c r="X816" s="338"/>
      <c r="Y816" s="338"/>
      <c r="Z816" s="338"/>
    </row>
    <row r="817" ht="22.5" customHeight="1">
      <c r="A817" s="528"/>
      <c r="B817" s="528"/>
      <c r="C817" s="528"/>
      <c r="D817" s="528"/>
      <c r="E817" s="528"/>
      <c r="F817" s="535"/>
      <c r="G817" s="536"/>
      <c r="H817" s="338"/>
      <c r="I817" s="338"/>
      <c r="J817" s="536"/>
      <c r="K817" s="338"/>
      <c r="L817" s="338"/>
      <c r="M817" s="338"/>
      <c r="N817" s="338"/>
      <c r="O817" s="338"/>
      <c r="P817" s="338"/>
      <c r="Q817" s="338"/>
      <c r="R817" s="338"/>
      <c r="S817" s="338"/>
      <c r="T817" s="338"/>
      <c r="U817" s="338"/>
      <c r="V817" s="338"/>
      <c r="W817" s="338"/>
      <c r="X817" s="338"/>
      <c r="Y817" s="338"/>
      <c r="Z817" s="338"/>
    </row>
    <row r="818" ht="22.5" customHeight="1">
      <c r="A818" s="528"/>
      <c r="B818" s="528"/>
      <c r="C818" s="528"/>
      <c r="D818" s="528"/>
      <c r="E818" s="528"/>
      <c r="F818" s="535"/>
      <c r="G818" s="536"/>
      <c r="H818" s="338"/>
      <c r="I818" s="338"/>
      <c r="J818" s="536"/>
      <c r="K818" s="338"/>
      <c r="L818" s="338"/>
      <c r="M818" s="338"/>
      <c r="N818" s="338"/>
      <c r="O818" s="338"/>
      <c r="P818" s="338"/>
      <c r="Q818" s="338"/>
      <c r="R818" s="338"/>
      <c r="S818" s="338"/>
      <c r="T818" s="338"/>
      <c r="U818" s="338"/>
      <c r="V818" s="338"/>
      <c r="W818" s="338"/>
      <c r="X818" s="338"/>
      <c r="Y818" s="338"/>
      <c r="Z818" s="338"/>
    </row>
    <row r="819" ht="22.5" customHeight="1">
      <c r="A819" s="528"/>
      <c r="B819" s="528"/>
      <c r="C819" s="528"/>
      <c r="D819" s="528"/>
      <c r="E819" s="528"/>
      <c r="F819" s="535"/>
      <c r="G819" s="536"/>
      <c r="H819" s="338"/>
      <c r="I819" s="338"/>
      <c r="J819" s="536"/>
      <c r="K819" s="338"/>
      <c r="L819" s="338"/>
      <c r="M819" s="338"/>
      <c r="N819" s="338"/>
      <c r="O819" s="338"/>
      <c r="P819" s="338"/>
      <c r="Q819" s="338"/>
      <c r="R819" s="338"/>
      <c r="S819" s="338"/>
      <c r="T819" s="338"/>
      <c r="U819" s="338"/>
      <c r="V819" s="338"/>
      <c r="W819" s="338"/>
      <c r="X819" s="338"/>
      <c r="Y819" s="338"/>
      <c r="Z819" s="338"/>
    </row>
    <row r="820" ht="22.5" customHeight="1">
      <c r="A820" s="528"/>
      <c r="B820" s="528"/>
      <c r="C820" s="528"/>
      <c r="D820" s="528"/>
      <c r="E820" s="528"/>
      <c r="F820" s="535"/>
      <c r="G820" s="536"/>
      <c r="H820" s="338"/>
      <c r="I820" s="338"/>
      <c r="J820" s="536"/>
      <c r="K820" s="338"/>
      <c r="L820" s="338"/>
      <c r="M820" s="338"/>
      <c r="N820" s="338"/>
      <c r="O820" s="338"/>
      <c r="P820" s="338"/>
      <c r="Q820" s="338"/>
      <c r="R820" s="338"/>
      <c r="S820" s="338"/>
      <c r="T820" s="338"/>
      <c r="U820" s="338"/>
      <c r="V820" s="338"/>
      <c r="W820" s="338"/>
      <c r="X820" s="338"/>
      <c r="Y820" s="338"/>
      <c r="Z820" s="338"/>
    </row>
    <row r="821" ht="22.5" customHeight="1">
      <c r="A821" s="528"/>
      <c r="B821" s="528"/>
      <c r="C821" s="528"/>
      <c r="D821" s="528"/>
      <c r="E821" s="528"/>
      <c r="F821" s="535"/>
      <c r="G821" s="536"/>
      <c r="H821" s="338"/>
      <c r="I821" s="338"/>
      <c r="J821" s="536"/>
      <c r="K821" s="338"/>
      <c r="L821" s="338"/>
      <c r="M821" s="338"/>
      <c r="N821" s="338"/>
      <c r="O821" s="338"/>
      <c r="P821" s="338"/>
      <c r="Q821" s="338"/>
      <c r="R821" s="338"/>
      <c r="S821" s="338"/>
      <c r="T821" s="338"/>
      <c r="U821" s="338"/>
      <c r="V821" s="338"/>
      <c r="W821" s="338"/>
      <c r="X821" s="338"/>
      <c r="Y821" s="338"/>
      <c r="Z821" s="338"/>
    </row>
    <row r="822" ht="22.5" customHeight="1">
      <c r="A822" s="528"/>
      <c r="B822" s="528"/>
      <c r="C822" s="528"/>
      <c r="D822" s="528"/>
      <c r="E822" s="528"/>
      <c r="F822" s="535"/>
      <c r="G822" s="536"/>
      <c r="H822" s="338"/>
      <c r="I822" s="338"/>
      <c r="J822" s="536"/>
      <c r="K822" s="338"/>
      <c r="L822" s="338"/>
      <c r="M822" s="338"/>
      <c r="N822" s="338"/>
      <c r="O822" s="338"/>
      <c r="P822" s="338"/>
      <c r="Q822" s="338"/>
      <c r="R822" s="338"/>
      <c r="S822" s="338"/>
      <c r="T822" s="338"/>
      <c r="U822" s="338"/>
      <c r="V822" s="338"/>
      <c r="W822" s="338"/>
      <c r="X822" s="338"/>
      <c r="Y822" s="338"/>
      <c r="Z822" s="338"/>
    </row>
    <row r="823" ht="22.5" customHeight="1">
      <c r="A823" s="528"/>
      <c r="B823" s="528"/>
      <c r="C823" s="528"/>
      <c r="D823" s="528"/>
      <c r="E823" s="528"/>
      <c r="F823" s="535"/>
      <c r="G823" s="536"/>
      <c r="H823" s="338"/>
      <c r="I823" s="338"/>
      <c r="J823" s="536"/>
      <c r="K823" s="338"/>
      <c r="L823" s="338"/>
      <c r="M823" s="338"/>
      <c r="N823" s="338"/>
      <c r="O823" s="338"/>
      <c r="P823" s="338"/>
      <c r="Q823" s="338"/>
      <c r="R823" s="338"/>
      <c r="S823" s="338"/>
      <c r="T823" s="338"/>
      <c r="U823" s="338"/>
      <c r="V823" s="338"/>
      <c r="W823" s="338"/>
      <c r="X823" s="338"/>
      <c r="Y823" s="338"/>
      <c r="Z823" s="338"/>
    </row>
    <row r="824" ht="22.5" customHeight="1">
      <c r="A824" s="528"/>
      <c r="B824" s="528"/>
      <c r="C824" s="528"/>
      <c r="D824" s="528"/>
      <c r="E824" s="528"/>
      <c r="F824" s="535"/>
      <c r="G824" s="536"/>
      <c r="H824" s="338"/>
      <c r="I824" s="338"/>
      <c r="J824" s="536"/>
      <c r="K824" s="338"/>
      <c r="L824" s="338"/>
      <c r="M824" s="338"/>
      <c r="N824" s="338"/>
      <c r="O824" s="338"/>
      <c r="P824" s="338"/>
      <c r="Q824" s="338"/>
      <c r="R824" s="338"/>
      <c r="S824" s="338"/>
      <c r="T824" s="338"/>
      <c r="U824" s="338"/>
      <c r="V824" s="338"/>
      <c r="W824" s="338"/>
      <c r="X824" s="338"/>
      <c r="Y824" s="338"/>
      <c r="Z824" s="338"/>
    </row>
    <row r="825" ht="22.5" customHeight="1">
      <c r="A825" s="528"/>
      <c r="B825" s="528"/>
      <c r="C825" s="528"/>
      <c r="D825" s="528"/>
      <c r="E825" s="528"/>
      <c r="F825" s="535"/>
      <c r="G825" s="536"/>
      <c r="H825" s="338"/>
      <c r="I825" s="338"/>
      <c r="J825" s="536"/>
      <c r="K825" s="338"/>
      <c r="L825" s="338"/>
      <c r="M825" s="338"/>
      <c r="N825" s="338"/>
      <c r="O825" s="338"/>
      <c r="P825" s="338"/>
      <c r="Q825" s="338"/>
      <c r="R825" s="338"/>
      <c r="S825" s="338"/>
      <c r="T825" s="338"/>
      <c r="U825" s="338"/>
      <c r="V825" s="338"/>
      <c r="W825" s="338"/>
      <c r="X825" s="338"/>
      <c r="Y825" s="338"/>
      <c r="Z825" s="338"/>
    </row>
    <row r="826" ht="22.5" customHeight="1">
      <c r="A826" s="528"/>
      <c r="B826" s="528"/>
      <c r="C826" s="528"/>
      <c r="D826" s="528"/>
      <c r="E826" s="528"/>
      <c r="F826" s="535"/>
      <c r="G826" s="536"/>
      <c r="H826" s="338"/>
      <c r="I826" s="338"/>
      <c r="J826" s="536"/>
      <c r="K826" s="338"/>
      <c r="L826" s="338"/>
      <c r="M826" s="338"/>
      <c r="N826" s="338"/>
      <c r="O826" s="338"/>
      <c r="P826" s="338"/>
      <c r="Q826" s="338"/>
      <c r="R826" s="338"/>
      <c r="S826" s="338"/>
      <c r="T826" s="338"/>
      <c r="U826" s="338"/>
      <c r="V826" s="338"/>
      <c r="W826" s="338"/>
      <c r="X826" s="338"/>
      <c r="Y826" s="338"/>
      <c r="Z826" s="338"/>
    </row>
    <row r="827" ht="22.5" customHeight="1">
      <c r="A827" s="528"/>
      <c r="B827" s="528"/>
      <c r="C827" s="528"/>
      <c r="D827" s="528"/>
      <c r="E827" s="528"/>
      <c r="F827" s="535"/>
      <c r="G827" s="536"/>
      <c r="H827" s="338"/>
      <c r="I827" s="338"/>
      <c r="J827" s="536"/>
      <c r="K827" s="338"/>
      <c r="L827" s="338"/>
      <c r="M827" s="338"/>
      <c r="N827" s="338"/>
      <c r="O827" s="338"/>
      <c r="P827" s="338"/>
      <c r="Q827" s="338"/>
      <c r="R827" s="338"/>
      <c r="S827" s="338"/>
      <c r="T827" s="338"/>
      <c r="U827" s="338"/>
      <c r="V827" s="338"/>
      <c r="W827" s="338"/>
      <c r="X827" s="338"/>
      <c r="Y827" s="338"/>
      <c r="Z827" s="338"/>
    </row>
    <row r="828" ht="22.5" customHeight="1">
      <c r="A828" s="528"/>
      <c r="B828" s="528"/>
      <c r="C828" s="528"/>
      <c r="D828" s="528"/>
      <c r="E828" s="528"/>
      <c r="F828" s="535"/>
      <c r="G828" s="536"/>
      <c r="H828" s="338"/>
      <c r="I828" s="338"/>
      <c r="J828" s="536"/>
      <c r="K828" s="338"/>
      <c r="L828" s="338"/>
      <c r="M828" s="338"/>
      <c r="N828" s="338"/>
      <c r="O828" s="338"/>
      <c r="P828" s="338"/>
      <c r="Q828" s="338"/>
      <c r="R828" s="338"/>
      <c r="S828" s="338"/>
      <c r="T828" s="338"/>
      <c r="U828" s="338"/>
      <c r="V828" s="338"/>
      <c r="W828" s="338"/>
      <c r="X828" s="338"/>
      <c r="Y828" s="338"/>
      <c r="Z828" s="338"/>
    </row>
    <row r="829" ht="22.5" customHeight="1">
      <c r="A829" s="528"/>
      <c r="B829" s="528"/>
      <c r="C829" s="528"/>
      <c r="D829" s="528"/>
      <c r="E829" s="528"/>
      <c r="F829" s="535"/>
      <c r="G829" s="536"/>
      <c r="H829" s="338"/>
      <c r="I829" s="338"/>
      <c r="J829" s="536"/>
      <c r="K829" s="338"/>
      <c r="L829" s="338"/>
      <c r="M829" s="338"/>
      <c r="N829" s="338"/>
      <c r="O829" s="338"/>
      <c r="P829" s="338"/>
      <c r="Q829" s="338"/>
      <c r="R829" s="338"/>
      <c r="S829" s="338"/>
      <c r="T829" s="338"/>
      <c r="U829" s="338"/>
      <c r="V829" s="338"/>
      <c r="W829" s="338"/>
      <c r="X829" s="338"/>
      <c r="Y829" s="338"/>
      <c r="Z829" s="338"/>
    </row>
    <row r="830" ht="22.5" customHeight="1">
      <c r="A830" s="528"/>
      <c r="B830" s="528"/>
      <c r="C830" s="528"/>
      <c r="D830" s="528"/>
      <c r="E830" s="528"/>
      <c r="F830" s="535"/>
      <c r="G830" s="536"/>
      <c r="H830" s="338"/>
      <c r="I830" s="338"/>
      <c r="J830" s="536"/>
      <c r="K830" s="338"/>
      <c r="L830" s="338"/>
      <c r="M830" s="338"/>
      <c r="N830" s="338"/>
      <c r="O830" s="338"/>
      <c r="P830" s="338"/>
      <c r="Q830" s="338"/>
      <c r="R830" s="338"/>
      <c r="S830" s="338"/>
      <c r="T830" s="338"/>
      <c r="U830" s="338"/>
      <c r="V830" s="338"/>
      <c r="W830" s="338"/>
      <c r="X830" s="338"/>
      <c r="Y830" s="338"/>
      <c r="Z830" s="338"/>
    </row>
    <row r="831" ht="22.5" customHeight="1">
      <c r="A831" s="528"/>
      <c r="B831" s="528"/>
      <c r="C831" s="528"/>
      <c r="D831" s="528"/>
      <c r="E831" s="528"/>
      <c r="F831" s="535"/>
      <c r="G831" s="536"/>
      <c r="H831" s="338"/>
      <c r="I831" s="338"/>
      <c r="J831" s="536"/>
      <c r="K831" s="338"/>
      <c r="L831" s="338"/>
      <c r="M831" s="338"/>
      <c r="N831" s="338"/>
      <c r="O831" s="338"/>
      <c r="P831" s="338"/>
      <c r="Q831" s="338"/>
      <c r="R831" s="338"/>
      <c r="S831" s="338"/>
      <c r="T831" s="338"/>
      <c r="U831" s="338"/>
      <c r="V831" s="338"/>
      <c r="W831" s="338"/>
      <c r="X831" s="338"/>
      <c r="Y831" s="338"/>
      <c r="Z831" s="338"/>
    </row>
    <row r="832" ht="22.5" customHeight="1">
      <c r="A832" s="528"/>
      <c r="B832" s="528"/>
      <c r="C832" s="528"/>
      <c r="D832" s="528"/>
      <c r="E832" s="528"/>
      <c r="F832" s="535"/>
      <c r="G832" s="536"/>
      <c r="H832" s="338"/>
      <c r="I832" s="338"/>
      <c r="J832" s="536"/>
      <c r="K832" s="338"/>
      <c r="L832" s="338"/>
      <c r="M832" s="338"/>
      <c r="N832" s="338"/>
      <c r="O832" s="338"/>
      <c r="P832" s="338"/>
      <c r="Q832" s="338"/>
      <c r="R832" s="338"/>
      <c r="S832" s="338"/>
      <c r="T832" s="338"/>
      <c r="U832" s="338"/>
      <c r="V832" s="338"/>
      <c r="W832" s="338"/>
      <c r="X832" s="338"/>
      <c r="Y832" s="338"/>
      <c r="Z832" s="338"/>
    </row>
    <row r="833" ht="22.5" customHeight="1">
      <c r="A833" s="528"/>
      <c r="B833" s="528"/>
      <c r="C833" s="528"/>
      <c r="D833" s="528"/>
      <c r="E833" s="528"/>
      <c r="F833" s="535"/>
      <c r="G833" s="536"/>
      <c r="H833" s="338"/>
      <c r="I833" s="338"/>
      <c r="J833" s="536"/>
      <c r="K833" s="338"/>
      <c r="L833" s="338"/>
      <c r="M833" s="338"/>
      <c r="N833" s="338"/>
      <c r="O833" s="338"/>
      <c r="P833" s="338"/>
      <c r="Q833" s="338"/>
      <c r="R833" s="338"/>
      <c r="S833" s="338"/>
      <c r="T833" s="338"/>
      <c r="U833" s="338"/>
      <c r="V833" s="338"/>
      <c r="W833" s="338"/>
      <c r="X833" s="338"/>
      <c r="Y833" s="338"/>
      <c r="Z833" s="338"/>
    </row>
    <row r="834" ht="22.5" customHeight="1">
      <c r="A834" s="528"/>
      <c r="B834" s="528"/>
      <c r="C834" s="528"/>
      <c r="D834" s="528"/>
      <c r="E834" s="528"/>
      <c r="F834" s="535"/>
      <c r="G834" s="536"/>
      <c r="H834" s="338"/>
      <c r="I834" s="338"/>
      <c r="J834" s="536"/>
      <c r="K834" s="338"/>
      <c r="L834" s="338"/>
      <c r="M834" s="338"/>
      <c r="N834" s="338"/>
      <c r="O834" s="338"/>
      <c r="P834" s="338"/>
      <c r="Q834" s="338"/>
      <c r="R834" s="338"/>
      <c r="S834" s="338"/>
      <c r="T834" s="338"/>
      <c r="U834" s="338"/>
      <c r="V834" s="338"/>
      <c r="W834" s="338"/>
      <c r="X834" s="338"/>
      <c r="Y834" s="338"/>
      <c r="Z834" s="338"/>
    </row>
    <row r="835" ht="22.5" customHeight="1">
      <c r="A835" s="528"/>
      <c r="B835" s="528"/>
      <c r="C835" s="528"/>
      <c r="D835" s="528"/>
      <c r="E835" s="528"/>
      <c r="F835" s="535"/>
      <c r="G835" s="536"/>
      <c r="H835" s="338"/>
      <c r="I835" s="338"/>
      <c r="J835" s="536"/>
      <c r="K835" s="338"/>
      <c r="L835" s="338"/>
      <c r="M835" s="338"/>
      <c r="N835" s="338"/>
      <c r="O835" s="338"/>
      <c r="P835" s="338"/>
      <c r="Q835" s="338"/>
      <c r="R835" s="338"/>
      <c r="S835" s="338"/>
      <c r="T835" s="338"/>
      <c r="U835" s="338"/>
      <c r="V835" s="338"/>
      <c r="W835" s="338"/>
      <c r="X835" s="338"/>
      <c r="Y835" s="338"/>
      <c r="Z835" s="338"/>
    </row>
    <row r="836" ht="22.5" customHeight="1">
      <c r="A836" s="528"/>
      <c r="B836" s="528"/>
      <c r="C836" s="528"/>
      <c r="D836" s="528"/>
      <c r="E836" s="528"/>
      <c r="F836" s="535"/>
      <c r="G836" s="536"/>
      <c r="H836" s="338"/>
      <c r="I836" s="338"/>
      <c r="J836" s="536"/>
      <c r="K836" s="338"/>
      <c r="L836" s="338"/>
      <c r="M836" s="338"/>
      <c r="N836" s="338"/>
      <c r="O836" s="338"/>
      <c r="P836" s="338"/>
      <c r="Q836" s="338"/>
      <c r="R836" s="338"/>
      <c r="S836" s="338"/>
      <c r="T836" s="338"/>
      <c r="U836" s="338"/>
      <c r="V836" s="338"/>
      <c r="W836" s="338"/>
      <c r="X836" s="338"/>
      <c r="Y836" s="338"/>
      <c r="Z836" s="338"/>
    </row>
    <row r="837" ht="22.5" customHeight="1">
      <c r="A837" s="528"/>
      <c r="B837" s="528"/>
      <c r="C837" s="528"/>
      <c r="D837" s="528"/>
      <c r="E837" s="528"/>
      <c r="F837" s="535"/>
      <c r="G837" s="536"/>
      <c r="H837" s="338"/>
      <c r="I837" s="338"/>
      <c r="J837" s="536"/>
      <c r="K837" s="338"/>
      <c r="L837" s="338"/>
      <c r="M837" s="338"/>
      <c r="N837" s="338"/>
      <c r="O837" s="338"/>
      <c r="P837" s="338"/>
      <c r="Q837" s="338"/>
      <c r="R837" s="338"/>
      <c r="S837" s="338"/>
      <c r="T837" s="338"/>
      <c r="U837" s="338"/>
      <c r="V837" s="338"/>
      <c r="W837" s="338"/>
      <c r="X837" s="338"/>
      <c r="Y837" s="338"/>
      <c r="Z837" s="338"/>
    </row>
    <row r="838" ht="22.5" customHeight="1">
      <c r="A838" s="528"/>
      <c r="B838" s="528"/>
      <c r="C838" s="528"/>
      <c r="D838" s="528"/>
      <c r="E838" s="528"/>
      <c r="F838" s="535"/>
      <c r="G838" s="536"/>
      <c r="H838" s="338"/>
      <c r="I838" s="338"/>
      <c r="J838" s="536"/>
      <c r="K838" s="338"/>
      <c r="L838" s="338"/>
      <c r="M838" s="338"/>
      <c r="N838" s="338"/>
      <c r="O838" s="338"/>
      <c r="P838" s="338"/>
      <c r="Q838" s="338"/>
      <c r="R838" s="338"/>
      <c r="S838" s="338"/>
      <c r="T838" s="338"/>
      <c r="U838" s="338"/>
      <c r="V838" s="338"/>
      <c r="W838" s="338"/>
      <c r="X838" s="338"/>
      <c r="Y838" s="338"/>
      <c r="Z838" s="338"/>
    </row>
    <row r="839" ht="22.5" customHeight="1">
      <c r="A839" s="528"/>
      <c r="B839" s="528"/>
      <c r="C839" s="528"/>
      <c r="D839" s="528"/>
      <c r="E839" s="528"/>
      <c r="F839" s="535"/>
      <c r="G839" s="536"/>
      <c r="H839" s="338"/>
      <c r="I839" s="338"/>
      <c r="J839" s="536"/>
      <c r="K839" s="338"/>
      <c r="L839" s="338"/>
      <c r="M839" s="338"/>
      <c r="N839" s="338"/>
      <c r="O839" s="338"/>
      <c r="P839" s="338"/>
      <c r="Q839" s="338"/>
      <c r="R839" s="338"/>
      <c r="S839" s="338"/>
      <c r="T839" s="338"/>
      <c r="U839" s="338"/>
      <c r="V839" s="338"/>
      <c r="W839" s="338"/>
      <c r="X839" s="338"/>
      <c r="Y839" s="338"/>
      <c r="Z839" s="338"/>
    </row>
    <row r="840" ht="22.5" customHeight="1">
      <c r="A840" s="528"/>
      <c r="B840" s="528"/>
      <c r="C840" s="528"/>
      <c r="D840" s="528"/>
      <c r="E840" s="528"/>
      <c r="F840" s="535"/>
      <c r="G840" s="536"/>
      <c r="H840" s="338"/>
      <c r="I840" s="338"/>
      <c r="J840" s="536"/>
      <c r="K840" s="338"/>
      <c r="L840" s="338"/>
      <c r="M840" s="338"/>
      <c r="N840" s="338"/>
      <c r="O840" s="338"/>
      <c r="P840" s="338"/>
      <c r="Q840" s="338"/>
      <c r="R840" s="338"/>
      <c r="S840" s="338"/>
      <c r="T840" s="338"/>
      <c r="U840" s="338"/>
      <c r="V840" s="338"/>
      <c r="W840" s="338"/>
      <c r="X840" s="338"/>
      <c r="Y840" s="338"/>
      <c r="Z840" s="338"/>
    </row>
    <row r="841" ht="22.5" customHeight="1">
      <c r="A841" s="528"/>
      <c r="B841" s="528"/>
      <c r="C841" s="528"/>
      <c r="D841" s="528"/>
      <c r="E841" s="528"/>
      <c r="F841" s="535"/>
      <c r="G841" s="536"/>
      <c r="H841" s="338"/>
      <c r="I841" s="338"/>
      <c r="J841" s="536"/>
      <c r="K841" s="338"/>
      <c r="L841" s="338"/>
      <c r="M841" s="338"/>
      <c r="N841" s="338"/>
      <c r="O841" s="338"/>
      <c r="P841" s="338"/>
      <c r="Q841" s="338"/>
      <c r="R841" s="338"/>
      <c r="S841" s="338"/>
      <c r="T841" s="338"/>
      <c r="U841" s="338"/>
      <c r="V841" s="338"/>
      <c r="W841" s="338"/>
      <c r="X841" s="338"/>
      <c r="Y841" s="338"/>
      <c r="Z841" s="338"/>
    </row>
    <row r="842" ht="22.5" customHeight="1">
      <c r="A842" s="528"/>
      <c r="B842" s="528"/>
      <c r="C842" s="528"/>
      <c r="D842" s="528"/>
      <c r="E842" s="528"/>
      <c r="F842" s="535"/>
      <c r="G842" s="536"/>
      <c r="H842" s="338"/>
      <c r="I842" s="338"/>
      <c r="J842" s="536"/>
      <c r="K842" s="338"/>
      <c r="L842" s="338"/>
      <c r="M842" s="338"/>
      <c r="N842" s="338"/>
      <c r="O842" s="338"/>
      <c r="P842" s="338"/>
      <c r="Q842" s="338"/>
      <c r="R842" s="338"/>
      <c r="S842" s="338"/>
      <c r="T842" s="338"/>
      <c r="U842" s="338"/>
      <c r="V842" s="338"/>
      <c r="W842" s="338"/>
      <c r="X842" s="338"/>
      <c r="Y842" s="338"/>
      <c r="Z842" s="338"/>
    </row>
    <row r="843" ht="22.5" customHeight="1">
      <c r="A843" s="528"/>
      <c r="B843" s="528"/>
      <c r="C843" s="528"/>
      <c r="D843" s="528"/>
      <c r="E843" s="528"/>
      <c r="F843" s="535"/>
      <c r="G843" s="536"/>
      <c r="H843" s="338"/>
      <c r="I843" s="338"/>
      <c r="J843" s="536"/>
      <c r="K843" s="338"/>
      <c r="L843" s="338"/>
      <c r="M843" s="338"/>
      <c r="N843" s="338"/>
      <c r="O843" s="338"/>
      <c r="P843" s="338"/>
      <c r="Q843" s="338"/>
      <c r="R843" s="338"/>
      <c r="S843" s="338"/>
      <c r="T843" s="338"/>
      <c r="U843" s="338"/>
      <c r="V843" s="338"/>
      <c r="W843" s="338"/>
      <c r="X843" s="338"/>
      <c r="Y843" s="338"/>
      <c r="Z843" s="338"/>
    </row>
    <row r="844" ht="22.5" customHeight="1">
      <c r="A844" s="528"/>
      <c r="B844" s="528"/>
      <c r="C844" s="528"/>
      <c r="D844" s="528"/>
      <c r="E844" s="528"/>
      <c r="F844" s="535"/>
      <c r="G844" s="536"/>
      <c r="H844" s="338"/>
      <c r="I844" s="338"/>
      <c r="J844" s="536"/>
      <c r="K844" s="338"/>
      <c r="L844" s="338"/>
      <c r="M844" s="338"/>
      <c r="N844" s="338"/>
      <c r="O844" s="338"/>
      <c r="P844" s="338"/>
      <c r="Q844" s="338"/>
      <c r="R844" s="338"/>
      <c r="S844" s="338"/>
      <c r="T844" s="338"/>
      <c r="U844" s="338"/>
      <c r="V844" s="338"/>
      <c r="W844" s="338"/>
      <c r="X844" s="338"/>
      <c r="Y844" s="338"/>
      <c r="Z844" s="338"/>
    </row>
    <row r="845" ht="22.5" customHeight="1">
      <c r="A845" s="528"/>
      <c r="B845" s="528"/>
      <c r="C845" s="528"/>
      <c r="D845" s="528"/>
      <c r="E845" s="528"/>
      <c r="F845" s="535"/>
      <c r="G845" s="536"/>
      <c r="H845" s="338"/>
      <c r="I845" s="338"/>
      <c r="J845" s="536"/>
      <c r="K845" s="338"/>
      <c r="L845" s="338"/>
      <c r="M845" s="338"/>
      <c r="N845" s="338"/>
      <c r="O845" s="338"/>
      <c r="P845" s="338"/>
      <c r="Q845" s="338"/>
      <c r="R845" s="338"/>
      <c r="S845" s="338"/>
      <c r="T845" s="338"/>
      <c r="U845" s="338"/>
      <c r="V845" s="338"/>
      <c r="W845" s="338"/>
      <c r="X845" s="338"/>
      <c r="Y845" s="338"/>
      <c r="Z845" s="338"/>
    </row>
    <row r="846" ht="22.5" customHeight="1">
      <c r="A846" s="528"/>
      <c r="B846" s="528"/>
      <c r="C846" s="528"/>
      <c r="D846" s="528"/>
      <c r="E846" s="528"/>
      <c r="F846" s="535"/>
      <c r="G846" s="536"/>
      <c r="H846" s="338"/>
      <c r="I846" s="338"/>
      <c r="J846" s="536"/>
      <c r="K846" s="338"/>
      <c r="L846" s="338"/>
      <c r="M846" s="338"/>
      <c r="N846" s="338"/>
      <c r="O846" s="338"/>
      <c r="P846" s="338"/>
      <c r="Q846" s="338"/>
      <c r="R846" s="338"/>
      <c r="S846" s="338"/>
      <c r="T846" s="338"/>
      <c r="U846" s="338"/>
      <c r="V846" s="338"/>
      <c r="W846" s="338"/>
      <c r="X846" s="338"/>
      <c r="Y846" s="338"/>
      <c r="Z846" s="338"/>
    </row>
    <row r="847" ht="22.5" customHeight="1">
      <c r="A847" s="528"/>
      <c r="B847" s="528"/>
      <c r="C847" s="528"/>
      <c r="D847" s="528"/>
      <c r="E847" s="528"/>
      <c r="F847" s="535"/>
      <c r="G847" s="536"/>
      <c r="H847" s="338"/>
      <c r="I847" s="338"/>
      <c r="J847" s="536"/>
      <c r="K847" s="338"/>
      <c r="L847" s="338"/>
      <c r="M847" s="338"/>
      <c r="N847" s="338"/>
      <c r="O847" s="338"/>
      <c r="P847" s="338"/>
      <c r="Q847" s="338"/>
      <c r="R847" s="338"/>
      <c r="S847" s="338"/>
      <c r="T847" s="338"/>
      <c r="U847" s="338"/>
      <c r="V847" s="338"/>
      <c r="W847" s="338"/>
      <c r="X847" s="338"/>
      <c r="Y847" s="338"/>
      <c r="Z847" s="338"/>
    </row>
    <row r="848" ht="22.5" customHeight="1">
      <c r="A848" s="528"/>
      <c r="B848" s="528"/>
      <c r="C848" s="528"/>
      <c r="D848" s="528"/>
      <c r="E848" s="528"/>
      <c r="F848" s="535"/>
      <c r="G848" s="536"/>
      <c r="H848" s="338"/>
      <c r="I848" s="338"/>
      <c r="J848" s="536"/>
      <c r="K848" s="338"/>
      <c r="L848" s="338"/>
      <c r="M848" s="338"/>
      <c r="N848" s="338"/>
      <c r="O848" s="338"/>
      <c r="P848" s="338"/>
      <c r="Q848" s="338"/>
      <c r="R848" s="338"/>
      <c r="S848" s="338"/>
      <c r="T848" s="338"/>
      <c r="U848" s="338"/>
      <c r="V848" s="338"/>
      <c r="W848" s="338"/>
      <c r="X848" s="338"/>
      <c r="Y848" s="338"/>
      <c r="Z848" s="338"/>
    </row>
    <row r="849" ht="22.5" customHeight="1">
      <c r="A849" s="528"/>
      <c r="B849" s="528"/>
      <c r="C849" s="528"/>
      <c r="D849" s="528"/>
      <c r="E849" s="528"/>
      <c r="F849" s="535"/>
      <c r="G849" s="536"/>
      <c r="H849" s="338"/>
      <c r="I849" s="338"/>
      <c r="J849" s="536"/>
      <c r="K849" s="338"/>
      <c r="L849" s="338"/>
      <c r="M849" s="338"/>
      <c r="N849" s="338"/>
      <c r="O849" s="338"/>
      <c r="P849" s="338"/>
      <c r="Q849" s="338"/>
      <c r="R849" s="338"/>
      <c r="S849" s="338"/>
      <c r="T849" s="338"/>
      <c r="U849" s="338"/>
      <c r="V849" s="338"/>
      <c r="W849" s="338"/>
      <c r="X849" s="338"/>
      <c r="Y849" s="338"/>
      <c r="Z849" s="338"/>
    </row>
    <row r="850" ht="22.5" customHeight="1">
      <c r="A850" s="528"/>
      <c r="B850" s="528"/>
      <c r="C850" s="528"/>
      <c r="D850" s="528"/>
      <c r="E850" s="528"/>
      <c r="F850" s="535"/>
      <c r="G850" s="536"/>
      <c r="H850" s="338"/>
      <c r="I850" s="338"/>
      <c r="J850" s="536"/>
      <c r="K850" s="338"/>
      <c r="L850" s="338"/>
      <c r="M850" s="338"/>
      <c r="N850" s="338"/>
      <c r="O850" s="338"/>
      <c r="P850" s="338"/>
      <c r="Q850" s="338"/>
      <c r="R850" s="338"/>
      <c r="S850" s="338"/>
      <c r="T850" s="338"/>
      <c r="U850" s="338"/>
      <c r="V850" s="338"/>
      <c r="W850" s="338"/>
      <c r="X850" s="338"/>
      <c r="Y850" s="338"/>
      <c r="Z850" s="338"/>
    </row>
    <row r="851" ht="22.5" customHeight="1">
      <c r="A851" s="528"/>
      <c r="B851" s="528"/>
      <c r="C851" s="528"/>
      <c r="D851" s="528"/>
      <c r="E851" s="528"/>
      <c r="F851" s="535"/>
      <c r="G851" s="536"/>
      <c r="H851" s="338"/>
      <c r="I851" s="338"/>
      <c r="J851" s="536"/>
      <c r="K851" s="338"/>
      <c r="L851" s="338"/>
      <c r="M851" s="338"/>
      <c r="N851" s="338"/>
      <c r="O851" s="338"/>
      <c r="P851" s="338"/>
      <c r="Q851" s="338"/>
      <c r="R851" s="338"/>
      <c r="S851" s="338"/>
      <c r="T851" s="338"/>
      <c r="U851" s="338"/>
      <c r="V851" s="338"/>
      <c r="W851" s="338"/>
      <c r="X851" s="338"/>
      <c r="Y851" s="338"/>
      <c r="Z851" s="338"/>
    </row>
    <row r="852" ht="22.5" customHeight="1">
      <c r="A852" s="528"/>
      <c r="B852" s="528"/>
      <c r="C852" s="528"/>
      <c r="D852" s="528"/>
      <c r="E852" s="528"/>
      <c r="F852" s="535"/>
      <c r="G852" s="536"/>
      <c r="H852" s="338"/>
      <c r="I852" s="338"/>
      <c r="J852" s="536"/>
      <c r="K852" s="338"/>
      <c r="L852" s="338"/>
      <c r="M852" s="338"/>
      <c r="N852" s="338"/>
      <c r="O852" s="338"/>
      <c r="P852" s="338"/>
      <c r="Q852" s="338"/>
      <c r="R852" s="338"/>
      <c r="S852" s="338"/>
      <c r="T852" s="338"/>
      <c r="U852" s="338"/>
      <c r="V852" s="338"/>
      <c r="W852" s="338"/>
      <c r="X852" s="338"/>
      <c r="Y852" s="338"/>
      <c r="Z852" s="338"/>
    </row>
    <row r="853" ht="22.5" customHeight="1">
      <c r="A853" s="528"/>
      <c r="B853" s="528"/>
      <c r="C853" s="528"/>
      <c r="D853" s="528"/>
      <c r="E853" s="528"/>
      <c r="F853" s="535"/>
      <c r="G853" s="536"/>
      <c r="H853" s="338"/>
      <c r="I853" s="338"/>
      <c r="J853" s="536"/>
      <c r="K853" s="338"/>
      <c r="L853" s="338"/>
      <c r="M853" s="338"/>
      <c r="N853" s="338"/>
      <c r="O853" s="338"/>
      <c r="P853" s="338"/>
      <c r="Q853" s="338"/>
      <c r="R853" s="338"/>
      <c r="S853" s="338"/>
      <c r="T853" s="338"/>
      <c r="U853" s="338"/>
      <c r="V853" s="338"/>
      <c r="W853" s="338"/>
      <c r="X853" s="338"/>
      <c r="Y853" s="338"/>
      <c r="Z853" s="338"/>
    </row>
    <row r="854" ht="22.5" customHeight="1">
      <c r="A854" s="528"/>
      <c r="B854" s="528"/>
      <c r="C854" s="528"/>
      <c r="D854" s="528"/>
      <c r="E854" s="528"/>
      <c r="F854" s="535"/>
      <c r="G854" s="536"/>
      <c r="H854" s="338"/>
      <c r="I854" s="338"/>
      <c r="J854" s="536"/>
      <c r="K854" s="338"/>
      <c r="L854" s="338"/>
      <c r="M854" s="338"/>
      <c r="N854" s="338"/>
      <c r="O854" s="338"/>
      <c r="P854" s="338"/>
      <c r="Q854" s="338"/>
      <c r="R854" s="338"/>
      <c r="S854" s="338"/>
      <c r="T854" s="338"/>
      <c r="U854" s="338"/>
      <c r="V854" s="338"/>
      <c r="W854" s="338"/>
      <c r="X854" s="338"/>
      <c r="Y854" s="338"/>
      <c r="Z854" s="338"/>
    </row>
    <row r="855" ht="22.5" customHeight="1">
      <c r="A855" s="528"/>
      <c r="B855" s="528"/>
      <c r="C855" s="528"/>
      <c r="D855" s="528"/>
      <c r="E855" s="528"/>
      <c r="F855" s="535"/>
      <c r="G855" s="536"/>
      <c r="H855" s="338"/>
      <c r="I855" s="338"/>
      <c r="J855" s="536"/>
      <c r="K855" s="338"/>
      <c r="L855" s="338"/>
      <c r="M855" s="338"/>
      <c r="N855" s="338"/>
      <c r="O855" s="338"/>
      <c r="P855" s="338"/>
      <c r="Q855" s="338"/>
      <c r="R855" s="338"/>
      <c r="S855" s="338"/>
      <c r="T855" s="338"/>
      <c r="U855" s="338"/>
      <c r="V855" s="338"/>
      <c r="W855" s="338"/>
      <c r="X855" s="338"/>
      <c r="Y855" s="338"/>
      <c r="Z855" s="338"/>
    </row>
    <row r="856" ht="22.5" customHeight="1">
      <c r="A856" s="528"/>
      <c r="B856" s="528"/>
      <c r="C856" s="528"/>
      <c r="D856" s="528"/>
      <c r="E856" s="528"/>
      <c r="F856" s="535"/>
      <c r="G856" s="536"/>
      <c r="H856" s="338"/>
      <c r="I856" s="338"/>
      <c r="J856" s="536"/>
      <c r="K856" s="338"/>
      <c r="L856" s="338"/>
      <c r="M856" s="338"/>
      <c r="N856" s="338"/>
      <c r="O856" s="338"/>
      <c r="P856" s="338"/>
      <c r="Q856" s="338"/>
      <c r="R856" s="338"/>
      <c r="S856" s="338"/>
      <c r="T856" s="338"/>
      <c r="U856" s="338"/>
      <c r="V856" s="338"/>
      <c r="W856" s="338"/>
      <c r="X856" s="338"/>
      <c r="Y856" s="338"/>
      <c r="Z856" s="338"/>
    </row>
    <row r="857" ht="22.5" customHeight="1">
      <c r="A857" s="528"/>
      <c r="B857" s="528"/>
      <c r="C857" s="528"/>
      <c r="D857" s="528"/>
      <c r="E857" s="528"/>
      <c r="F857" s="535"/>
      <c r="G857" s="536"/>
      <c r="H857" s="338"/>
      <c r="I857" s="338"/>
      <c r="J857" s="536"/>
      <c r="K857" s="338"/>
      <c r="L857" s="338"/>
      <c r="M857" s="338"/>
      <c r="N857" s="338"/>
      <c r="O857" s="338"/>
      <c r="P857" s="338"/>
      <c r="Q857" s="338"/>
      <c r="R857" s="338"/>
      <c r="S857" s="338"/>
      <c r="T857" s="338"/>
      <c r="U857" s="338"/>
      <c r="V857" s="338"/>
      <c r="W857" s="338"/>
      <c r="X857" s="338"/>
      <c r="Y857" s="338"/>
      <c r="Z857" s="338"/>
    </row>
    <row r="858" ht="22.5" customHeight="1">
      <c r="A858" s="528"/>
      <c r="B858" s="528"/>
      <c r="C858" s="528"/>
      <c r="D858" s="528"/>
      <c r="E858" s="528"/>
      <c r="F858" s="535"/>
      <c r="G858" s="536"/>
      <c r="H858" s="338"/>
      <c r="I858" s="338"/>
      <c r="J858" s="536"/>
      <c r="K858" s="338"/>
      <c r="L858" s="338"/>
      <c r="M858" s="338"/>
      <c r="N858" s="338"/>
      <c r="O858" s="338"/>
      <c r="P858" s="338"/>
      <c r="Q858" s="338"/>
      <c r="R858" s="338"/>
      <c r="S858" s="338"/>
      <c r="T858" s="338"/>
      <c r="U858" s="338"/>
      <c r="V858" s="338"/>
      <c r="W858" s="338"/>
      <c r="X858" s="338"/>
      <c r="Y858" s="338"/>
      <c r="Z858" s="338"/>
    </row>
    <row r="859" ht="22.5" customHeight="1">
      <c r="A859" s="528"/>
      <c r="B859" s="528"/>
      <c r="C859" s="528"/>
      <c r="D859" s="528"/>
      <c r="E859" s="528"/>
      <c r="F859" s="535"/>
      <c r="G859" s="536"/>
      <c r="H859" s="338"/>
      <c r="I859" s="338"/>
      <c r="J859" s="536"/>
      <c r="K859" s="338"/>
      <c r="L859" s="338"/>
      <c r="M859" s="338"/>
      <c r="N859" s="338"/>
      <c r="O859" s="338"/>
      <c r="P859" s="338"/>
      <c r="Q859" s="338"/>
      <c r="R859" s="338"/>
      <c r="S859" s="338"/>
      <c r="T859" s="338"/>
      <c r="U859" s="338"/>
      <c r="V859" s="338"/>
      <c r="W859" s="338"/>
      <c r="X859" s="338"/>
      <c r="Y859" s="338"/>
      <c r="Z859" s="338"/>
    </row>
    <row r="860" ht="22.5" customHeight="1">
      <c r="A860" s="528"/>
      <c r="B860" s="528"/>
      <c r="C860" s="528"/>
      <c r="D860" s="528"/>
      <c r="E860" s="528"/>
      <c r="F860" s="535"/>
      <c r="G860" s="536"/>
      <c r="H860" s="338"/>
      <c r="I860" s="338"/>
      <c r="J860" s="536"/>
      <c r="K860" s="338"/>
      <c r="L860" s="338"/>
      <c r="M860" s="338"/>
      <c r="N860" s="338"/>
      <c r="O860" s="338"/>
      <c r="P860" s="338"/>
      <c r="Q860" s="338"/>
      <c r="R860" s="338"/>
      <c r="S860" s="338"/>
      <c r="T860" s="338"/>
      <c r="U860" s="338"/>
      <c r="V860" s="338"/>
      <c r="W860" s="338"/>
      <c r="X860" s="338"/>
      <c r="Y860" s="338"/>
      <c r="Z860" s="338"/>
    </row>
    <row r="861" ht="22.5" customHeight="1">
      <c r="A861" s="528"/>
      <c r="B861" s="528"/>
      <c r="C861" s="528"/>
      <c r="D861" s="528"/>
      <c r="E861" s="528"/>
      <c r="F861" s="535"/>
      <c r="G861" s="536"/>
      <c r="H861" s="338"/>
      <c r="I861" s="338"/>
      <c r="J861" s="536"/>
      <c r="K861" s="338"/>
      <c r="L861" s="338"/>
      <c r="M861" s="338"/>
      <c r="N861" s="338"/>
      <c r="O861" s="338"/>
      <c r="P861" s="338"/>
      <c r="Q861" s="338"/>
      <c r="R861" s="338"/>
      <c r="S861" s="338"/>
      <c r="T861" s="338"/>
      <c r="U861" s="338"/>
      <c r="V861" s="338"/>
      <c r="W861" s="338"/>
      <c r="X861" s="338"/>
      <c r="Y861" s="338"/>
      <c r="Z861" s="338"/>
    </row>
    <row r="862" ht="22.5" customHeight="1">
      <c r="A862" s="528"/>
      <c r="B862" s="528"/>
      <c r="C862" s="528"/>
      <c r="D862" s="528"/>
      <c r="E862" s="528"/>
      <c r="F862" s="535"/>
      <c r="G862" s="536"/>
      <c r="H862" s="338"/>
      <c r="I862" s="338"/>
      <c r="J862" s="536"/>
      <c r="K862" s="338"/>
      <c r="L862" s="338"/>
      <c r="M862" s="338"/>
      <c r="N862" s="338"/>
      <c r="O862" s="338"/>
      <c r="P862" s="338"/>
      <c r="Q862" s="338"/>
      <c r="R862" s="338"/>
      <c r="S862" s="338"/>
      <c r="T862" s="338"/>
      <c r="U862" s="338"/>
      <c r="V862" s="338"/>
      <c r="W862" s="338"/>
      <c r="X862" s="338"/>
      <c r="Y862" s="338"/>
      <c r="Z862" s="338"/>
    </row>
    <row r="863" ht="22.5" customHeight="1">
      <c r="A863" s="528"/>
      <c r="B863" s="528"/>
      <c r="C863" s="528"/>
      <c r="D863" s="528"/>
      <c r="E863" s="528"/>
      <c r="F863" s="535"/>
      <c r="G863" s="536"/>
      <c r="H863" s="338"/>
      <c r="I863" s="338"/>
      <c r="J863" s="536"/>
      <c r="K863" s="338"/>
      <c r="L863" s="338"/>
      <c r="M863" s="338"/>
      <c r="N863" s="338"/>
      <c r="O863" s="338"/>
      <c r="P863" s="338"/>
      <c r="Q863" s="338"/>
      <c r="R863" s="338"/>
      <c r="S863" s="338"/>
      <c r="T863" s="338"/>
      <c r="U863" s="338"/>
      <c r="V863" s="338"/>
      <c r="W863" s="338"/>
      <c r="X863" s="338"/>
      <c r="Y863" s="338"/>
      <c r="Z863" s="338"/>
    </row>
    <row r="864" ht="22.5" customHeight="1">
      <c r="A864" s="528"/>
      <c r="B864" s="528"/>
      <c r="C864" s="528"/>
      <c r="D864" s="528"/>
      <c r="E864" s="528"/>
      <c r="F864" s="535"/>
      <c r="G864" s="536"/>
      <c r="H864" s="338"/>
      <c r="I864" s="338"/>
      <c r="J864" s="536"/>
      <c r="K864" s="338"/>
      <c r="L864" s="338"/>
      <c r="M864" s="338"/>
      <c r="N864" s="338"/>
      <c r="O864" s="338"/>
      <c r="P864" s="338"/>
      <c r="Q864" s="338"/>
      <c r="R864" s="338"/>
      <c r="S864" s="338"/>
      <c r="T864" s="338"/>
      <c r="U864" s="338"/>
      <c r="V864" s="338"/>
      <c r="W864" s="338"/>
      <c r="X864" s="338"/>
      <c r="Y864" s="338"/>
      <c r="Z864" s="338"/>
    </row>
    <row r="865" ht="22.5" customHeight="1">
      <c r="A865" s="528"/>
      <c r="B865" s="528"/>
      <c r="C865" s="528"/>
      <c r="D865" s="528"/>
      <c r="E865" s="528"/>
      <c r="F865" s="535"/>
      <c r="G865" s="536"/>
      <c r="H865" s="338"/>
      <c r="I865" s="338"/>
      <c r="J865" s="536"/>
      <c r="K865" s="338"/>
      <c r="L865" s="338"/>
      <c r="M865" s="338"/>
      <c r="N865" s="338"/>
      <c r="O865" s="338"/>
      <c r="P865" s="338"/>
      <c r="Q865" s="338"/>
      <c r="R865" s="338"/>
      <c r="S865" s="338"/>
      <c r="T865" s="338"/>
      <c r="U865" s="338"/>
      <c r="V865" s="338"/>
      <c r="W865" s="338"/>
      <c r="X865" s="338"/>
      <c r="Y865" s="338"/>
      <c r="Z865" s="338"/>
    </row>
    <row r="866" ht="22.5" customHeight="1">
      <c r="A866" s="528"/>
      <c r="B866" s="528"/>
      <c r="C866" s="528"/>
      <c r="D866" s="528"/>
      <c r="E866" s="528"/>
      <c r="F866" s="535"/>
      <c r="G866" s="536"/>
      <c r="H866" s="338"/>
      <c r="I866" s="338"/>
      <c r="J866" s="536"/>
      <c r="K866" s="338"/>
      <c r="L866" s="338"/>
      <c r="M866" s="338"/>
      <c r="N866" s="338"/>
      <c r="O866" s="338"/>
      <c r="P866" s="338"/>
      <c r="Q866" s="338"/>
      <c r="R866" s="338"/>
      <c r="S866" s="338"/>
      <c r="T866" s="338"/>
      <c r="U866" s="338"/>
      <c r="V866" s="338"/>
      <c r="W866" s="338"/>
      <c r="X866" s="338"/>
      <c r="Y866" s="338"/>
      <c r="Z866" s="338"/>
    </row>
    <row r="867" ht="22.5" customHeight="1">
      <c r="A867" s="528"/>
      <c r="B867" s="528"/>
      <c r="C867" s="528"/>
      <c r="D867" s="528"/>
      <c r="E867" s="528"/>
      <c r="F867" s="535"/>
      <c r="G867" s="536"/>
      <c r="H867" s="338"/>
      <c r="I867" s="338"/>
      <c r="J867" s="536"/>
      <c r="K867" s="338"/>
      <c r="L867" s="338"/>
      <c r="M867" s="338"/>
      <c r="N867" s="338"/>
      <c r="O867" s="338"/>
      <c r="P867" s="338"/>
      <c r="Q867" s="338"/>
      <c r="R867" s="338"/>
      <c r="S867" s="338"/>
      <c r="T867" s="338"/>
      <c r="U867" s="338"/>
      <c r="V867" s="338"/>
      <c r="W867" s="338"/>
      <c r="X867" s="338"/>
      <c r="Y867" s="338"/>
      <c r="Z867" s="338"/>
    </row>
    <row r="868" ht="22.5" customHeight="1">
      <c r="A868" s="528"/>
      <c r="B868" s="528"/>
      <c r="C868" s="528"/>
      <c r="D868" s="528"/>
      <c r="E868" s="528"/>
      <c r="F868" s="535"/>
      <c r="G868" s="536"/>
      <c r="H868" s="338"/>
      <c r="I868" s="338"/>
      <c r="J868" s="536"/>
      <c r="K868" s="338"/>
      <c r="L868" s="338"/>
      <c r="M868" s="338"/>
      <c r="N868" s="338"/>
      <c r="O868" s="338"/>
      <c r="P868" s="338"/>
      <c r="Q868" s="338"/>
      <c r="R868" s="338"/>
      <c r="S868" s="338"/>
      <c r="T868" s="338"/>
      <c r="U868" s="338"/>
      <c r="V868" s="338"/>
      <c r="W868" s="338"/>
      <c r="X868" s="338"/>
      <c r="Y868" s="338"/>
      <c r="Z868" s="338"/>
    </row>
    <row r="869" ht="22.5" customHeight="1">
      <c r="A869" s="528"/>
      <c r="B869" s="528"/>
      <c r="C869" s="528"/>
      <c r="D869" s="528"/>
      <c r="E869" s="528"/>
      <c r="F869" s="535"/>
      <c r="G869" s="536"/>
      <c r="H869" s="338"/>
      <c r="I869" s="338"/>
      <c r="J869" s="536"/>
      <c r="K869" s="338"/>
      <c r="L869" s="338"/>
      <c r="M869" s="338"/>
      <c r="N869" s="338"/>
      <c r="O869" s="338"/>
      <c r="P869" s="338"/>
      <c r="Q869" s="338"/>
      <c r="R869" s="338"/>
      <c r="S869" s="338"/>
      <c r="T869" s="338"/>
      <c r="U869" s="338"/>
      <c r="V869" s="338"/>
      <c r="W869" s="338"/>
      <c r="X869" s="338"/>
      <c r="Y869" s="338"/>
      <c r="Z869" s="338"/>
    </row>
    <row r="870" ht="22.5" customHeight="1">
      <c r="A870" s="528"/>
      <c r="B870" s="528"/>
      <c r="C870" s="528"/>
      <c r="D870" s="528"/>
      <c r="E870" s="528"/>
      <c r="F870" s="535"/>
      <c r="G870" s="536"/>
      <c r="H870" s="338"/>
      <c r="I870" s="338"/>
      <c r="J870" s="536"/>
      <c r="K870" s="338"/>
      <c r="L870" s="338"/>
      <c r="M870" s="338"/>
      <c r="N870" s="338"/>
      <c r="O870" s="338"/>
      <c r="P870" s="338"/>
      <c r="Q870" s="338"/>
      <c r="R870" s="338"/>
      <c r="S870" s="338"/>
      <c r="T870" s="338"/>
      <c r="U870" s="338"/>
      <c r="V870" s="338"/>
      <c r="W870" s="338"/>
      <c r="X870" s="338"/>
      <c r="Y870" s="338"/>
      <c r="Z870" s="338"/>
    </row>
    <row r="871" ht="22.5" customHeight="1">
      <c r="A871" s="528"/>
      <c r="B871" s="528"/>
      <c r="C871" s="528"/>
      <c r="D871" s="528"/>
      <c r="E871" s="528"/>
      <c r="F871" s="535"/>
      <c r="G871" s="536"/>
      <c r="H871" s="338"/>
      <c r="I871" s="338"/>
      <c r="J871" s="536"/>
      <c r="K871" s="338"/>
      <c r="L871" s="338"/>
      <c r="M871" s="338"/>
      <c r="N871" s="338"/>
      <c r="O871" s="338"/>
      <c r="P871" s="338"/>
      <c r="Q871" s="338"/>
      <c r="R871" s="338"/>
      <c r="S871" s="338"/>
      <c r="T871" s="338"/>
      <c r="U871" s="338"/>
      <c r="V871" s="338"/>
      <c r="W871" s="338"/>
      <c r="X871" s="338"/>
      <c r="Y871" s="338"/>
      <c r="Z871" s="338"/>
    </row>
    <row r="872" ht="22.5" customHeight="1">
      <c r="A872" s="528"/>
      <c r="B872" s="528"/>
      <c r="C872" s="528"/>
      <c r="D872" s="528"/>
      <c r="E872" s="528"/>
      <c r="F872" s="535"/>
      <c r="G872" s="536"/>
      <c r="H872" s="338"/>
      <c r="I872" s="338"/>
      <c r="J872" s="536"/>
      <c r="K872" s="338"/>
      <c r="L872" s="338"/>
      <c r="M872" s="338"/>
      <c r="N872" s="338"/>
      <c r="O872" s="338"/>
      <c r="P872" s="338"/>
      <c r="Q872" s="338"/>
      <c r="R872" s="338"/>
      <c r="S872" s="338"/>
      <c r="T872" s="338"/>
      <c r="U872" s="338"/>
      <c r="V872" s="338"/>
      <c r="W872" s="338"/>
      <c r="X872" s="338"/>
      <c r="Y872" s="338"/>
      <c r="Z872" s="338"/>
    </row>
    <row r="873" ht="22.5" customHeight="1">
      <c r="A873" s="528"/>
      <c r="B873" s="528"/>
      <c r="C873" s="528"/>
      <c r="D873" s="528"/>
      <c r="E873" s="528"/>
      <c r="F873" s="535"/>
      <c r="G873" s="536"/>
      <c r="H873" s="338"/>
      <c r="I873" s="338"/>
      <c r="J873" s="536"/>
      <c r="K873" s="338"/>
      <c r="L873" s="338"/>
      <c r="M873" s="338"/>
      <c r="N873" s="338"/>
      <c r="O873" s="338"/>
      <c r="P873" s="338"/>
      <c r="Q873" s="338"/>
      <c r="R873" s="338"/>
      <c r="S873" s="338"/>
      <c r="T873" s="338"/>
      <c r="U873" s="338"/>
      <c r="V873" s="338"/>
      <c r="W873" s="338"/>
      <c r="X873" s="338"/>
      <c r="Y873" s="338"/>
      <c r="Z873" s="338"/>
    </row>
    <row r="874" ht="22.5" customHeight="1">
      <c r="A874" s="528"/>
      <c r="B874" s="528"/>
      <c r="C874" s="528"/>
      <c r="D874" s="528"/>
      <c r="E874" s="528"/>
      <c r="F874" s="535"/>
      <c r="G874" s="536"/>
      <c r="H874" s="338"/>
      <c r="I874" s="338"/>
      <c r="J874" s="536"/>
      <c r="K874" s="338"/>
      <c r="L874" s="338"/>
      <c r="M874" s="338"/>
      <c r="N874" s="338"/>
      <c r="O874" s="338"/>
      <c r="P874" s="338"/>
      <c r="Q874" s="338"/>
      <c r="R874" s="338"/>
      <c r="S874" s="338"/>
      <c r="T874" s="338"/>
      <c r="U874" s="338"/>
      <c r="V874" s="338"/>
      <c r="W874" s="338"/>
      <c r="X874" s="338"/>
      <c r="Y874" s="338"/>
      <c r="Z874" s="338"/>
    </row>
    <row r="875" ht="22.5" customHeight="1">
      <c r="A875" s="528"/>
      <c r="B875" s="528"/>
      <c r="C875" s="528"/>
      <c r="D875" s="528"/>
      <c r="E875" s="528"/>
      <c r="F875" s="535"/>
      <c r="G875" s="536"/>
      <c r="H875" s="338"/>
      <c r="I875" s="338"/>
      <c r="J875" s="536"/>
      <c r="K875" s="338"/>
      <c r="L875" s="338"/>
      <c r="M875" s="338"/>
      <c r="N875" s="338"/>
      <c r="O875" s="338"/>
      <c r="P875" s="338"/>
      <c r="Q875" s="338"/>
      <c r="R875" s="338"/>
      <c r="S875" s="338"/>
      <c r="T875" s="338"/>
      <c r="U875" s="338"/>
      <c r="V875" s="338"/>
      <c r="W875" s="338"/>
      <c r="X875" s="338"/>
      <c r="Y875" s="338"/>
      <c r="Z875" s="338"/>
    </row>
    <row r="876" ht="22.5" customHeight="1">
      <c r="A876" s="528"/>
      <c r="B876" s="528"/>
      <c r="C876" s="528"/>
      <c r="D876" s="528"/>
      <c r="E876" s="528"/>
      <c r="F876" s="535"/>
      <c r="G876" s="536"/>
      <c r="H876" s="338"/>
      <c r="I876" s="338"/>
      <c r="J876" s="536"/>
      <c r="K876" s="338"/>
      <c r="L876" s="338"/>
      <c r="M876" s="338"/>
      <c r="N876" s="338"/>
      <c r="O876" s="338"/>
      <c r="P876" s="338"/>
      <c r="Q876" s="338"/>
      <c r="R876" s="338"/>
      <c r="S876" s="338"/>
      <c r="T876" s="338"/>
      <c r="U876" s="338"/>
      <c r="V876" s="338"/>
      <c r="W876" s="338"/>
      <c r="X876" s="338"/>
      <c r="Y876" s="338"/>
      <c r="Z876" s="338"/>
    </row>
    <row r="877" ht="22.5" customHeight="1">
      <c r="A877" s="528"/>
      <c r="B877" s="528"/>
      <c r="C877" s="528"/>
      <c r="D877" s="528"/>
      <c r="E877" s="528"/>
      <c r="F877" s="535"/>
      <c r="G877" s="536"/>
      <c r="H877" s="338"/>
      <c r="I877" s="338"/>
      <c r="J877" s="536"/>
      <c r="K877" s="338"/>
      <c r="L877" s="338"/>
      <c r="M877" s="338"/>
      <c r="N877" s="338"/>
      <c r="O877" s="338"/>
      <c r="P877" s="338"/>
      <c r="Q877" s="338"/>
      <c r="R877" s="338"/>
      <c r="S877" s="338"/>
      <c r="T877" s="338"/>
      <c r="U877" s="338"/>
      <c r="V877" s="338"/>
      <c r="W877" s="338"/>
      <c r="X877" s="338"/>
      <c r="Y877" s="338"/>
      <c r="Z877" s="338"/>
    </row>
    <row r="878" ht="22.5" customHeight="1">
      <c r="A878" s="528"/>
      <c r="B878" s="528"/>
      <c r="C878" s="528"/>
      <c r="D878" s="528"/>
      <c r="E878" s="528"/>
      <c r="F878" s="535"/>
      <c r="G878" s="536"/>
      <c r="H878" s="338"/>
      <c r="I878" s="338"/>
      <c r="J878" s="536"/>
      <c r="K878" s="338"/>
      <c r="L878" s="338"/>
      <c r="M878" s="338"/>
      <c r="N878" s="338"/>
      <c r="O878" s="338"/>
      <c r="P878" s="338"/>
      <c r="Q878" s="338"/>
      <c r="R878" s="338"/>
      <c r="S878" s="338"/>
      <c r="T878" s="338"/>
      <c r="U878" s="338"/>
      <c r="V878" s="338"/>
      <c r="W878" s="338"/>
      <c r="X878" s="338"/>
      <c r="Y878" s="338"/>
      <c r="Z878" s="338"/>
    </row>
    <row r="879" ht="22.5" customHeight="1">
      <c r="A879" s="528"/>
      <c r="B879" s="528"/>
      <c r="C879" s="528"/>
      <c r="D879" s="528"/>
      <c r="E879" s="528"/>
      <c r="F879" s="535"/>
      <c r="G879" s="536"/>
      <c r="H879" s="338"/>
      <c r="I879" s="338"/>
      <c r="J879" s="536"/>
      <c r="K879" s="338"/>
      <c r="L879" s="338"/>
      <c r="M879" s="338"/>
      <c r="N879" s="338"/>
      <c r="O879" s="338"/>
      <c r="P879" s="338"/>
      <c r="Q879" s="338"/>
      <c r="R879" s="338"/>
      <c r="S879" s="338"/>
      <c r="T879" s="338"/>
      <c r="U879" s="338"/>
      <c r="V879" s="338"/>
      <c r="W879" s="338"/>
      <c r="X879" s="338"/>
      <c r="Y879" s="338"/>
      <c r="Z879" s="338"/>
    </row>
    <row r="880" ht="22.5" customHeight="1">
      <c r="A880" s="528"/>
      <c r="B880" s="528"/>
      <c r="C880" s="528"/>
      <c r="D880" s="528"/>
      <c r="E880" s="528"/>
      <c r="F880" s="535"/>
      <c r="G880" s="536"/>
      <c r="H880" s="338"/>
      <c r="I880" s="338"/>
      <c r="J880" s="536"/>
      <c r="K880" s="338"/>
      <c r="L880" s="338"/>
      <c r="M880" s="338"/>
      <c r="N880" s="338"/>
      <c r="O880" s="338"/>
      <c r="P880" s="338"/>
      <c r="Q880" s="338"/>
      <c r="R880" s="338"/>
      <c r="S880" s="338"/>
      <c r="T880" s="338"/>
      <c r="U880" s="338"/>
      <c r="V880" s="338"/>
      <c r="W880" s="338"/>
      <c r="X880" s="338"/>
      <c r="Y880" s="338"/>
      <c r="Z880" s="338"/>
    </row>
    <row r="881" ht="22.5" customHeight="1">
      <c r="A881" s="528"/>
      <c r="B881" s="528"/>
      <c r="C881" s="528"/>
      <c r="D881" s="528"/>
      <c r="E881" s="528"/>
      <c r="F881" s="535"/>
      <c r="G881" s="536"/>
      <c r="H881" s="338"/>
      <c r="I881" s="338"/>
      <c r="J881" s="536"/>
      <c r="K881" s="338"/>
      <c r="L881" s="338"/>
      <c r="M881" s="338"/>
      <c r="N881" s="338"/>
      <c r="O881" s="338"/>
      <c r="P881" s="338"/>
      <c r="Q881" s="338"/>
      <c r="R881" s="338"/>
      <c r="S881" s="338"/>
      <c r="T881" s="338"/>
      <c r="U881" s="338"/>
      <c r="V881" s="338"/>
      <c r="W881" s="338"/>
      <c r="X881" s="338"/>
      <c r="Y881" s="338"/>
      <c r="Z881" s="338"/>
    </row>
    <row r="882" ht="22.5" customHeight="1">
      <c r="A882" s="528"/>
      <c r="B882" s="528"/>
      <c r="C882" s="528"/>
      <c r="D882" s="528"/>
      <c r="E882" s="528"/>
      <c r="F882" s="535"/>
      <c r="G882" s="536"/>
      <c r="H882" s="338"/>
      <c r="I882" s="338"/>
      <c r="J882" s="536"/>
      <c r="K882" s="338"/>
      <c r="L882" s="338"/>
      <c r="M882" s="338"/>
      <c r="N882" s="338"/>
      <c r="O882" s="338"/>
      <c r="P882" s="338"/>
      <c r="Q882" s="338"/>
      <c r="R882" s="338"/>
      <c r="S882" s="338"/>
      <c r="T882" s="338"/>
      <c r="U882" s="338"/>
      <c r="V882" s="338"/>
      <c r="W882" s="338"/>
      <c r="X882" s="338"/>
      <c r="Y882" s="338"/>
      <c r="Z882" s="338"/>
    </row>
    <row r="883" ht="22.5" customHeight="1">
      <c r="A883" s="528"/>
      <c r="B883" s="528"/>
      <c r="C883" s="528"/>
      <c r="D883" s="528"/>
      <c r="E883" s="528"/>
      <c r="F883" s="535"/>
      <c r="G883" s="536"/>
      <c r="H883" s="338"/>
      <c r="I883" s="338"/>
      <c r="J883" s="536"/>
      <c r="K883" s="338"/>
      <c r="L883" s="338"/>
      <c r="M883" s="338"/>
      <c r="N883" s="338"/>
      <c r="O883" s="338"/>
      <c r="P883" s="338"/>
      <c r="Q883" s="338"/>
      <c r="R883" s="338"/>
      <c r="S883" s="338"/>
      <c r="T883" s="338"/>
      <c r="U883" s="338"/>
      <c r="V883" s="338"/>
      <c r="W883" s="338"/>
      <c r="X883" s="338"/>
      <c r="Y883" s="338"/>
      <c r="Z883" s="338"/>
    </row>
    <row r="884" ht="22.5" customHeight="1">
      <c r="A884" s="528"/>
      <c r="B884" s="528"/>
      <c r="C884" s="528"/>
      <c r="D884" s="528"/>
      <c r="E884" s="528"/>
      <c r="F884" s="535"/>
      <c r="G884" s="536"/>
      <c r="H884" s="338"/>
      <c r="I884" s="338"/>
      <c r="J884" s="536"/>
      <c r="K884" s="338"/>
      <c r="L884" s="338"/>
      <c r="M884" s="338"/>
      <c r="N884" s="338"/>
      <c r="O884" s="338"/>
      <c r="P884" s="338"/>
      <c r="Q884" s="338"/>
      <c r="R884" s="338"/>
      <c r="S884" s="338"/>
      <c r="T884" s="338"/>
      <c r="U884" s="338"/>
      <c r="V884" s="338"/>
      <c r="W884" s="338"/>
      <c r="X884" s="338"/>
      <c r="Y884" s="338"/>
      <c r="Z884" s="338"/>
    </row>
    <row r="885" ht="22.5" customHeight="1">
      <c r="A885" s="528"/>
      <c r="B885" s="528"/>
      <c r="C885" s="528"/>
      <c r="D885" s="528"/>
      <c r="E885" s="528"/>
      <c r="F885" s="535"/>
      <c r="G885" s="536"/>
      <c r="H885" s="338"/>
      <c r="I885" s="338"/>
      <c r="J885" s="536"/>
      <c r="K885" s="338"/>
      <c r="L885" s="338"/>
      <c r="M885" s="338"/>
      <c r="N885" s="338"/>
      <c r="O885" s="338"/>
      <c r="P885" s="338"/>
      <c r="Q885" s="338"/>
      <c r="R885" s="338"/>
      <c r="S885" s="338"/>
      <c r="T885" s="338"/>
      <c r="U885" s="338"/>
      <c r="V885" s="338"/>
      <c r="W885" s="338"/>
      <c r="X885" s="338"/>
      <c r="Y885" s="338"/>
      <c r="Z885" s="338"/>
    </row>
    <row r="886" ht="22.5" customHeight="1">
      <c r="A886" s="528"/>
      <c r="B886" s="528"/>
      <c r="C886" s="528"/>
      <c r="D886" s="528"/>
      <c r="E886" s="528"/>
      <c r="F886" s="535"/>
      <c r="G886" s="536"/>
      <c r="H886" s="338"/>
      <c r="I886" s="338"/>
      <c r="J886" s="536"/>
      <c r="K886" s="338"/>
      <c r="L886" s="338"/>
      <c r="M886" s="338"/>
      <c r="N886" s="338"/>
      <c r="O886" s="338"/>
      <c r="P886" s="338"/>
      <c r="Q886" s="338"/>
      <c r="R886" s="338"/>
      <c r="S886" s="338"/>
      <c r="T886" s="338"/>
      <c r="U886" s="338"/>
      <c r="V886" s="338"/>
      <c r="W886" s="338"/>
      <c r="X886" s="338"/>
      <c r="Y886" s="338"/>
      <c r="Z886" s="338"/>
    </row>
    <row r="887" ht="22.5" customHeight="1">
      <c r="A887" s="528"/>
      <c r="B887" s="528"/>
      <c r="C887" s="528"/>
      <c r="D887" s="528"/>
      <c r="E887" s="528"/>
      <c r="F887" s="535"/>
      <c r="G887" s="536"/>
      <c r="H887" s="338"/>
      <c r="I887" s="338"/>
      <c r="J887" s="536"/>
      <c r="K887" s="338"/>
      <c r="L887" s="338"/>
      <c r="M887" s="338"/>
      <c r="N887" s="338"/>
      <c r="O887" s="338"/>
      <c r="P887" s="338"/>
      <c r="Q887" s="338"/>
      <c r="R887" s="338"/>
      <c r="S887" s="338"/>
      <c r="T887" s="338"/>
      <c r="U887" s="338"/>
      <c r="V887" s="338"/>
      <c r="W887" s="338"/>
      <c r="X887" s="338"/>
      <c r="Y887" s="338"/>
      <c r="Z887" s="338"/>
    </row>
    <row r="888" ht="22.5" customHeight="1">
      <c r="A888" s="528"/>
      <c r="B888" s="528"/>
      <c r="C888" s="528"/>
      <c r="D888" s="528"/>
      <c r="E888" s="528"/>
      <c r="F888" s="535"/>
      <c r="G888" s="536"/>
      <c r="H888" s="338"/>
      <c r="I888" s="338"/>
      <c r="J888" s="536"/>
      <c r="K888" s="338"/>
      <c r="L888" s="338"/>
      <c r="M888" s="338"/>
      <c r="N888" s="338"/>
      <c r="O888" s="338"/>
      <c r="P888" s="338"/>
      <c r="Q888" s="338"/>
      <c r="R888" s="338"/>
      <c r="S888" s="338"/>
      <c r="T888" s="338"/>
      <c r="U888" s="338"/>
      <c r="V888" s="338"/>
      <c r="W888" s="338"/>
      <c r="X888" s="338"/>
      <c r="Y888" s="338"/>
      <c r="Z888" s="338"/>
    </row>
    <row r="889" ht="22.5" customHeight="1">
      <c r="A889" s="528"/>
      <c r="B889" s="528"/>
      <c r="C889" s="528"/>
      <c r="D889" s="528"/>
      <c r="E889" s="528"/>
      <c r="F889" s="535"/>
      <c r="G889" s="536"/>
      <c r="H889" s="338"/>
      <c r="I889" s="338"/>
      <c r="J889" s="536"/>
      <c r="K889" s="338"/>
      <c r="L889" s="338"/>
      <c r="M889" s="338"/>
      <c r="N889" s="338"/>
      <c r="O889" s="338"/>
      <c r="P889" s="338"/>
      <c r="Q889" s="338"/>
      <c r="R889" s="338"/>
      <c r="S889" s="338"/>
      <c r="T889" s="338"/>
      <c r="U889" s="338"/>
      <c r="V889" s="338"/>
      <c r="W889" s="338"/>
      <c r="X889" s="338"/>
      <c r="Y889" s="338"/>
      <c r="Z889" s="338"/>
    </row>
    <row r="890" ht="22.5" customHeight="1">
      <c r="A890" s="528"/>
      <c r="B890" s="528"/>
      <c r="C890" s="528"/>
      <c r="D890" s="528"/>
      <c r="E890" s="528"/>
      <c r="F890" s="535"/>
      <c r="G890" s="536"/>
      <c r="H890" s="338"/>
      <c r="I890" s="338"/>
      <c r="J890" s="536"/>
      <c r="K890" s="338"/>
      <c r="L890" s="338"/>
      <c r="M890" s="338"/>
      <c r="N890" s="338"/>
      <c r="O890" s="338"/>
      <c r="P890" s="338"/>
      <c r="Q890" s="338"/>
      <c r="R890" s="338"/>
      <c r="S890" s="338"/>
      <c r="T890" s="338"/>
      <c r="U890" s="338"/>
      <c r="V890" s="338"/>
      <c r="W890" s="338"/>
      <c r="X890" s="338"/>
      <c r="Y890" s="338"/>
      <c r="Z890" s="338"/>
    </row>
    <row r="891" ht="22.5" customHeight="1">
      <c r="A891" s="528"/>
      <c r="B891" s="528"/>
      <c r="C891" s="528"/>
      <c r="D891" s="528"/>
      <c r="E891" s="528"/>
      <c r="F891" s="535"/>
      <c r="G891" s="536"/>
      <c r="H891" s="338"/>
      <c r="I891" s="338"/>
      <c r="J891" s="536"/>
      <c r="K891" s="338"/>
      <c r="L891" s="338"/>
      <c r="M891" s="338"/>
      <c r="N891" s="338"/>
      <c r="O891" s="338"/>
      <c r="P891" s="338"/>
      <c r="Q891" s="338"/>
      <c r="R891" s="338"/>
      <c r="S891" s="338"/>
      <c r="T891" s="338"/>
      <c r="U891" s="338"/>
      <c r="V891" s="338"/>
      <c r="W891" s="338"/>
      <c r="X891" s="338"/>
      <c r="Y891" s="338"/>
      <c r="Z891" s="338"/>
    </row>
    <row r="892" ht="22.5" customHeight="1">
      <c r="A892" s="528"/>
      <c r="B892" s="528"/>
      <c r="C892" s="528"/>
      <c r="D892" s="528"/>
      <c r="E892" s="528"/>
      <c r="F892" s="535"/>
      <c r="G892" s="536"/>
      <c r="H892" s="338"/>
      <c r="I892" s="338"/>
      <c r="J892" s="536"/>
      <c r="K892" s="338"/>
      <c r="L892" s="338"/>
      <c r="M892" s="338"/>
      <c r="N892" s="338"/>
      <c r="O892" s="338"/>
      <c r="P892" s="338"/>
      <c r="Q892" s="338"/>
      <c r="R892" s="338"/>
      <c r="S892" s="338"/>
      <c r="T892" s="338"/>
      <c r="U892" s="338"/>
      <c r="V892" s="338"/>
      <c r="W892" s="338"/>
      <c r="X892" s="338"/>
      <c r="Y892" s="338"/>
      <c r="Z892" s="338"/>
    </row>
    <row r="893" ht="22.5" customHeight="1">
      <c r="A893" s="528"/>
      <c r="B893" s="528"/>
      <c r="C893" s="528"/>
      <c r="D893" s="528"/>
      <c r="E893" s="528"/>
      <c r="F893" s="535"/>
      <c r="G893" s="536"/>
      <c r="H893" s="338"/>
      <c r="I893" s="338"/>
      <c r="J893" s="536"/>
      <c r="K893" s="338"/>
      <c r="L893" s="338"/>
      <c r="M893" s="338"/>
      <c r="N893" s="338"/>
      <c r="O893" s="338"/>
      <c r="P893" s="338"/>
      <c r="Q893" s="338"/>
      <c r="R893" s="338"/>
      <c r="S893" s="338"/>
      <c r="T893" s="338"/>
      <c r="U893" s="338"/>
      <c r="V893" s="338"/>
      <c r="W893" s="338"/>
      <c r="X893" s="338"/>
      <c r="Y893" s="338"/>
      <c r="Z893" s="338"/>
    </row>
    <row r="894" ht="22.5" customHeight="1">
      <c r="A894" s="528"/>
      <c r="B894" s="528"/>
      <c r="C894" s="528"/>
      <c r="D894" s="528"/>
      <c r="E894" s="528"/>
      <c r="F894" s="535"/>
      <c r="G894" s="536"/>
      <c r="H894" s="338"/>
      <c r="I894" s="338"/>
      <c r="J894" s="536"/>
      <c r="K894" s="338"/>
      <c r="L894" s="338"/>
      <c r="M894" s="338"/>
      <c r="N894" s="338"/>
      <c r="O894" s="338"/>
      <c r="P894" s="338"/>
      <c r="Q894" s="338"/>
      <c r="R894" s="338"/>
      <c r="S894" s="338"/>
      <c r="T894" s="338"/>
      <c r="U894" s="338"/>
      <c r="V894" s="338"/>
      <c r="W894" s="338"/>
      <c r="X894" s="338"/>
      <c r="Y894" s="338"/>
      <c r="Z894" s="338"/>
    </row>
    <row r="895" ht="22.5" customHeight="1">
      <c r="A895" s="528"/>
      <c r="B895" s="528"/>
      <c r="C895" s="528"/>
      <c r="D895" s="528"/>
      <c r="E895" s="528"/>
      <c r="F895" s="535"/>
      <c r="G895" s="536"/>
      <c r="H895" s="338"/>
      <c r="I895" s="338"/>
      <c r="J895" s="536"/>
      <c r="K895" s="338"/>
      <c r="L895" s="338"/>
      <c r="M895" s="338"/>
      <c r="N895" s="338"/>
      <c r="O895" s="338"/>
      <c r="P895" s="338"/>
      <c r="Q895" s="338"/>
      <c r="R895" s="338"/>
      <c r="S895" s="338"/>
      <c r="T895" s="338"/>
      <c r="U895" s="338"/>
      <c r="V895" s="338"/>
      <c r="W895" s="338"/>
      <c r="X895" s="338"/>
      <c r="Y895" s="338"/>
      <c r="Z895" s="338"/>
    </row>
    <row r="896" ht="22.5" customHeight="1">
      <c r="A896" s="528"/>
      <c r="B896" s="528"/>
      <c r="C896" s="528"/>
      <c r="D896" s="528"/>
      <c r="E896" s="528"/>
      <c r="F896" s="535"/>
      <c r="G896" s="536"/>
      <c r="H896" s="338"/>
      <c r="I896" s="338"/>
      <c r="J896" s="536"/>
      <c r="K896" s="338"/>
      <c r="L896" s="338"/>
      <c r="M896" s="338"/>
      <c r="N896" s="338"/>
      <c r="O896" s="338"/>
      <c r="P896" s="338"/>
      <c r="Q896" s="338"/>
      <c r="R896" s="338"/>
      <c r="S896" s="338"/>
      <c r="T896" s="338"/>
      <c r="U896" s="338"/>
      <c r="V896" s="338"/>
      <c r="W896" s="338"/>
      <c r="X896" s="338"/>
      <c r="Y896" s="338"/>
      <c r="Z896" s="338"/>
    </row>
    <row r="897" ht="22.5" customHeight="1">
      <c r="A897" s="528"/>
      <c r="B897" s="528"/>
      <c r="C897" s="528"/>
      <c r="D897" s="528"/>
      <c r="E897" s="528"/>
      <c r="F897" s="535"/>
      <c r="G897" s="536"/>
      <c r="H897" s="338"/>
      <c r="I897" s="338"/>
      <c r="J897" s="536"/>
      <c r="K897" s="338"/>
      <c r="L897" s="338"/>
      <c r="M897" s="338"/>
      <c r="N897" s="338"/>
      <c r="O897" s="338"/>
      <c r="P897" s="338"/>
      <c r="Q897" s="338"/>
      <c r="R897" s="338"/>
      <c r="S897" s="338"/>
      <c r="T897" s="338"/>
      <c r="U897" s="338"/>
      <c r="V897" s="338"/>
      <c r="W897" s="338"/>
      <c r="X897" s="338"/>
      <c r="Y897" s="338"/>
      <c r="Z897" s="338"/>
    </row>
    <row r="898" ht="22.5" customHeight="1">
      <c r="A898" s="528"/>
      <c r="B898" s="528"/>
      <c r="C898" s="528"/>
      <c r="D898" s="528"/>
      <c r="E898" s="528"/>
      <c r="F898" s="535"/>
      <c r="G898" s="536"/>
      <c r="H898" s="338"/>
      <c r="I898" s="338"/>
      <c r="J898" s="536"/>
      <c r="K898" s="338"/>
      <c r="L898" s="338"/>
      <c r="M898" s="338"/>
      <c r="N898" s="338"/>
      <c r="O898" s="338"/>
      <c r="P898" s="338"/>
      <c r="Q898" s="338"/>
      <c r="R898" s="338"/>
      <c r="S898" s="338"/>
      <c r="T898" s="338"/>
      <c r="U898" s="338"/>
      <c r="V898" s="338"/>
      <c r="W898" s="338"/>
      <c r="X898" s="338"/>
      <c r="Y898" s="338"/>
      <c r="Z898" s="338"/>
    </row>
    <row r="899" ht="22.5" customHeight="1">
      <c r="A899" s="528"/>
      <c r="B899" s="528"/>
      <c r="C899" s="528"/>
      <c r="D899" s="528"/>
      <c r="E899" s="528"/>
      <c r="F899" s="535"/>
      <c r="G899" s="536"/>
      <c r="H899" s="338"/>
      <c r="I899" s="338"/>
      <c r="J899" s="536"/>
      <c r="K899" s="338"/>
      <c r="L899" s="338"/>
      <c r="M899" s="338"/>
      <c r="N899" s="338"/>
      <c r="O899" s="338"/>
      <c r="P899" s="338"/>
      <c r="Q899" s="338"/>
      <c r="R899" s="338"/>
      <c r="S899" s="338"/>
      <c r="T899" s="338"/>
      <c r="U899" s="338"/>
      <c r="V899" s="338"/>
      <c r="W899" s="338"/>
      <c r="X899" s="338"/>
      <c r="Y899" s="338"/>
      <c r="Z899" s="338"/>
    </row>
    <row r="900" ht="22.5" customHeight="1">
      <c r="A900" s="528"/>
      <c r="B900" s="528"/>
      <c r="C900" s="528"/>
      <c r="D900" s="528"/>
      <c r="E900" s="528"/>
      <c r="F900" s="535"/>
      <c r="G900" s="536"/>
      <c r="H900" s="338"/>
      <c r="I900" s="338"/>
      <c r="J900" s="536"/>
      <c r="K900" s="338"/>
      <c r="L900" s="338"/>
      <c r="M900" s="338"/>
      <c r="N900" s="338"/>
      <c r="O900" s="338"/>
      <c r="P900" s="338"/>
      <c r="Q900" s="338"/>
      <c r="R900" s="338"/>
      <c r="S900" s="338"/>
      <c r="T900" s="338"/>
      <c r="U900" s="338"/>
      <c r="V900" s="338"/>
      <c r="W900" s="338"/>
      <c r="X900" s="338"/>
      <c r="Y900" s="338"/>
      <c r="Z900" s="338"/>
    </row>
    <row r="901" ht="22.5" customHeight="1">
      <c r="A901" s="528"/>
      <c r="B901" s="528"/>
      <c r="C901" s="528"/>
      <c r="D901" s="528"/>
      <c r="E901" s="528"/>
      <c r="F901" s="535"/>
      <c r="G901" s="536"/>
      <c r="H901" s="338"/>
      <c r="I901" s="338"/>
      <c r="J901" s="536"/>
      <c r="K901" s="338"/>
      <c r="L901" s="338"/>
      <c r="M901" s="338"/>
      <c r="N901" s="338"/>
      <c r="O901" s="338"/>
      <c r="P901" s="338"/>
      <c r="Q901" s="338"/>
      <c r="R901" s="338"/>
      <c r="S901" s="338"/>
      <c r="T901" s="338"/>
      <c r="U901" s="338"/>
      <c r="V901" s="338"/>
      <c r="W901" s="338"/>
      <c r="X901" s="338"/>
      <c r="Y901" s="338"/>
      <c r="Z901" s="338"/>
    </row>
    <row r="902" ht="22.5" customHeight="1">
      <c r="A902" s="528"/>
      <c r="B902" s="528"/>
      <c r="C902" s="528"/>
      <c r="D902" s="528"/>
      <c r="E902" s="528"/>
      <c r="F902" s="535"/>
      <c r="G902" s="536"/>
      <c r="H902" s="338"/>
      <c r="I902" s="338"/>
      <c r="J902" s="536"/>
      <c r="K902" s="338"/>
      <c r="L902" s="338"/>
      <c r="M902" s="338"/>
      <c r="N902" s="338"/>
      <c r="O902" s="338"/>
      <c r="P902" s="338"/>
      <c r="Q902" s="338"/>
      <c r="R902" s="338"/>
      <c r="S902" s="338"/>
      <c r="T902" s="338"/>
      <c r="U902" s="338"/>
      <c r="V902" s="338"/>
      <c r="W902" s="338"/>
      <c r="X902" s="338"/>
      <c r="Y902" s="338"/>
      <c r="Z902" s="338"/>
    </row>
    <row r="903" ht="22.5" customHeight="1">
      <c r="A903" s="528"/>
      <c r="B903" s="528"/>
      <c r="C903" s="528"/>
      <c r="D903" s="528"/>
      <c r="E903" s="528"/>
      <c r="F903" s="535"/>
      <c r="G903" s="536"/>
      <c r="H903" s="338"/>
      <c r="I903" s="338"/>
      <c r="J903" s="536"/>
      <c r="K903" s="338"/>
      <c r="L903" s="338"/>
      <c r="M903" s="338"/>
      <c r="N903" s="338"/>
      <c r="O903" s="338"/>
      <c r="P903" s="338"/>
      <c r="Q903" s="338"/>
      <c r="R903" s="338"/>
      <c r="S903" s="338"/>
      <c r="T903" s="338"/>
      <c r="U903" s="338"/>
      <c r="V903" s="338"/>
      <c r="W903" s="338"/>
      <c r="X903" s="338"/>
      <c r="Y903" s="338"/>
      <c r="Z903" s="338"/>
    </row>
    <row r="904" ht="22.5" customHeight="1">
      <c r="A904" s="528"/>
      <c r="B904" s="528"/>
      <c r="C904" s="528"/>
      <c r="D904" s="528"/>
      <c r="E904" s="528"/>
      <c r="F904" s="535"/>
      <c r="G904" s="536"/>
      <c r="H904" s="338"/>
      <c r="I904" s="338"/>
      <c r="J904" s="536"/>
      <c r="K904" s="338"/>
      <c r="L904" s="338"/>
      <c r="M904" s="338"/>
      <c r="N904" s="338"/>
      <c r="O904" s="338"/>
      <c r="P904" s="338"/>
      <c r="Q904" s="338"/>
      <c r="R904" s="338"/>
      <c r="S904" s="338"/>
      <c r="T904" s="338"/>
      <c r="U904" s="338"/>
      <c r="V904" s="338"/>
      <c r="W904" s="338"/>
      <c r="X904" s="338"/>
      <c r="Y904" s="338"/>
      <c r="Z904" s="338"/>
    </row>
    <row r="905" ht="22.5" customHeight="1">
      <c r="A905" s="528"/>
      <c r="B905" s="528"/>
      <c r="C905" s="528"/>
      <c r="D905" s="528"/>
      <c r="E905" s="528"/>
      <c r="F905" s="535"/>
      <c r="G905" s="536"/>
      <c r="H905" s="338"/>
      <c r="I905" s="338"/>
      <c r="J905" s="536"/>
      <c r="K905" s="338"/>
      <c r="L905" s="338"/>
      <c r="M905" s="338"/>
      <c r="N905" s="338"/>
      <c r="O905" s="338"/>
      <c r="P905" s="338"/>
      <c r="Q905" s="338"/>
      <c r="R905" s="338"/>
      <c r="S905" s="338"/>
      <c r="T905" s="338"/>
      <c r="U905" s="338"/>
      <c r="V905" s="338"/>
      <c r="W905" s="338"/>
      <c r="X905" s="338"/>
      <c r="Y905" s="338"/>
      <c r="Z905" s="338"/>
    </row>
    <row r="906" ht="22.5" customHeight="1">
      <c r="A906" s="528"/>
      <c r="B906" s="528"/>
      <c r="C906" s="528"/>
      <c r="D906" s="528"/>
      <c r="E906" s="528"/>
      <c r="F906" s="535"/>
      <c r="G906" s="536"/>
      <c r="H906" s="338"/>
      <c r="I906" s="338"/>
      <c r="J906" s="536"/>
      <c r="K906" s="338"/>
      <c r="L906" s="338"/>
      <c r="M906" s="338"/>
      <c r="N906" s="338"/>
      <c r="O906" s="338"/>
      <c r="P906" s="338"/>
      <c r="Q906" s="338"/>
      <c r="R906" s="338"/>
      <c r="S906" s="338"/>
      <c r="T906" s="338"/>
      <c r="U906" s="338"/>
      <c r="V906" s="338"/>
      <c r="W906" s="338"/>
      <c r="X906" s="338"/>
      <c r="Y906" s="338"/>
      <c r="Z906" s="338"/>
    </row>
    <row r="907" ht="22.5" customHeight="1">
      <c r="A907" s="528"/>
      <c r="B907" s="528"/>
      <c r="C907" s="528"/>
      <c r="D907" s="528"/>
      <c r="E907" s="528"/>
      <c r="F907" s="535"/>
      <c r="G907" s="536"/>
      <c r="H907" s="338"/>
      <c r="I907" s="338"/>
      <c r="J907" s="536"/>
      <c r="K907" s="338"/>
      <c r="L907" s="338"/>
      <c r="M907" s="338"/>
      <c r="N907" s="338"/>
      <c r="O907" s="338"/>
      <c r="P907" s="338"/>
      <c r="Q907" s="338"/>
      <c r="R907" s="338"/>
      <c r="S907" s="338"/>
      <c r="T907" s="338"/>
      <c r="U907" s="338"/>
      <c r="V907" s="338"/>
      <c r="W907" s="338"/>
      <c r="X907" s="338"/>
      <c r="Y907" s="338"/>
      <c r="Z907" s="338"/>
    </row>
    <row r="908" ht="22.5" customHeight="1">
      <c r="A908" s="528"/>
      <c r="B908" s="528"/>
      <c r="C908" s="528"/>
      <c r="D908" s="528"/>
      <c r="E908" s="528"/>
      <c r="F908" s="535"/>
      <c r="G908" s="536"/>
      <c r="H908" s="338"/>
      <c r="I908" s="338"/>
      <c r="J908" s="536"/>
      <c r="K908" s="338"/>
      <c r="L908" s="338"/>
      <c r="M908" s="338"/>
      <c r="N908" s="338"/>
      <c r="O908" s="338"/>
      <c r="P908" s="338"/>
      <c r="Q908" s="338"/>
      <c r="R908" s="338"/>
      <c r="S908" s="338"/>
      <c r="T908" s="338"/>
      <c r="U908" s="338"/>
      <c r="V908" s="338"/>
      <c r="W908" s="338"/>
      <c r="X908" s="338"/>
      <c r="Y908" s="338"/>
      <c r="Z908" s="338"/>
    </row>
    <row r="909" ht="22.5" customHeight="1">
      <c r="A909" s="528"/>
      <c r="B909" s="528"/>
      <c r="C909" s="528"/>
      <c r="D909" s="528"/>
      <c r="E909" s="528"/>
      <c r="F909" s="535"/>
      <c r="G909" s="536"/>
      <c r="H909" s="338"/>
      <c r="I909" s="338"/>
      <c r="J909" s="536"/>
      <c r="K909" s="338"/>
      <c r="L909" s="338"/>
      <c r="M909" s="338"/>
      <c r="N909" s="338"/>
      <c r="O909" s="338"/>
      <c r="P909" s="338"/>
      <c r="Q909" s="338"/>
      <c r="R909" s="338"/>
      <c r="S909" s="338"/>
      <c r="T909" s="338"/>
      <c r="U909" s="338"/>
      <c r="V909" s="338"/>
      <c r="W909" s="338"/>
      <c r="X909" s="338"/>
      <c r="Y909" s="338"/>
      <c r="Z909" s="338"/>
    </row>
    <row r="910" ht="22.5" customHeight="1">
      <c r="A910" s="528"/>
      <c r="B910" s="528"/>
      <c r="C910" s="528"/>
      <c r="D910" s="528"/>
      <c r="E910" s="528"/>
      <c r="F910" s="535"/>
      <c r="G910" s="536"/>
      <c r="H910" s="338"/>
      <c r="I910" s="338"/>
      <c r="J910" s="536"/>
      <c r="K910" s="338"/>
      <c r="L910" s="338"/>
      <c r="M910" s="338"/>
      <c r="N910" s="338"/>
      <c r="O910" s="338"/>
      <c r="P910" s="338"/>
      <c r="Q910" s="338"/>
      <c r="R910" s="338"/>
      <c r="S910" s="338"/>
      <c r="T910" s="338"/>
      <c r="U910" s="338"/>
      <c r="V910" s="338"/>
      <c r="W910" s="338"/>
      <c r="X910" s="338"/>
      <c r="Y910" s="338"/>
      <c r="Z910" s="338"/>
    </row>
    <row r="911" ht="22.5" customHeight="1">
      <c r="A911" s="528"/>
      <c r="B911" s="528"/>
      <c r="C911" s="528"/>
      <c r="D911" s="528"/>
      <c r="E911" s="528"/>
      <c r="F911" s="535"/>
      <c r="G911" s="536"/>
      <c r="H911" s="338"/>
      <c r="I911" s="338"/>
      <c r="J911" s="536"/>
      <c r="K911" s="338"/>
      <c r="L911" s="338"/>
      <c r="M911" s="338"/>
      <c r="N911" s="338"/>
      <c r="O911" s="338"/>
      <c r="P911" s="338"/>
      <c r="Q911" s="338"/>
      <c r="R911" s="338"/>
      <c r="S911" s="338"/>
      <c r="T911" s="338"/>
      <c r="U911" s="338"/>
      <c r="V911" s="338"/>
      <c r="W911" s="338"/>
      <c r="X911" s="338"/>
      <c r="Y911" s="338"/>
      <c r="Z911" s="338"/>
    </row>
    <row r="912" ht="22.5" customHeight="1">
      <c r="A912" s="528"/>
      <c r="B912" s="528"/>
      <c r="C912" s="528"/>
      <c r="D912" s="528"/>
      <c r="E912" s="528"/>
      <c r="F912" s="535"/>
      <c r="G912" s="536"/>
      <c r="H912" s="338"/>
      <c r="I912" s="338"/>
      <c r="J912" s="536"/>
      <c r="K912" s="338"/>
      <c r="L912" s="338"/>
      <c r="M912" s="338"/>
      <c r="N912" s="338"/>
      <c r="O912" s="338"/>
      <c r="P912" s="338"/>
      <c r="Q912" s="338"/>
      <c r="R912" s="338"/>
      <c r="S912" s="338"/>
      <c r="T912" s="338"/>
      <c r="U912" s="338"/>
      <c r="V912" s="338"/>
      <c r="W912" s="338"/>
      <c r="X912" s="338"/>
      <c r="Y912" s="338"/>
      <c r="Z912" s="338"/>
    </row>
    <row r="913" ht="22.5" customHeight="1">
      <c r="A913" s="528"/>
      <c r="B913" s="528"/>
      <c r="C913" s="528"/>
      <c r="D913" s="528"/>
      <c r="E913" s="528"/>
      <c r="F913" s="535"/>
      <c r="G913" s="536"/>
      <c r="H913" s="338"/>
      <c r="I913" s="338"/>
      <c r="J913" s="536"/>
      <c r="K913" s="338"/>
      <c r="L913" s="338"/>
      <c r="M913" s="338"/>
      <c r="N913" s="338"/>
      <c r="O913" s="338"/>
      <c r="P913" s="338"/>
      <c r="Q913" s="338"/>
      <c r="R913" s="338"/>
      <c r="S913" s="338"/>
      <c r="T913" s="338"/>
      <c r="U913" s="338"/>
      <c r="V913" s="338"/>
      <c r="W913" s="338"/>
      <c r="X913" s="338"/>
      <c r="Y913" s="338"/>
      <c r="Z913" s="338"/>
    </row>
    <row r="914" ht="22.5" customHeight="1">
      <c r="A914" s="528"/>
      <c r="B914" s="528"/>
      <c r="C914" s="528"/>
      <c r="D914" s="528"/>
      <c r="E914" s="528"/>
      <c r="F914" s="535"/>
      <c r="G914" s="536"/>
      <c r="H914" s="338"/>
      <c r="I914" s="338"/>
      <c r="J914" s="536"/>
      <c r="K914" s="338"/>
      <c r="L914" s="338"/>
      <c r="M914" s="338"/>
      <c r="N914" s="338"/>
      <c r="O914" s="338"/>
      <c r="P914" s="338"/>
      <c r="Q914" s="338"/>
      <c r="R914" s="338"/>
      <c r="S914" s="338"/>
      <c r="T914" s="338"/>
      <c r="U914" s="338"/>
      <c r="V914" s="338"/>
      <c r="W914" s="338"/>
      <c r="X914" s="338"/>
      <c r="Y914" s="338"/>
      <c r="Z914" s="338"/>
    </row>
    <row r="915" ht="22.5" customHeight="1">
      <c r="A915" s="528"/>
      <c r="B915" s="528"/>
      <c r="C915" s="528"/>
      <c r="D915" s="528"/>
      <c r="E915" s="528"/>
      <c r="F915" s="535"/>
      <c r="G915" s="536"/>
      <c r="H915" s="338"/>
      <c r="I915" s="338"/>
      <c r="J915" s="536"/>
      <c r="K915" s="338"/>
      <c r="L915" s="338"/>
      <c r="M915" s="338"/>
      <c r="N915" s="338"/>
      <c r="O915" s="338"/>
      <c r="P915" s="338"/>
      <c r="Q915" s="338"/>
      <c r="R915" s="338"/>
      <c r="S915" s="338"/>
      <c r="T915" s="338"/>
      <c r="U915" s="338"/>
      <c r="V915" s="338"/>
      <c r="W915" s="338"/>
      <c r="X915" s="338"/>
      <c r="Y915" s="338"/>
      <c r="Z915" s="338"/>
    </row>
    <row r="916" ht="22.5" customHeight="1">
      <c r="A916" s="528"/>
      <c r="B916" s="528"/>
      <c r="C916" s="528"/>
      <c r="D916" s="528"/>
      <c r="E916" s="528"/>
      <c r="F916" s="535"/>
      <c r="G916" s="536"/>
      <c r="H916" s="338"/>
      <c r="I916" s="338"/>
      <c r="J916" s="536"/>
      <c r="K916" s="338"/>
      <c r="L916" s="338"/>
      <c r="M916" s="338"/>
      <c r="N916" s="338"/>
      <c r="O916" s="338"/>
      <c r="P916" s="338"/>
      <c r="Q916" s="338"/>
      <c r="R916" s="338"/>
      <c r="S916" s="338"/>
      <c r="T916" s="338"/>
      <c r="U916" s="338"/>
      <c r="V916" s="338"/>
      <c r="W916" s="338"/>
      <c r="X916" s="338"/>
      <c r="Y916" s="338"/>
      <c r="Z916" s="338"/>
    </row>
    <row r="917" ht="22.5" customHeight="1">
      <c r="A917" s="528"/>
      <c r="B917" s="528"/>
      <c r="C917" s="528"/>
      <c r="D917" s="528"/>
      <c r="E917" s="528"/>
      <c r="F917" s="535"/>
      <c r="G917" s="536"/>
      <c r="H917" s="338"/>
      <c r="I917" s="338"/>
      <c r="J917" s="536"/>
      <c r="K917" s="338"/>
      <c r="L917" s="338"/>
      <c r="M917" s="338"/>
      <c r="N917" s="338"/>
      <c r="O917" s="338"/>
      <c r="P917" s="338"/>
      <c r="Q917" s="338"/>
      <c r="R917" s="338"/>
      <c r="S917" s="338"/>
      <c r="T917" s="338"/>
      <c r="U917" s="338"/>
      <c r="V917" s="338"/>
      <c r="W917" s="338"/>
      <c r="X917" s="338"/>
      <c r="Y917" s="338"/>
      <c r="Z917" s="338"/>
    </row>
    <row r="918" ht="22.5" customHeight="1">
      <c r="A918" s="528"/>
      <c r="B918" s="528"/>
      <c r="C918" s="528"/>
      <c r="D918" s="528"/>
      <c r="E918" s="528"/>
      <c r="F918" s="535"/>
      <c r="G918" s="536"/>
      <c r="H918" s="338"/>
      <c r="I918" s="338"/>
      <c r="J918" s="536"/>
      <c r="K918" s="338"/>
      <c r="L918" s="338"/>
      <c r="M918" s="338"/>
      <c r="N918" s="338"/>
      <c r="O918" s="338"/>
      <c r="P918" s="338"/>
      <c r="Q918" s="338"/>
      <c r="R918" s="338"/>
      <c r="S918" s="338"/>
      <c r="T918" s="338"/>
      <c r="U918" s="338"/>
      <c r="V918" s="338"/>
      <c r="W918" s="338"/>
      <c r="X918" s="338"/>
      <c r="Y918" s="338"/>
      <c r="Z918" s="338"/>
    </row>
    <row r="919" ht="22.5" customHeight="1">
      <c r="A919" s="528"/>
      <c r="B919" s="528"/>
      <c r="C919" s="528"/>
      <c r="D919" s="528"/>
      <c r="E919" s="528"/>
      <c r="F919" s="535"/>
      <c r="G919" s="536"/>
      <c r="H919" s="338"/>
      <c r="I919" s="338"/>
      <c r="J919" s="536"/>
      <c r="K919" s="338"/>
      <c r="L919" s="338"/>
      <c r="M919" s="338"/>
      <c r="N919" s="338"/>
      <c r="O919" s="338"/>
      <c r="P919" s="338"/>
      <c r="Q919" s="338"/>
      <c r="R919" s="338"/>
      <c r="S919" s="338"/>
      <c r="T919" s="338"/>
      <c r="U919" s="338"/>
      <c r="V919" s="338"/>
      <c r="W919" s="338"/>
      <c r="X919" s="338"/>
      <c r="Y919" s="338"/>
      <c r="Z919" s="338"/>
    </row>
    <row r="920" ht="22.5" customHeight="1">
      <c r="A920" s="528"/>
      <c r="B920" s="528"/>
      <c r="C920" s="528"/>
      <c r="D920" s="528"/>
      <c r="E920" s="528"/>
      <c r="F920" s="535"/>
      <c r="G920" s="536"/>
      <c r="H920" s="338"/>
      <c r="I920" s="338"/>
      <c r="J920" s="536"/>
      <c r="K920" s="338"/>
      <c r="L920" s="338"/>
      <c r="M920" s="338"/>
      <c r="N920" s="338"/>
      <c r="O920" s="338"/>
      <c r="P920" s="338"/>
      <c r="Q920" s="338"/>
      <c r="R920" s="338"/>
      <c r="S920" s="338"/>
      <c r="T920" s="338"/>
      <c r="U920" s="338"/>
      <c r="V920" s="338"/>
      <c r="W920" s="338"/>
      <c r="X920" s="338"/>
      <c r="Y920" s="338"/>
      <c r="Z920" s="338"/>
    </row>
    <row r="921" ht="22.5" customHeight="1">
      <c r="A921" s="528"/>
      <c r="B921" s="528"/>
      <c r="C921" s="528"/>
      <c r="D921" s="528"/>
      <c r="E921" s="528"/>
      <c r="F921" s="535"/>
      <c r="G921" s="536"/>
      <c r="H921" s="338"/>
      <c r="I921" s="338"/>
      <c r="J921" s="536"/>
      <c r="K921" s="338"/>
      <c r="L921" s="338"/>
      <c r="M921" s="338"/>
      <c r="N921" s="338"/>
      <c r="O921" s="338"/>
      <c r="P921" s="338"/>
      <c r="Q921" s="338"/>
      <c r="R921" s="338"/>
      <c r="S921" s="338"/>
      <c r="T921" s="338"/>
      <c r="U921" s="338"/>
      <c r="V921" s="338"/>
      <c r="W921" s="338"/>
      <c r="X921" s="338"/>
      <c r="Y921" s="338"/>
      <c r="Z921" s="338"/>
    </row>
    <row r="922" ht="22.5" customHeight="1">
      <c r="A922" s="528"/>
      <c r="B922" s="528"/>
      <c r="C922" s="528"/>
      <c r="D922" s="528"/>
      <c r="E922" s="528"/>
      <c r="F922" s="535"/>
      <c r="G922" s="536"/>
      <c r="H922" s="338"/>
      <c r="I922" s="338"/>
      <c r="J922" s="536"/>
      <c r="K922" s="338"/>
      <c r="L922" s="338"/>
      <c r="M922" s="338"/>
      <c r="N922" s="338"/>
      <c r="O922" s="338"/>
      <c r="P922" s="338"/>
      <c r="Q922" s="338"/>
      <c r="R922" s="338"/>
      <c r="S922" s="338"/>
      <c r="T922" s="338"/>
      <c r="U922" s="338"/>
      <c r="V922" s="338"/>
      <c r="W922" s="338"/>
      <c r="X922" s="338"/>
      <c r="Y922" s="338"/>
      <c r="Z922" s="338"/>
    </row>
    <row r="923" ht="22.5" customHeight="1">
      <c r="A923" s="528"/>
      <c r="B923" s="528"/>
      <c r="C923" s="528"/>
      <c r="D923" s="528"/>
      <c r="E923" s="528"/>
      <c r="F923" s="535"/>
      <c r="G923" s="536"/>
      <c r="H923" s="338"/>
      <c r="I923" s="338"/>
      <c r="J923" s="536"/>
      <c r="K923" s="338"/>
      <c r="L923" s="338"/>
      <c r="M923" s="338"/>
      <c r="N923" s="338"/>
      <c r="O923" s="338"/>
      <c r="P923" s="338"/>
      <c r="Q923" s="338"/>
      <c r="R923" s="338"/>
      <c r="S923" s="338"/>
      <c r="T923" s="338"/>
      <c r="U923" s="338"/>
      <c r="V923" s="338"/>
      <c r="W923" s="338"/>
      <c r="X923" s="338"/>
      <c r="Y923" s="338"/>
      <c r="Z923" s="338"/>
    </row>
    <row r="924" ht="22.5" customHeight="1">
      <c r="A924" s="528"/>
      <c r="B924" s="528"/>
      <c r="C924" s="528"/>
      <c r="D924" s="528"/>
      <c r="E924" s="528"/>
      <c r="F924" s="535"/>
      <c r="G924" s="536"/>
      <c r="H924" s="338"/>
      <c r="I924" s="338"/>
      <c r="J924" s="536"/>
      <c r="K924" s="338"/>
      <c r="L924" s="338"/>
      <c r="M924" s="338"/>
      <c r="N924" s="338"/>
      <c r="O924" s="338"/>
      <c r="P924" s="338"/>
      <c r="Q924" s="338"/>
      <c r="R924" s="338"/>
      <c r="S924" s="338"/>
      <c r="T924" s="338"/>
      <c r="U924" s="338"/>
      <c r="V924" s="338"/>
      <c r="W924" s="338"/>
      <c r="X924" s="338"/>
      <c r="Y924" s="338"/>
      <c r="Z924" s="338"/>
    </row>
    <row r="925" ht="22.5" customHeight="1">
      <c r="A925" s="528"/>
      <c r="B925" s="528"/>
      <c r="C925" s="528"/>
      <c r="D925" s="528"/>
      <c r="E925" s="528"/>
      <c r="F925" s="535"/>
      <c r="G925" s="536"/>
      <c r="H925" s="338"/>
      <c r="I925" s="338"/>
      <c r="J925" s="536"/>
      <c r="K925" s="338"/>
      <c r="L925" s="338"/>
      <c r="M925" s="338"/>
      <c r="N925" s="338"/>
      <c r="O925" s="338"/>
      <c r="P925" s="338"/>
      <c r="Q925" s="338"/>
      <c r="R925" s="338"/>
      <c r="S925" s="338"/>
      <c r="T925" s="338"/>
      <c r="U925" s="338"/>
      <c r="V925" s="338"/>
      <c r="W925" s="338"/>
      <c r="X925" s="338"/>
      <c r="Y925" s="338"/>
      <c r="Z925" s="338"/>
    </row>
    <row r="926" ht="22.5" customHeight="1">
      <c r="A926" s="528"/>
      <c r="B926" s="528"/>
      <c r="C926" s="528"/>
      <c r="D926" s="528"/>
      <c r="E926" s="528"/>
      <c r="F926" s="535"/>
      <c r="G926" s="536"/>
      <c r="H926" s="338"/>
      <c r="I926" s="338"/>
      <c r="J926" s="536"/>
      <c r="K926" s="338"/>
      <c r="L926" s="338"/>
      <c r="M926" s="338"/>
      <c r="N926" s="338"/>
      <c r="O926" s="338"/>
      <c r="P926" s="338"/>
      <c r="Q926" s="338"/>
      <c r="R926" s="338"/>
      <c r="S926" s="338"/>
      <c r="T926" s="338"/>
      <c r="U926" s="338"/>
      <c r="V926" s="338"/>
      <c r="W926" s="338"/>
      <c r="X926" s="338"/>
      <c r="Y926" s="338"/>
      <c r="Z926" s="338"/>
    </row>
    <row r="927" ht="22.5" customHeight="1">
      <c r="A927" s="528"/>
      <c r="B927" s="528"/>
      <c r="C927" s="528"/>
      <c r="D927" s="528"/>
      <c r="E927" s="528"/>
      <c r="F927" s="535"/>
      <c r="G927" s="536"/>
      <c r="H927" s="338"/>
      <c r="I927" s="338"/>
      <c r="J927" s="536"/>
      <c r="K927" s="338"/>
      <c r="L927" s="338"/>
      <c r="M927" s="338"/>
      <c r="N927" s="338"/>
      <c r="O927" s="338"/>
      <c r="P927" s="338"/>
      <c r="Q927" s="338"/>
      <c r="R927" s="338"/>
      <c r="S927" s="338"/>
      <c r="T927" s="338"/>
      <c r="U927" s="338"/>
      <c r="V927" s="338"/>
      <c r="W927" s="338"/>
      <c r="X927" s="338"/>
      <c r="Y927" s="338"/>
      <c r="Z927" s="338"/>
    </row>
    <row r="928" ht="22.5" customHeight="1">
      <c r="A928" s="528"/>
      <c r="B928" s="528"/>
      <c r="C928" s="528"/>
      <c r="D928" s="528"/>
      <c r="E928" s="528"/>
      <c r="F928" s="535"/>
      <c r="G928" s="536"/>
      <c r="H928" s="338"/>
      <c r="I928" s="338"/>
      <c r="J928" s="536"/>
      <c r="K928" s="338"/>
      <c r="L928" s="338"/>
      <c r="M928" s="338"/>
      <c r="N928" s="338"/>
      <c r="O928" s="338"/>
      <c r="P928" s="338"/>
      <c r="Q928" s="338"/>
      <c r="R928" s="338"/>
      <c r="S928" s="338"/>
      <c r="T928" s="338"/>
      <c r="U928" s="338"/>
      <c r="V928" s="338"/>
      <c r="W928" s="338"/>
      <c r="X928" s="338"/>
      <c r="Y928" s="338"/>
      <c r="Z928" s="338"/>
    </row>
    <row r="929" ht="22.5" customHeight="1">
      <c r="A929" s="528"/>
      <c r="B929" s="528"/>
      <c r="C929" s="528"/>
      <c r="D929" s="528"/>
      <c r="E929" s="528"/>
      <c r="F929" s="535"/>
      <c r="G929" s="536"/>
      <c r="H929" s="338"/>
      <c r="I929" s="338"/>
      <c r="J929" s="536"/>
      <c r="K929" s="338"/>
      <c r="L929" s="338"/>
      <c r="M929" s="338"/>
      <c r="N929" s="338"/>
      <c r="O929" s="338"/>
      <c r="P929" s="338"/>
      <c r="Q929" s="338"/>
      <c r="R929" s="338"/>
      <c r="S929" s="338"/>
      <c r="T929" s="338"/>
      <c r="U929" s="338"/>
      <c r="V929" s="338"/>
      <c r="W929" s="338"/>
      <c r="X929" s="338"/>
      <c r="Y929" s="338"/>
      <c r="Z929" s="338"/>
    </row>
    <row r="930" ht="22.5" customHeight="1">
      <c r="A930" s="528"/>
      <c r="B930" s="528"/>
      <c r="C930" s="528"/>
      <c r="D930" s="528"/>
      <c r="E930" s="528"/>
      <c r="F930" s="535"/>
      <c r="G930" s="536"/>
      <c r="H930" s="338"/>
      <c r="I930" s="338"/>
      <c r="J930" s="536"/>
      <c r="K930" s="338"/>
      <c r="L930" s="338"/>
      <c r="M930" s="338"/>
      <c r="N930" s="338"/>
      <c r="O930" s="338"/>
      <c r="P930" s="338"/>
      <c r="Q930" s="338"/>
      <c r="R930" s="338"/>
      <c r="S930" s="338"/>
      <c r="T930" s="338"/>
      <c r="U930" s="338"/>
      <c r="V930" s="338"/>
      <c r="W930" s="338"/>
      <c r="X930" s="338"/>
      <c r="Y930" s="338"/>
      <c r="Z930" s="338"/>
    </row>
    <row r="931" ht="22.5" customHeight="1">
      <c r="A931" s="528"/>
      <c r="B931" s="528"/>
      <c r="C931" s="528"/>
      <c r="D931" s="528"/>
      <c r="E931" s="528"/>
      <c r="F931" s="535"/>
      <c r="G931" s="536"/>
      <c r="H931" s="338"/>
      <c r="I931" s="338"/>
      <c r="J931" s="536"/>
      <c r="K931" s="338"/>
      <c r="L931" s="338"/>
      <c r="M931" s="338"/>
      <c r="N931" s="338"/>
      <c r="O931" s="338"/>
      <c r="P931" s="338"/>
      <c r="Q931" s="338"/>
      <c r="R931" s="338"/>
      <c r="S931" s="338"/>
      <c r="T931" s="338"/>
      <c r="U931" s="338"/>
      <c r="V931" s="338"/>
      <c r="W931" s="338"/>
      <c r="X931" s="338"/>
      <c r="Y931" s="338"/>
      <c r="Z931" s="338"/>
    </row>
    <row r="932" ht="22.5" customHeight="1">
      <c r="A932" s="528"/>
      <c r="B932" s="528"/>
      <c r="C932" s="528"/>
      <c r="D932" s="528"/>
      <c r="E932" s="528"/>
      <c r="F932" s="535"/>
      <c r="G932" s="536"/>
      <c r="H932" s="338"/>
      <c r="I932" s="338"/>
      <c r="J932" s="536"/>
      <c r="K932" s="338"/>
      <c r="L932" s="338"/>
      <c r="M932" s="338"/>
      <c r="N932" s="338"/>
      <c r="O932" s="338"/>
      <c r="P932" s="338"/>
      <c r="Q932" s="338"/>
      <c r="R932" s="338"/>
      <c r="S932" s="338"/>
      <c r="T932" s="338"/>
      <c r="U932" s="338"/>
      <c r="V932" s="338"/>
      <c r="W932" s="338"/>
      <c r="X932" s="338"/>
      <c r="Y932" s="338"/>
      <c r="Z932" s="338"/>
    </row>
    <row r="933" ht="22.5" customHeight="1">
      <c r="A933" s="528"/>
      <c r="B933" s="528"/>
      <c r="C933" s="528"/>
      <c r="D933" s="528"/>
      <c r="E933" s="528"/>
      <c r="F933" s="535"/>
      <c r="G933" s="536"/>
      <c r="H933" s="338"/>
      <c r="I933" s="338"/>
      <c r="J933" s="536"/>
      <c r="K933" s="338"/>
      <c r="L933" s="338"/>
      <c r="M933" s="338"/>
      <c r="N933" s="338"/>
      <c r="O933" s="338"/>
      <c r="P933" s="338"/>
      <c r="Q933" s="338"/>
      <c r="R933" s="338"/>
      <c r="S933" s="338"/>
      <c r="T933" s="338"/>
      <c r="U933" s="338"/>
      <c r="V933" s="338"/>
      <c r="W933" s="338"/>
      <c r="X933" s="338"/>
      <c r="Y933" s="338"/>
      <c r="Z933" s="338"/>
    </row>
    <row r="934" ht="22.5" customHeight="1">
      <c r="A934" s="528"/>
      <c r="B934" s="528"/>
      <c r="C934" s="528"/>
      <c r="D934" s="528"/>
      <c r="E934" s="528"/>
      <c r="F934" s="535"/>
      <c r="G934" s="536"/>
      <c r="H934" s="338"/>
      <c r="I934" s="338"/>
      <c r="J934" s="536"/>
      <c r="K934" s="338"/>
      <c r="L934" s="338"/>
      <c r="M934" s="338"/>
      <c r="N934" s="338"/>
      <c r="O934" s="338"/>
      <c r="P934" s="338"/>
      <c r="Q934" s="338"/>
      <c r="R934" s="338"/>
      <c r="S934" s="338"/>
      <c r="T934" s="338"/>
      <c r="U934" s="338"/>
      <c r="V934" s="338"/>
      <c r="W934" s="338"/>
      <c r="X934" s="338"/>
      <c r="Y934" s="338"/>
      <c r="Z934" s="338"/>
    </row>
    <row r="935" ht="22.5" customHeight="1">
      <c r="A935" s="528"/>
      <c r="B935" s="528"/>
      <c r="C935" s="528"/>
      <c r="D935" s="528"/>
      <c r="E935" s="528"/>
      <c r="F935" s="535"/>
      <c r="G935" s="536"/>
      <c r="H935" s="338"/>
      <c r="I935" s="338"/>
      <c r="J935" s="536"/>
      <c r="K935" s="338"/>
      <c r="L935" s="338"/>
      <c r="M935" s="338"/>
      <c r="N935" s="338"/>
      <c r="O935" s="338"/>
      <c r="P935" s="338"/>
      <c r="Q935" s="338"/>
      <c r="R935" s="338"/>
      <c r="S935" s="338"/>
      <c r="T935" s="338"/>
      <c r="U935" s="338"/>
      <c r="V935" s="338"/>
      <c r="W935" s="338"/>
      <c r="X935" s="338"/>
      <c r="Y935" s="338"/>
      <c r="Z935" s="338"/>
    </row>
    <row r="936" ht="22.5" customHeight="1">
      <c r="A936" s="528"/>
      <c r="B936" s="528"/>
      <c r="C936" s="528"/>
      <c r="D936" s="528"/>
      <c r="E936" s="528"/>
      <c r="F936" s="535"/>
      <c r="G936" s="536"/>
      <c r="H936" s="338"/>
      <c r="I936" s="338"/>
      <c r="J936" s="536"/>
      <c r="K936" s="338"/>
      <c r="L936" s="338"/>
      <c r="M936" s="338"/>
      <c r="N936" s="338"/>
      <c r="O936" s="338"/>
      <c r="P936" s="338"/>
      <c r="Q936" s="338"/>
      <c r="R936" s="338"/>
      <c r="S936" s="338"/>
      <c r="T936" s="338"/>
      <c r="U936" s="338"/>
      <c r="V936" s="338"/>
      <c r="W936" s="338"/>
      <c r="X936" s="338"/>
      <c r="Y936" s="338"/>
      <c r="Z936" s="338"/>
    </row>
    <row r="937" ht="22.5" customHeight="1">
      <c r="A937" s="528"/>
      <c r="B937" s="528"/>
      <c r="C937" s="528"/>
      <c r="D937" s="528"/>
      <c r="E937" s="528"/>
      <c r="F937" s="535"/>
      <c r="G937" s="536"/>
      <c r="H937" s="338"/>
      <c r="I937" s="338"/>
      <c r="J937" s="536"/>
      <c r="K937" s="338"/>
      <c r="L937" s="338"/>
      <c r="M937" s="338"/>
      <c r="N937" s="338"/>
      <c r="O937" s="338"/>
      <c r="P937" s="338"/>
      <c r="Q937" s="338"/>
      <c r="R937" s="338"/>
      <c r="S937" s="338"/>
      <c r="T937" s="338"/>
      <c r="U937" s="338"/>
      <c r="V937" s="338"/>
      <c r="W937" s="338"/>
      <c r="X937" s="338"/>
      <c r="Y937" s="338"/>
      <c r="Z937" s="338"/>
    </row>
    <row r="938" ht="22.5" customHeight="1">
      <c r="A938" s="528"/>
      <c r="B938" s="528"/>
      <c r="C938" s="528"/>
      <c r="D938" s="528"/>
      <c r="E938" s="528"/>
      <c r="F938" s="535"/>
      <c r="G938" s="536"/>
      <c r="H938" s="338"/>
      <c r="I938" s="338"/>
      <c r="J938" s="536"/>
      <c r="K938" s="338"/>
      <c r="L938" s="338"/>
      <c r="M938" s="338"/>
      <c r="N938" s="338"/>
      <c r="O938" s="338"/>
      <c r="P938" s="338"/>
      <c r="Q938" s="338"/>
      <c r="R938" s="338"/>
      <c r="S938" s="338"/>
      <c r="T938" s="338"/>
      <c r="U938" s="338"/>
      <c r="V938" s="338"/>
      <c r="W938" s="338"/>
      <c r="X938" s="338"/>
      <c r="Y938" s="338"/>
      <c r="Z938" s="338"/>
    </row>
    <row r="939" ht="22.5" customHeight="1">
      <c r="A939" s="528"/>
      <c r="B939" s="528"/>
      <c r="C939" s="528"/>
      <c r="D939" s="528"/>
      <c r="E939" s="528"/>
      <c r="F939" s="535"/>
      <c r="G939" s="536"/>
      <c r="H939" s="338"/>
      <c r="I939" s="338"/>
      <c r="J939" s="536"/>
      <c r="K939" s="338"/>
      <c r="L939" s="338"/>
      <c r="M939" s="338"/>
      <c r="N939" s="338"/>
      <c r="O939" s="338"/>
      <c r="P939" s="338"/>
      <c r="Q939" s="338"/>
      <c r="R939" s="338"/>
      <c r="S939" s="338"/>
      <c r="T939" s="338"/>
      <c r="U939" s="338"/>
      <c r="V939" s="338"/>
      <c r="W939" s="338"/>
      <c r="X939" s="338"/>
      <c r="Y939" s="338"/>
      <c r="Z939" s="338"/>
    </row>
    <row r="940" ht="22.5" customHeight="1">
      <c r="A940" s="528"/>
      <c r="B940" s="528"/>
      <c r="C940" s="528"/>
      <c r="D940" s="528"/>
      <c r="E940" s="528"/>
      <c r="F940" s="535"/>
      <c r="G940" s="536"/>
      <c r="H940" s="338"/>
      <c r="I940" s="338"/>
      <c r="J940" s="536"/>
      <c r="K940" s="338"/>
      <c r="L940" s="338"/>
      <c r="M940" s="338"/>
      <c r="N940" s="338"/>
      <c r="O940" s="338"/>
      <c r="P940" s="338"/>
      <c r="Q940" s="338"/>
      <c r="R940" s="338"/>
      <c r="S940" s="338"/>
      <c r="T940" s="338"/>
      <c r="U940" s="338"/>
      <c r="V940" s="338"/>
      <c r="W940" s="338"/>
      <c r="X940" s="338"/>
      <c r="Y940" s="338"/>
      <c r="Z940" s="338"/>
    </row>
    <row r="941" ht="22.5" customHeight="1">
      <c r="A941" s="528"/>
      <c r="B941" s="528"/>
      <c r="C941" s="528"/>
      <c r="D941" s="528"/>
      <c r="E941" s="528"/>
      <c r="F941" s="535"/>
      <c r="G941" s="536"/>
      <c r="H941" s="338"/>
      <c r="I941" s="338"/>
      <c r="J941" s="536"/>
      <c r="K941" s="338"/>
      <c r="L941" s="338"/>
      <c r="M941" s="338"/>
      <c r="N941" s="338"/>
      <c r="O941" s="338"/>
      <c r="P941" s="338"/>
      <c r="Q941" s="338"/>
      <c r="R941" s="338"/>
      <c r="S941" s="338"/>
      <c r="T941" s="338"/>
      <c r="U941" s="338"/>
      <c r="V941" s="338"/>
      <c r="W941" s="338"/>
      <c r="X941" s="338"/>
      <c r="Y941" s="338"/>
      <c r="Z941" s="338"/>
    </row>
    <row r="942" ht="22.5" customHeight="1">
      <c r="A942" s="528"/>
      <c r="B942" s="528"/>
      <c r="C942" s="528"/>
      <c r="D942" s="528"/>
      <c r="E942" s="528"/>
      <c r="F942" s="535"/>
      <c r="G942" s="536"/>
      <c r="H942" s="338"/>
      <c r="I942" s="338"/>
      <c r="J942" s="536"/>
      <c r="K942" s="338"/>
      <c r="L942" s="338"/>
      <c r="M942" s="338"/>
      <c r="N942" s="338"/>
      <c r="O942" s="338"/>
      <c r="P942" s="338"/>
      <c r="Q942" s="338"/>
      <c r="R942" s="338"/>
      <c r="S942" s="338"/>
      <c r="T942" s="338"/>
      <c r="U942" s="338"/>
      <c r="V942" s="338"/>
      <c r="W942" s="338"/>
      <c r="X942" s="338"/>
      <c r="Y942" s="338"/>
      <c r="Z942" s="338"/>
    </row>
    <row r="943" ht="22.5" customHeight="1">
      <c r="A943" s="528"/>
      <c r="B943" s="528"/>
      <c r="C943" s="528"/>
      <c r="D943" s="528"/>
      <c r="E943" s="528"/>
      <c r="F943" s="535"/>
      <c r="G943" s="536"/>
      <c r="H943" s="338"/>
      <c r="I943" s="338"/>
      <c r="J943" s="536"/>
      <c r="K943" s="338"/>
      <c r="L943" s="338"/>
      <c r="M943" s="338"/>
      <c r="N943" s="338"/>
      <c r="O943" s="338"/>
      <c r="P943" s="338"/>
      <c r="Q943" s="338"/>
      <c r="R943" s="338"/>
      <c r="S943" s="338"/>
      <c r="T943" s="338"/>
      <c r="U943" s="338"/>
      <c r="V943" s="338"/>
      <c r="W943" s="338"/>
      <c r="X943" s="338"/>
      <c r="Y943" s="338"/>
      <c r="Z943" s="338"/>
    </row>
    <row r="944" ht="22.5" customHeight="1">
      <c r="A944" s="528"/>
      <c r="B944" s="528"/>
      <c r="C944" s="528"/>
      <c r="D944" s="528"/>
      <c r="E944" s="528"/>
      <c r="F944" s="535"/>
      <c r="G944" s="536"/>
      <c r="H944" s="338"/>
      <c r="I944" s="338"/>
      <c r="J944" s="536"/>
      <c r="K944" s="338"/>
      <c r="L944" s="338"/>
      <c r="M944" s="338"/>
      <c r="N944" s="338"/>
      <c r="O944" s="338"/>
      <c r="P944" s="338"/>
      <c r="Q944" s="338"/>
      <c r="R944" s="338"/>
      <c r="S944" s="338"/>
      <c r="T944" s="338"/>
      <c r="U944" s="338"/>
      <c r="V944" s="338"/>
      <c r="W944" s="338"/>
      <c r="X944" s="338"/>
      <c r="Y944" s="338"/>
      <c r="Z944" s="338"/>
    </row>
    <row r="945" ht="22.5" customHeight="1">
      <c r="A945" s="528"/>
      <c r="B945" s="528"/>
      <c r="C945" s="528"/>
      <c r="D945" s="528"/>
      <c r="E945" s="528"/>
      <c r="F945" s="535"/>
      <c r="G945" s="536"/>
      <c r="H945" s="338"/>
      <c r="I945" s="338"/>
      <c r="J945" s="536"/>
      <c r="K945" s="338"/>
      <c r="L945" s="338"/>
      <c r="M945" s="338"/>
      <c r="N945" s="338"/>
      <c r="O945" s="338"/>
      <c r="P945" s="338"/>
      <c r="Q945" s="338"/>
      <c r="R945" s="338"/>
      <c r="S945" s="338"/>
      <c r="T945" s="338"/>
      <c r="U945" s="338"/>
      <c r="V945" s="338"/>
      <c r="W945" s="338"/>
      <c r="X945" s="338"/>
      <c r="Y945" s="338"/>
      <c r="Z945" s="338"/>
    </row>
    <row r="946" ht="22.5" customHeight="1">
      <c r="A946" s="528"/>
      <c r="B946" s="528"/>
      <c r="C946" s="528"/>
      <c r="D946" s="528"/>
      <c r="E946" s="528"/>
      <c r="F946" s="535"/>
      <c r="G946" s="536"/>
      <c r="H946" s="338"/>
      <c r="I946" s="338"/>
      <c r="J946" s="536"/>
      <c r="K946" s="338"/>
      <c r="L946" s="338"/>
      <c r="M946" s="338"/>
      <c r="N946" s="338"/>
      <c r="O946" s="338"/>
      <c r="P946" s="338"/>
      <c r="Q946" s="338"/>
      <c r="R946" s="338"/>
      <c r="S946" s="338"/>
      <c r="T946" s="338"/>
      <c r="U946" s="338"/>
      <c r="V946" s="338"/>
      <c r="W946" s="338"/>
      <c r="X946" s="338"/>
      <c r="Y946" s="338"/>
      <c r="Z946" s="338"/>
    </row>
    <row r="947" ht="22.5" customHeight="1">
      <c r="A947" s="528"/>
      <c r="B947" s="528"/>
      <c r="C947" s="528"/>
      <c r="D947" s="528"/>
      <c r="E947" s="528"/>
      <c r="F947" s="535"/>
      <c r="G947" s="536"/>
      <c r="H947" s="338"/>
      <c r="I947" s="338"/>
      <c r="J947" s="536"/>
      <c r="K947" s="338"/>
      <c r="L947" s="338"/>
      <c r="M947" s="338"/>
      <c r="N947" s="338"/>
      <c r="O947" s="338"/>
      <c r="P947" s="338"/>
      <c r="Q947" s="338"/>
      <c r="R947" s="338"/>
      <c r="S947" s="338"/>
      <c r="T947" s="338"/>
      <c r="U947" s="338"/>
      <c r="V947" s="338"/>
      <c r="W947" s="338"/>
      <c r="X947" s="338"/>
      <c r="Y947" s="338"/>
      <c r="Z947" s="338"/>
    </row>
    <row r="948" ht="22.5" customHeight="1">
      <c r="A948" s="528"/>
      <c r="B948" s="528"/>
      <c r="C948" s="528"/>
      <c r="D948" s="528"/>
      <c r="E948" s="528"/>
      <c r="F948" s="535"/>
      <c r="G948" s="536"/>
      <c r="H948" s="338"/>
      <c r="I948" s="338"/>
      <c r="J948" s="536"/>
      <c r="K948" s="338"/>
      <c r="L948" s="338"/>
      <c r="M948" s="338"/>
      <c r="N948" s="338"/>
      <c r="O948" s="338"/>
      <c r="P948" s="338"/>
      <c r="Q948" s="338"/>
      <c r="R948" s="338"/>
      <c r="S948" s="338"/>
      <c r="T948" s="338"/>
      <c r="U948" s="338"/>
      <c r="V948" s="338"/>
      <c r="W948" s="338"/>
      <c r="X948" s="338"/>
      <c r="Y948" s="338"/>
      <c r="Z948" s="338"/>
    </row>
    <row r="949" ht="22.5" customHeight="1">
      <c r="A949" s="528"/>
      <c r="B949" s="528"/>
      <c r="C949" s="528"/>
      <c r="D949" s="528"/>
      <c r="E949" s="528"/>
      <c r="F949" s="535"/>
      <c r="G949" s="536"/>
      <c r="H949" s="338"/>
      <c r="I949" s="338"/>
      <c r="J949" s="536"/>
      <c r="K949" s="338"/>
      <c r="L949" s="338"/>
      <c r="M949" s="338"/>
      <c r="N949" s="338"/>
      <c r="O949" s="338"/>
      <c r="P949" s="338"/>
      <c r="Q949" s="338"/>
      <c r="R949" s="338"/>
      <c r="S949" s="338"/>
      <c r="T949" s="338"/>
      <c r="U949" s="338"/>
      <c r="V949" s="338"/>
      <c r="W949" s="338"/>
      <c r="X949" s="338"/>
      <c r="Y949" s="338"/>
      <c r="Z949" s="338"/>
    </row>
    <row r="950" ht="22.5" customHeight="1">
      <c r="A950" s="528"/>
      <c r="B950" s="528"/>
      <c r="C950" s="528"/>
      <c r="D950" s="528"/>
      <c r="E950" s="528"/>
      <c r="F950" s="535"/>
      <c r="G950" s="536"/>
      <c r="H950" s="338"/>
      <c r="I950" s="338"/>
      <c r="J950" s="536"/>
      <c r="K950" s="338"/>
      <c r="L950" s="338"/>
      <c r="M950" s="338"/>
      <c r="N950" s="338"/>
      <c r="O950" s="338"/>
      <c r="P950" s="338"/>
      <c r="Q950" s="338"/>
      <c r="R950" s="338"/>
      <c r="S950" s="338"/>
      <c r="T950" s="338"/>
      <c r="U950" s="338"/>
      <c r="V950" s="338"/>
      <c r="W950" s="338"/>
      <c r="X950" s="338"/>
      <c r="Y950" s="338"/>
      <c r="Z950" s="338"/>
    </row>
    <row r="951" ht="22.5" customHeight="1">
      <c r="A951" s="528"/>
      <c r="B951" s="528"/>
      <c r="C951" s="528"/>
      <c r="D951" s="528"/>
      <c r="E951" s="528"/>
      <c r="F951" s="535"/>
      <c r="G951" s="536"/>
      <c r="H951" s="338"/>
      <c r="I951" s="338"/>
      <c r="J951" s="536"/>
      <c r="K951" s="338"/>
      <c r="L951" s="338"/>
      <c r="M951" s="338"/>
      <c r="N951" s="338"/>
      <c r="O951" s="338"/>
      <c r="P951" s="338"/>
      <c r="Q951" s="338"/>
      <c r="R951" s="338"/>
      <c r="S951" s="338"/>
      <c r="T951" s="338"/>
      <c r="U951" s="338"/>
      <c r="V951" s="338"/>
      <c r="W951" s="338"/>
      <c r="X951" s="338"/>
      <c r="Y951" s="338"/>
      <c r="Z951" s="338"/>
    </row>
    <row r="952" ht="22.5" customHeight="1">
      <c r="A952" s="528"/>
      <c r="B952" s="528"/>
      <c r="C952" s="528"/>
      <c r="D952" s="528"/>
      <c r="E952" s="528"/>
      <c r="F952" s="535"/>
      <c r="G952" s="536"/>
      <c r="H952" s="338"/>
      <c r="I952" s="338"/>
      <c r="J952" s="536"/>
      <c r="K952" s="338"/>
      <c r="L952" s="338"/>
      <c r="M952" s="338"/>
      <c r="N952" s="338"/>
      <c r="O952" s="338"/>
      <c r="P952" s="338"/>
      <c r="Q952" s="338"/>
      <c r="R952" s="338"/>
      <c r="S952" s="338"/>
      <c r="T952" s="338"/>
      <c r="U952" s="338"/>
      <c r="V952" s="338"/>
      <c r="W952" s="338"/>
      <c r="X952" s="338"/>
      <c r="Y952" s="338"/>
      <c r="Z952" s="338"/>
    </row>
    <row r="953" ht="22.5" customHeight="1">
      <c r="A953" s="528"/>
      <c r="B953" s="528"/>
      <c r="C953" s="528"/>
      <c r="D953" s="528"/>
      <c r="E953" s="528"/>
      <c r="F953" s="535"/>
      <c r="G953" s="536"/>
      <c r="H953" s="338"/>
      <c r="I953" s="338"/>
      <c r="J953" s="536"/>
      <c r="K953" s="338"/>
      <c r="L953" s="338"/>
      <c r="M953" s="338"/>
      <c r="N953" s="338"/>
      <c r="O953" s="338"/>
      <c r="P953" s="338"/>
      <c r="Q953" s="338"/>
      <c r="R953" s="338"/>
      <c r="S953" s="338"/>
      <c r="T953" s="338"/>
      <c r="U953" s="338"/>
      <c r="V953" s="338"/>
      <c r="W953" s="338"/>
      <c r="X953" s="338"/>
      <c r="Y953" s="338"/>
      <c r="Z953" s="338"/>
    </row>
    <row r="954" ht="22.5" customHeight="1">
      <c r="A954" s="528"/>
      <c r="B954" s="528"/>
      <c r="C954" s="528"/>
      <c r="D954" s="528"/>
      <c r="E954" s="528"/>
      <c r="F954" s="535"/>
      <c r="G954" s="536"/>
      <c r="H954" s="338"/>
      <c r="I954" s="338"/>
      <c r="J954" s="536"/>
      <c r="K954" s="338"/>
      <c r="L954" s="338"/>
      <c r="M954" s="338"/>
      <c r="N954" s="338"/>
      <c r="O954" s="338"/>
      <c r="P954" s="338"/>
      <c r="Q954" s="338"/>
      <c r="R954" s="338"/>
      <c r="S954" s="338"/>
      <c r="T954" s="338"/>
      <c r="U954" s="338"/>
      <c r="V954" s="338"/>
      <c r="W954" s="338"/>
      <c r="X954" s="338"/>
      <c r="Y954" s="338"/>
      <c r="Z954" s="338"/>
    </row>
    <row r="955" ht="22.5" customHeight="1">
      <c r="A955" s="528"/>
      <c r="B955" s="528"/>
      <c r="C955" s="528"/>
      <c r="D955" s="528"/>
      <c r="E955" s="528"/>
      <c r="F955" s="535"/>
      <c r="G955" s="536"/>
      <c r="H955" s="338"/>
      <c r="I955" s="338"/>
      <c r="J955" s="536"/>
      <c r="K955" s="338"/>
      <c r="L955" s="338"/>
      <c r="M955" s="338"/>
      <c r="N955" s="338"/>
      <c r="O955" s="338"/>
      <c r="P955" s="338"/>
      <c r="Q955" s="338"/>
      <c r="R955" s="338"/>
      <c r="S955" s="338"/>
      <c r="T955" s="338"/>
      <c r="U955" s="338"/>
      <c r="V955" s="338"/>
      <c r="W955" s="338"/>
      <c r="X955" s="338"/>
      <c r="Y955" s="338"/>
      <c r="Z955" s="338"/>
    </row>
    <row r="956" ht="22.5" customHeight="1">
      <c r="A956" s="528"/>
      <c r="B956" s="528"/>
      <c r="C956" s="528"/>
      <c r="D956" s="528"/>
      <c r="E956" s="528"/>
      <c r="F956" s="535"/>
      <c r="G956" s="536"/>
      <c r="H956" s="338"/>
      <c r="I956" s="338"/>
      <c r="J956" s="536"/>
      <c r="K956" s="338"/>
      <c r="L956" s="338"/>
      <c r="M956" s="338"/>
      <c r="N956" s="338"/>
      <c r="O956" s="338"/>
      <c r="P956" s="338"/>
      <c r="Q956" s="338"/>
      <c r="R956" s="338"/>
      <c r="S956" s="338"/>
      <c r="T956" s="338"/>
      <c r="U956" s="338"/>
      <c r="V956" s="338"/>
      <c r="W956" s="338"/>
      <c r="X956" s="338"/>
      <c r="Y956" s="338"/>
      <c r="Z956" s="338"/>
    </row>
    <row r="957" ht="22.5" customHeight="1">
      <c r="A957" s="528"/>
      <c r="B957" s="528"/>
      <c r="C957" s="528"/>
      <c r="D957" s="528"/>
      <c r="E957" s="528"/>
      <c r="F957" s="535"/>
      <c r="G957" s="536"/>
      <c r="H957" s="338"/>
      <c r="I957" s="338"/>
      <c r="J957" s="536"/>
      <c r="K957" s="338"/>
      <c r="L957" s="338"/>
      <c r="M957" s="338"/>
      <c r="N957" s="338"/>
      <c r="O957" s="338"/>
      <c r="P957" s="338"/>
      <c r="Q957" s="338"/>
      <c r="R957" s="338"/>
      <c r="S957" s="338"/>
      <c r="T957" s="338"/>
      <c r="U957" s="338"/>
      <c r="V957" s="338"/>
      <c r="W957" s="338"/>
      <c r="X957" s="338"/>
      <c r="Y957" s="338"/>
      <c r="Z957" s="338"/>
    </row>
    <row r="958" ht="22.5" customHeight="1">
      <c r="A958" s="528"/>
      <c r="B958" s="528"/>
      <c r="C958" s="528"/>
      <c r="D958" s="528"/>
      <c r="E958" s="528"/>
      <c r="F958" s="535"/>
      <c r="G958" s="536"/>
      <c r="H958" s="338"/>
      <c r="I958" s="338"/>
      <c r="J958" s="536"/>
      <c r="K958" s="338"/>
      <c r="L958" s="338"/>
      <c r="M958" s="338"/>
      <c r="N958" s="338"/>
      <c r="O958" s="338"/>
      <c r="P958" s="338"/>
      <c r="Q958" s="338"/>
      <c r="R958" s="338"/>
      <c r="S958" s="338"/>
      <c r="T958" s="338"/>
      <c r="U958" s="338"/>
      <c r="V958" s="338"/>
      <c r="W958" s="338"/>
      <c r="X958" s="338"/>
      <c r="Y958" s="338"/>
      <c r="Z958" s="338"/>
    </row>
    <row r="959" ht="22.5" customHeight="1">
      <c r="A959" s="528"/>
      <c r="B959" s="528"/>
      <c r="C959" s="528"/>
      <c r="D959" s="528"/>
      <c r="E959" s="528"/>
      <c r="F959" s="535"/>
      <c r="G959" s="536"/>
      <c r="H959" s="338"/>
      <c r="I959" s="338"/>
      <c r="J959" s="536"/>
      <c r="K959" s="338"/>
      <c r="L959" s="338"/>
      <c r="M959" s="338"/>
      <c r="N959" s="338"/>
      <c r="O959" s="338"/>
      <c r="P959" s="338"/>
      <c r="Q959" s="338"/>
      <c r="R959" s="338"/>
      <c r="S959" s="338"/>
      <c r="T959" s="338"/>
      <c r="U959" s="338"/>
      <c r="V959" s="338"/>
      <c r="W959" s="338"/>
      <c r="X959" s="338"/>
      <c r="Y959" s="338"/>
      <c r="Z959" s="338"/>
    </row>
    <row r="960" ht="22.5" customHeight="1">
      <c r="A960" s="528"/>
      <c r="B960" s="528"/>
      <c r="C960" s="528"/>
      <c r="D960" s="528"/>
      <c r="E960" s="528"/>
      <c r="F960" s="535"/>
      <c r="G960" s="536"/>
      <c r="H960" s="338"/>
      <c r="I960" s="338"/>
      <c r="J960" s="536"/>
      <c r="K960" s="338"/>
      <c r="L960" s="338"/>
      <c r="M960" s="338"/>
      <c r="N960" s="338"/>
      <c r="O960" s="338"/>
      <c r="P960" s="338"/>
      <c r="Q960" s="338"/>
      <c r="R960" s="338"/>
      <c r="S960" s="338"/>
      <c r="T960" s="338"/>
      <c r="U960" s="338"/>
      <c r="V960" s="338"/>
      <c r="W960" s="338"/>
      <c r="X960" s="338"/>
      <c r="Y960" s="338"/>
      <c r="Z960" s="338"/>
    </row>
    <row r="961" ht="22.5" customHeight="1">
      <c r="A961" s="528"/>
      <c r="B961" s="528"/>
      <c r="C961" s="528"/>
      <c r="D961" s="528"/>
      <c r="E961" s="528"/>
      <c r="F961" s="535"/>
      <c r="G961" s="536"/>
      <c r="H961" s="338"/>
      <c r="I961" s="338"/>
      <c r="J961" s="536"/>
      <c r="K961" s="338"/>
      <c r="L961" s="338"/>
      <c r="M961" s="338"/>
      <c r="N961" s="338"/>
      <c r="O961" s="338"/>
      <c r="P961" s="338"/>
      <c r="Q961" s="338"/>
      <c r="R961" s="338"/>
      <c r="S961" s="338"/>
      <c r="T961" s="338"/>
      <c r="U961" s="338"/>
      <c r="V961" s="338"/>
      <c r="W961" s="338"/>
      <c r="X961" s="338"/>
      <c r="Y961" s="338"/>
      <c r="Z961" s="338"/>
    </row>
    <row r="962" ht="22.5" customHeight="1">
      <c r="A962" s="528"/>
      <c r="B962" s="528"/>
      <c r="C962" s="528"/>
      <c r="D962" s="528"/>
      <c r="E962" s="528"/>
      <c r="F962" s="535"/>
      <c r="G962" s="536"/>
      <c r="H962" s="338"/>
      <c r="I962" s="338"/>
      <c r="J962" s="536"/>
      <c r="K962" s="338"/>
      <c r="L962" s="338"/>
      <c r="M962" s="338"/>
      <c r="N962" s="338"/>
      <c r="O962" s="338"/>
      <c r="P962" s="338"/>
      <c r="Q962" s="338"/>
      <c r="R962" s="338"/>
      <c r="S962" s="338"/>
      <c r="T962" s="338"/>
      <c r="U962" s="338"/>
      <c r="V962" s="338"/>
      <c r="W962" s="338"/>
      <c r="X962" s="338"/>
      <c r="Y962" s="338"/>
      <c r="Z962" s="338"/>
    </row>
    <row r="963" ht="22.5" customHeight="1">
      <c r="A963" s="528"/>
      <c r="B963" s="528"/>
      <c r="C963" s="528"/>
      <c r="D963" s="528"/>
      <c r="E963" s="528"/>
      <c r="F963" s="535"/>
      <c r="G963" s="536"/>
      <c r="H963" s="338"/>
      <c r="I963" s="338"/>
      <c r="J963" s="536"/>
      <c r="K963" s="338"/>
      <c r="L963" s="338"/>
      <c r="M963" s="338"/>
      <c r="N963" s="338"/>
      <c r="O963" s="338"/>
      <c r="P963" s="338"/>
      <c r="Q963" s="338"/>
      <c r="R963" s="338"/>
      <c r="S963" s="338"/>
      <c r="T963" s="338"/>
      <c r="U963" s="338"/>
      <c r="V963" s="338"/>
      <c r="W963" s="338"/>
      <c r="X963" s="338"/>
      <c r="Y963" s="338"/>
      <c r="Z963" s="338"/>
    </row>
    <row r="964" ht="22.5" customHeight="1">
      <c r="A964" s="528"/>
      <c r="B964" s="528"/>
      <c r="C964" s="528"/>
      <c r="D964" s="528"/>
      <c r="E964" s="528"/>
      <c r="F964" s="535"/>
      <c r="G964" s="536"/>
      <c r="H964" s="338"/>
      <c r="I964" s="338"/>
      <c r="J964" s="536"/>
      <c r="K964" s="338"/>
      <c r="L964" s="338"/>
      <c r="M964" s="338"/>
      <c r="N964" s="338"/>
      <c r="O964" s="338"/>
      <c r="P964" s="338"/>
      <c r="Q964" s="338"/>
      <c r="R964" s="338"/>
      <c r="S964" s="338"/>
      <c r="T964" s="338"/>
      <c r="U964" s="338"/>
      <c r="V964" s="338"/>
      <c r="W964" s="338"/>
      <c r="X964" s="338"/>
      <c r="Y964" s="338"/>
      <c r="Z964" s="338"/>
    </row>
    <row r="965" ht="22.5" customHeight="1">
      <c r="A965" s="528"/>
      <c r="B965" s="528"/>
      <c r="C965" s="528"/>
      <c r="D965" s="528"/>
      <c r="E965" s="528"/>
      <c r="F965" s="535"/>
      <c r="G965" s="536"/>
      <c r="H965" s="338"/>
      <c r="I965" s="338"/>
      <c r="J965" s="536"/>
      <c r="K965" s="338"/>
      <c r="L965" s="338"/>
      <c r="M965" s="338"/>
      <c r="N965" s="338"/>
      <c r="O965" s="338"/>
      <c r="P965" s="338"/>
      <c r="Q965" s="338"/>
      <c r="R965" s="338"/>
      <c r="S965" s="338"/>
      <c r="T965" s="338"/>
      <c r="U965" s="338"/>
      <c r="V965" s="338"/>
      <c r="W965" s="338"/>
      <c r="X965" s="338"/>
      <c r="Y965" s="338"/>
      <c r="Z965" s="338"/>
    </row>
    <row r="966" ht="22.5" customHeight="1">
      <c r="A966" s="528"/>
      <c r="B966" s="528"/>
      <c r="C966" s="528"/>
      <c r="D966" s="528"/>
      <c r="E966" s="528"/>
      <c r="F966" s="535"/>
      <c r="G966" s="536"/>
      <c r="H966" s="338"/>
      <c r="I966" s="338"/>
      <c r="J966" s="536"/>
      <c r="K966" s="338"/>
      <c r="L966" s="338"/>
      <c r="M966" s="338"/>
      <c r="N966" s="338"/>
      <c r="O966" s="338"/>
      <c r="P966" s="338"/>
      <c r="Q966" s="338"/>
      <c r="R966" s="338"/>
      <c r="S966" s="338"/>
      <c r="T966" s="338"/>
      <c r="U966" s="338"/>
      <c r="V966" s="338"/>
      <c r="W966" s="338"/>
      <c r="X966" s="338"/>
      <c r="Y966" s="338"/>
      <c r="Z966" s="338"/>
    </row>
    <row r="967" ht="22.5" customHeight="1">
      <c r="A967" s="528"/>
      <c r="B967" s="528"/>
      <c r="C967" s="528"/>
      <c r="D967" s="528"/>
      <c r="E967" s="528"/>
      <c r="F967" s="535"/>
      <c r="G967" s="536"/>
      <c r="H967" s="338"/>
      <c r="I967" s="338"/>
      <c r="J967" s="536"/>
      <c r="K967" s="338"/>
      <c r="L967" s="338"/>
      <c r="M967" s="338"/>
      <c r="N967" s="338"/>
      <c r="O967" s="338"/>
      <c r="P967" s="338"/>
      <c r="Q967" s="338"/>
      <c r="R967" s="338"/>
      <c r="S967" s="338"/>
      <c r="T967" s="338"/>
      <c r="U967" s="338"/>
      <c r="V967" s="338"/>
      <c r="W967" s="338"/>
      <c r="X967" s="338"/>
      <c r="Y967" s="338"/>
      <c r="Z967" s="338"/>
    </row>
    <row r="968" ht="22.5" customHeight="1">
      <c r="A968" s="528"/>
      <c r="B968" s="528"/>
      <c r="C968" s="528"/>
      <c r="D968" s="528"/>
      <c r="E968" s="528"/>
      <c r="F968" s="535"/>
      <c r="G968" s="536"/>
      <c r="H968" s="338"/>
      <c r="I968" s="338"/>
      <c r="J968" s="536"/>
      <c r="K968" s="338"/>
      <c r="L968" s="338"/>
      <c r="M968" s="338"/>
      <c r="N968" s="338"/>
      <c r="O968" s="338"/>
      <c r="P968" s="338"/>
      <c r="Q968" s="338"/>
      <c r="R968" s="338"/>
      <c r="S968" s="338"/>
      <c r="T968" s="338"/>
      <c r="U968" s="338"/>
      <c r="V968" s="338"/>
      <c r="W968" s="338"/>
      <c r="X968" s="338"/>
      <c r="Y968" s="338"/>
      <c r="Z968" s="338"/>
    </row>
    <row r="969" ht="22.5" customHeight="1">
      <c r="A969" s="528"/>
      <c r="B969" s="528"/>
      <c r="C969" s="528"/>
      <c r="D969" s="528"/>
      <c r="E969" s="528"/>
      <c r="F969" s="535"/>
      <c r="G969" s="536"/>
      <c r="H969" s="338"/>
      <c r="I969" s="338"/>
      <c r="J969" s="536"/>
      <c r="K969" s="338"/>
      <c r="L969" s="338"/>
      <c r="M969" s="338"/>
      <c r="N969" s="338"/>
      <c r="O969" s="338"/>
      <c r="P969" s="338"/>
      <c r="Q969" s="338"/>
      <c r="R969" s="338"/>
      <c r="S969" s="338"/>
      <c r="T969" s="338"/>
      <c r="U969" s="338"/>
      <c r="V969" s="338"/>
      <c r="W969" s="338"/>
      <c r="X969" s="338"/>
      <c r="Y969" s="338"/>
      <c r="Z969" s="338"/>
    </row>
    <row r="970" ht="22.5" customHeight="1">
      <c r="A970" s="528"/>
      <c r="B970" s="528"/>
      <c r="C970" s="528"/>
      <c r="D970" s="528"/>
      <c r="E970" s="528"/>
      <c r="F970" s="535"/>
      <c r="G970" s="536"/>
      <c r="H970" s="338"/>
      <c r="I970" s="338"/>
      <c r="J970" s="536"/>
      <c r="K970" s="338"/>
      <c r="L970" s="338"/>
      <c r="M970" s="338"/>
      <c r="N970" s="338"/>
      <c r="O970" s="338"/>
      <c r="P970" s="338"/>
      <c r="Q970" s="338"/>
      <c r="R970" s="338"/>
      <c r="S970" s="338"/>
      <c r="T970" s="338"/>
      <c r="U970" s="338"/>
      <c r="V970" s="338"/>
      <c r="W970" s="338"/>
      <c r="X970" s="338"/>
      <c r="Y970" s="338"/>
      <c r="Z970" s="338"/>
    </row>
    <row r="971" ht="22.5" customHeight="1">
      <c r="A971" s="528"/>
      <c r="B971" s="528"/>
      <c r="C971" s="528"/>
      <c r="D971" s="528"/>
      <c r="E971" s="528"/>
      <c r="F971" s="535"/>
      <c r="G971" s="536"/>
      <c r="H971" s="338"/>
      <c r="I971" s="338"/>
      <c r="J971" s="536"/>
      <c r="K971" s="338"/>
      <c r="L971" s="338"/>
      <c r="M971" s="338"/>
      <c r="N971" s="338"/>
      <c r="O971" s="338"/>
      <c r="P971" s="338"/>
      <c r="Q971" s="338"/>
      <c r="R971" s="338"/>
      <c r="S971" s="338"/>
      <c r="T971" s="338"/>
      <c r="U971" s="338"/>
      <c r="V971" s="338"/>
      <c r="W971" s="338"/>
      <c r="X971" s="338"/>
      <c r="Y971" s="338"/>
      <c r="Z971" s="338"/>
    </row>
    <row r="972" ht="22.5" customHeight="1">
      <c r="A972" s="528"/>
      <c r="B972" s="528"/>
      <c r="C972" s="528"/>
      <c r="D972" s="528"/>
      <c r="E972" s="528"/>
      <c r="F972" s="535"/>
      <c r="G972" s="536"/>
      <c r="H972" s="338"/>
      <c r="I972" s="338"/>
      <c r="J972" s="536"/>
      <c r="K972" s="338"/>
      <c r="L972" s="338"/>
      <c r="M972" s="338"/>
      <c r="N972" s="338"/>
      <c r="O972" s="338"/>
      <c r="P972" s="338"/>
      <c r="Q972" s="338"/>
      <c r="R972" s="338"/>
      <c r="S972" s="338"/>
      <c r="T972" s="338"/>
      <c r="U972" s="338"/>
      <c r="V972" s="338"/>
      <c r="W972" s="338"/>
      <c r="X972" s="338"/>
      <c r="Y972" s="338"/>
      <c r="Z972" s="338"/>
    </row>
    <row r="973" ht="22.5" customHeight="1">
      <c r="A973" s="528"/>
      <c r="B973" s="528"/>
      <c r="C973" s="528"/>
      <c r="D973" s="528"/>
      <c r="E973" s="528"/>
      <c r="F973" s="535"/>
      <c r="G973" s="536"/>
      <c r="H973" s="338"/>
      <c r="I973" s="338"/>
      <c r="J973" s="536"/>
      <c r="K973" s="338"/>
      <c r="L973" s="338"/>
      <c r="M973" s="338"/>
      <c r="N973" s="338"/>
      <c r="O973" s="338"/>
      <c r="P973" s="338"/>
      <c r="Q973" s="338"/>
      <c r="R973" s="338"/>
      <c r="S973" s="338"/>
      <c r="T973" s="338"/>
      <c r="U973" s="338"/>
      <c r="V973" s="338"/>
      <c r="W973" s="338"/>
      <c r="X973" s="338"/>
      <c r="Y973" s="338"/>
      <c r="Z973" s="338"/>
    </row>
    <row r="974" ht="22.5" customHeight="1">
      <c r="A974" s="528"/>
      <c r="B974" s="528"/>
      <c r="C974" s="528"/>
      <c r="D974" s="528"/>
      <c r="E974" s="528"/>
      <c r="F974" s="535"/>
      <c r="G974" s="536"/>
      <c r="H974" s="338"/>
      <c r="I974" s="338"/>
      <c r="J974" s="536"/>
      <c r="K974" s="338"/>
      <c r="L974" s="338"/>
      <c r="M974" s="338"/>
      <c r="N974" s="338"/>
      <c r="O974" s="338"/>
      <c r="P974" s="338"/>
      <c r="Q974" s="338"/>
      <c r="R974" s="338"/>
      <c r="S974" s="338"/>
      <c r="T974" s="338"/>
      <c r="U974" s="338"/>
      <c r="V974" s="338"/>
      <c r="W974" s="338"/>
      <c r="X974" s="338"/>
      <c r="Y974" s="338"/>
      <c r="Z974" s="338"/>
    </row>
    <row r="975" ht="22.5" customHeight="1">
      <c r="A975" s="528"/>
      <c r="B975" s="528"/>
      <c r="C975" s="528"/>
      <c r="D975" s="528"/>
      <c r="E975" s="528"/>
      <c r="F975" s="535"/>
      <c r="G975" s="536"/>
      <c r="H975" s="338"/>
      <c r="I975" s="338"/>
      <c r="J975" s="536"/>
      <c r="K975" s="338"/>
      <c r="L975" s="338"/>
      <c r="M975" s="338"/>
      <c r="N975" s="338"/>
      <c r="O975" s="338"/>
      <c r="P975" s="338"/>
      <c r="Q975" s="338"/>
      <c r="R975" s="338"/>
      <c r="S975" s="338"/>
      <c r="T975" s="338"/>
      <c r="U975" s="338"/>
      <c r="V975" s="338"/>
      <c r="W975" s="338"/>
      <c r="X975" s="338"/>
      <c r="Y975" s="338"/>
      <c r="Z975" s="338"/>
    </row>
    <row r="976" ht="22.5" customHeight="1">
      <c r="A976" s="528"/>
      <c r="B976" s="528"/>
      <c r="C976" s="528"/>
      <c r="D976" s="528"/>
      <c r="E976" s="528"/>
      <c r="F976" s="535"/>
      <c r="G976" s="536"/>
      <c r="H976" s="338"/>
      <c r="I976" s="338"/>
      <c r="J976" s="536"/>
      <c r="K976" s="338"/>
      <c r="L976" s="338"/>
      <c r="M976" s="338"/>
      <c r="N976" s="338"/>
      <c r="O976" s="338"/>
      <c r="P976" s="338"/>
      <c r="Q976" s="338"/>
      <c r="R976" s="338"/>
      <c r="S976" s="338"/>
      <c r="T976" s="338"/>
      <c r="U976" s="338"/>
      <c r="V976" s="338"/>
      <c r="W976" s="338"/>
      <c r="X976" s="338"/>
      <c r="Y976" s="338"/>
      <c r="Z976" s="338"/>
    </row>
    <row r="977" ht="22.5" customHeight="1">
      <c r="A977" s="528"/>
      <c r="B977" s="528"/>
      <c r="C977" s="528"/>
      <c r="D977" s="528"/>
      <c r="E977" s="528"/>
      <c r="F977" s="535"/>
      <c r="G977" s="536"/>
      <c r="H977" s="338"/>
      <c r="I977" s="338"/>
      <c r="J977" s="536"/>
      <c r="K977" s="338"/>
      <c r="L977" s="338"/>
      <c r="M977" s="338"/>
      <c r="N977" s="338"/>
      <c r="O977" s="338"/>
      <c r="P977" s="338"/>
      <c r="Q977" s="338"/>
      <c r="R977" s="338"/>
      <c r="S977" s="338"/>
      <c r="T977" s="338"/>
      <c r="U977" s="338"/>
      <c r="V977" s="338"/>
      <c r="W977" s="338"/>
      <c r="X977" s="338"/>
      <c r="Y977" s="338"/>
      <c r="Z977" s="338"/>
    </row>
    <row r="978" ht="22.5" customHeight="1">
      <c r="A978" s="528"/>
      <c r="B978" s="528"/>
      <c r="C978" s="528"/>
      <c r="D978" s="528"/>
      <c r="E978" s="528"/>
      <c r="F978" s="535"/>
      <c r="G978" s="536"/>
      <c r="H978" s="338"/>
      <c r="I978" s="338"/>
      <c r="J978" s="536"/>
      <c r="K978" s="338"/>
      <c r="L978" s="338"/>
      <c r="M978" s="338"/>
      <c r="N978" s="338"/>
      <c r="O978" s="338"/>
      <c r="P978" s="338"/>
      <c r="Q978" s="338"/>
      <c r="R978" s="338"/>
      <c r="S978" s="338"/>
      <c r="T978" s="338"/>
      <c r="U978" s="338"/>
      <c r="V978" s="338"/>
      <c r="W978" s="338"/>
      <c r="X978" s="338"/>
      <c r="Y978" s="338"/>
      <c r="Z978" s="338"/>
    </row>
    <row r="979" ht="22.5" customHeight="1">
      <c r="A979" s="528"/>
      <c r="B979" s="528"/>
      <c r="C979" s="528"/>
      <c r="D979" s="528"/>
      <c r="E979" s="528"/>
      <c r="F979" s="535"/>
      <c r="G979" s="536"/>
      <c r="H979" s="338"/>
      <c r="I979" s="338"/>
      <c r="J979" s="536"/>
      <c r="K979" s="338"/>
      <c r="L979" s="338"/>
      <c r="M979" s="338"/>
      <c r="N979" s="338"/>
      <c r="O979" s="338"/>
      <c r="P979" s="338"/>
      <c r="Q979" s="338"/>
      <c r="R979" s="338"/>
      <c r="S979" s="338"/>
      <c r="T979" s="338"/>
      <c r="U979" s="338"/>
      <c r="V979" s="338"/>
      <c r="W979" s="338"/>
      <c r="X979" s="338"/>
      <c r="Y979" s="338"/>
      <c r="Z979" s="338"/>
    </row>
    <row r="980" ht="22.5" customHeight="1">
      <c r="A980" s="528"/>
      <c r="B980" s="528"/>
      <c r="C980" s="528"/>
      <c r="D980" s="528"/>
      <c r="E980" s="528"/>
      <c r="F980" s="535"/>
      <c r="G980" s="536"/>
      <c r="H980" s="338"/>
      <c r="I980" s="338"/>
      <c r="J980" s="536"/>
      <c r="K980" s="338"/>
      <c r="L980" s="338"/>
      <c r="M980" s="338"/>
      <c r="N980" s="338"/>
      <c r="O980" s="338"/>
      <c r="P980" s="338"/>
      <c r="Q980" s="338"/>
      <c r="R980" s="338"/>
      <c r="S980" s="338"/>
      <c r="T980" s="338"/>
      <c r="U980" s="338"/>
      <c r="V980" s="338"/>
      <c r="W980" s="338"/>
      <c r="X980" s="338"/>
      <c r="Y980" s="338"/>
      <c r="Z980" s="338"/>
    </row>
    <row r="981" ht="22.5" customHeight="1">
      <c r="A981" s="528"/>
      <c r="B981" s="528"/>
      <c r="C981" s="528"/>
      <c r="D981" s="528"/>
      <c r="E981" s="528"/>
      <c r="F981" s="535"/>
      <c r="G981" s="536"/>
      <c r="H981" s="338"/>
      <c r="I981" s="338"/>
      <c r="J981" s="536"/>
      <c r="K981" s="338"/>
      <c r="L981" s="338"/>
      <c r="M981" s="338"/>
      <c r="N981" s="338"/>
      <c r="O981" s="338"/>
      <c r="P981" s="338"/>
      <c r="Q981" s="338"/>
      <c r="R981" s="338"/>
      <c r="S981" s="338"/>
      <c r="T981" s="338"/>
      <c r="U981" s="338"/>
      <c r="V981" s="338"/>
      <c r="W981" s="338"/>
      <c r="X981" s="338"/>
      <c r="Y981" s="338"/>
      <c r="Z981" s="338"/>
    </row>
    <row r="982" ht="22.5" customHeight="1">
      <c r="A982" s="528"/>
      <c r="B982" s="528"/>
      <c r="C982" s="528"/>
      <c r="D982" s="528"/>
      <c r="E982" s="528"/>
      <c r="F982" s="535"/>
      <c r="G982" s="536"/>
      <c r="H982" s="338"/>
      <c r="I982" s="338"/>
      <c r="J982" s="536"/>
      <c r="K982" s="338"/>
      <c r="L982" s="338"/>
      <c r="M982" s="338"/>
      <c r="N982" s="338"/>
      <c r="O982" s="338"/>
      <c r="P982" s="338"/>
      <c r="Q982" s="338"/>
      <c r="R982" s="338"/>
      <c r="S982" s="338"/>
      <c r="T982" s="338"/>
      <c r="U982" s="338"/>
      <c r="V982" s="338"/>
      <c r="W982" s="338"/>
      <c r="X982" s="338"/>
      <c r="Y982" s="338"/>
      <c r="Z982" s="338"/>
    </row>
    <row r="983" ht="22.5" customHeight="1">
      <c r="A983" s="528"/>
      <c r="B983" s="528"/>
      <c r="C983" s="528"/>
      <c r="D983" s="528"/>
      <c r="E983" s="528"/>
      <c r="F983" s="535"/>
      <c r="G983" s="536"/>
      <c r="H983" s="338"/>
      <c r="I983" s="338"/>
      <c r="J983" s="536"/>
      <c r="K983" s="338"/>
      <c r="L983" s="338"/>
      <c r="M983" s="338"/>
      <c r="N983" s="338"/>
      <c r="O983" s="338"/>
      <c r="P983" s="338"/>
      <c r="Q983" s="338"/>
      <c r="R983" s="338"/>
      <c r="S983" s="338"/>
      <c r="T983" s="338"/>
      <c r="U983" s="338"/>
      <c r="V983" s="338"/>
      <c r="W983" s="338"/>
      <c r="X983" s="338"/>
      <c r="Y983" s="338"/>
      <c r="Z983" s="338"/>
    </row>
    <row r="984" ht="22.5" customHeight="1">
      <c r="A984" s="528"/>
      <c r="B984" s="528"/>
      <c r="C984" s="528"/>
      <c r="D984" s="528"/>
      <c r="E984" s="528"/>
      <c r="F984" s="535"/>
      <c r="G984" s="536"/>
      <c r="H984" s="338"/>
      <c r="I984" s="338"/>
      <c r="J984" s="536"/>
      <c r="K984" s="338"/>
      <c r="L984" s="338"/>
      <c r="M984" s="338"/>
      <c r="N984" s="338"/>
      <c r="O984" s="338"/>
      <c r="P984" s="338"/>
      <c r="Q984" s="338"/>
      <c r="R984" s="338"/>
      <c r="S984" s="338"/>
      <c r="T984" s="338"/>
      <c r="U984" s="338"/>
      <c r="V984" s="338"/>
      <c r="W984" s="338"/>
      <c r="X984" s="338"/>
      <c r="Y984" s="338"/>
      <c r="Z984" s="338"/>
    </row>
    <row r="985" ht="22.5" customHeight="1">
      <c r="A985" s="528"/>
      <c r="B985" s="528"/>
      <c r="C985" s="528"/>
      <c r="D985" s="528"/>
      <c r="E985" s="528"/>
      <c r="F985" s="535"/>
      <c r="G985" s="536"/>
      <c r="H985" s="338"/>
      <c r="I985" s="338"/>
      <c r="J985" s="536"/>
      <c r="K985" s="338"/>
      <c r="L985" s="338"/>
      <c r="M985" s="338"/>
      <c r="N985" s="338"/>
      <c r="O985" s="338"/>
      <c r="P985" s="338"/>
      <c r="Q985" s="338"/>
      <c r="R985" s="338"/>
      <c r="S985" s="338"/>
      <c r="T985" s="338"/>
      <c r="U985" s="338"/>
      <c r="V985" s="338"/>
      <c r="W985" s="338"/>
      <c r="X985" s="338"/>
      <c r="Y985" s="338"/>
      <c r="Z985" s="338"/>
    </row>
    <row r="986" ht="22.5" customHeight="1">
      <c r="A986" s="528"/>
      <c r="B986" s="528"/>
      <c r="C986" s="528"/>
      <c r="D986" s="528"/>
      <c r="E986" s="528"/>
      <c r="F986" s="535"/>
      <c r="G986" s="536"/>
      <c r="H986" s="338"/>
      <c r="I986" s="338"/>
      <c r="J986" s="536"/>
      <c r="K986" s="338"/>
      <c r="L986" s="338"/>
      <c r="M986" s="338"/>
      <c r="N986" s="338"/>
      <c r="O986" s="338"/>
      <c r="P986" s="338"/>
      <c r="Q986" s="338"/>
      <c r="R986" s="338"/>
      <c r="S986" s="338"/>
      <c r="T986" s="338"/>
      <c r="U986" s="338"/>
      <c r="V986" s="338"/>
      <c r="W986" s="338"/>
      <c r="X986" s="338"/>
      <c r="Y986" s="338"/>
      <c r="Z986" s="338"/>
    </row>
    <row r="987" ht="22.5" customHeight="1">
      <c r="A987" s="528"/>
      <c r="B987" s="528"/>
      <c r="C987" s="528"/>
      <c r="D987" s="528"/>
      <c r="E987" s="528"/>
      <c r="F987" s="535"/>
      <c r="G987" s="536"/>
      <c r="H987" s="338"/>
      <c r="I987" s="338"/>
      <c r="J987" s="536"/>
      <c r="K987" s="338"/>
      <c r="L987" s="338"/>
      <c r="M987" s="338"/>
      <c r="N987" s="338"/>
      <c r="O987" s="338"/>
      <c r="P987" s="338"/>
      <c r="Q987" s="338"/>
      <c r="R987" s="338"/>
      <c r="S987" s="338"/>
      <c r="T987" s="338"/>
      <c r="U987" s="338"/>
      <c r="V987" s="338"/>
      <c r="W987" s="338"/>
      <c r="X987" s="338"/>
      <c r="Y987" s="338"/>
      <c r="Z987" s="338"/>
    </row>
    <row r="988" ht="22.5" customHeight="1">
      <c r="A988" s="528"/>
      <c r="B988" s="528"/>
      <c r="C988" s="528"/>
      <c r="D988" s="528"/>
      <c r="E988" s="528"/>
      <c r="F988" s="535"/>
      <c r="G988" s="536"/>
      <c r="H988" s="338"/>
      <c r="I988" s="338"/>
      <c r="J988" s="536"/>
      <c r="K988" s="338"/>
      <c r="L988" s="338"/>
      <c r="M988" s="338"/>
      <c r="N988" s="338"/>
      <c r="O988" s="338"/>
      <c r="P988" s="338"/>
      <c r="Q988" s="338"/>
      <c r="R988" s="338"/>
      <c r="S988" s="338"/>
      <c r="T988" s="338"/>
      <c r="U988" s="338"/>
      <c r="V988" s="338"/>
      <c r="W988" s="338"/>
      <c r="X988" s="338"/>
      <c r="Y988" s="338"/>
      <c r="Z988" s="338"/>
    </row>
    <row r="989" ht="22.5" customHeight="1">
      <c r="A989" s="528"/>
      <c r="B989" s="528"/>
      <c r="C989" s="528"/>
      <c r="D989" s="528"/>
      <c r="E989" s="528"/>
      <c r="F989" s="535"/>
      <c r="G989" s="536"/>
      <c r="H989" s="338"/>
      <c r="I989" s="338"/>
      <c r="J989" s="536"/>
      <c r="K989" s="338"/>
      <c r="L989" s="338"/>
      <c r="M989" s="338"/>
      <c r="N989" s="338"/>
      <c r="O989" s="338"/>
      <c r="P989" s="338"/>
      <c r="Q989" s="338"/>
      <c r="R989" s="338"/>
      <c r="S989" s="338"/>
      <c r="T989" s="338"/>
      <c r="U989" s="338"/>
      <c r="V989" s="338"/>
      <c r="W989" s="338"/>
      <c r="X989" s="338"/>
      <c r="Y989" s="338"/>
      <c r="Z989" s="338"/>
    </row>
    <row r="990" ht="22.5" customHeight="1">
      <c r="A990" s="528"/>
      <c r="B990" s="528"/>
      <c r="C990" s="528"/>
      <c r="D990" s="528"/>
      <c r="E990" s="528"/>
      <c r="F990" s="535"/>
      <c r="G990" s="536"/>
      <c r="H990" s="338"/>
      <c r="I990" s="338"/>
      <c r="J990" s="536"/>
      <c r="K990" s="338"/>
      <c r="L990" s="338"/>
      <c r="M990" s="338"/>
      <c r="N990" s="338"/>
      <c r="O990" s="338"/>
      <c r="P990" s="338"/>
      <c r="Q990" s="338"/>
      <c r="R990" s="338"/>
      <c r="S990" s="338"/>
      <c r="T990" s="338"/>
      <c r="U990" s="338"/>
      <c r="V990" s="338"/>
      <c r="W990" s="338"/>
      <c r="X990" s="338"/>
      <c r="Y990" s="338"/>
      <c r="Z990" s="338"/>
    </row>
    <row r="991" ht="22.5" customHeight="1">
      <c r="A991" s="528"/>
      <c r="B991" s="528"/>
      <c r="C991" s="528"/>
      <c r="D991" s="528"/>
      <c r="E991" s="528"/>
      <c r="F991" s="535"/>
      <c r="G991" s="536"/>
      <c r="H991" s="338"/>
      <c r="I991" s="338"/>
      <c r="J991" s="536"/>
      <c r="K991" s="338"/>
      <c r="L991" s="338"/>
      <c r="M991" s="338"/>
      <c r="N991" s="338"/>
      <c r="O991" s="338"/>
      <c r="P991" s="338"/>
      <c r="Q991" s="338"/>
      <c r="R991" s="338"/>
      <c r="S991" s="338"/>
      <c r="T991" s="338"/>
      <c r="U991" s="338"/>
      <c r="V991" s="338"/>
      <c r="W991" s="338"/>
      <c r="X991" s="338"/>
      <c r="Y991" s="338"/>
      <c r="Z991" s="338"/>
    </row>
    <row r="992" ht="22.5" customHeight="1">
      <c r="A992" s="528"/>
      <c r="B992" s="528"/>
      <c r="C992" s="528"/>
      <c r="D992" s="528"/>
      <c r="E992" s="528"/>
      <c r="F992" s="535"/>
      <c r="G992" s="536"/>
      <c r="H992" s="338"/>
      <c r="I992" s="338"/>
      <c r="J992" s="536"/>
      <c r="K992" s="338"/>
      <c r="L992" s="338"/>
      <c r="M992" s="338"/>
      <c r="N992" s="338"/>
      <c r="O992" s="338"/>
      <c r="P992" s="338"/>
      <c r="Q992" s="338"/>
      <c r="R992" s="338"/>
      <c r="S992" s="338"/>
      <c r="T992" s="338"/>
      <c r="U992" s="338"/>
      <c r="V992" s="338"/>
      <c r="W992" s="338"/>
      <c r="X992" s="338"/>
      <c r="Y992" s="338"/>
      <c r="Z992" s="338"/>
    </row>
    <row r="993" ht="22.5" customHeight="1">
      <c r="A993" s="528"/>
      <c r="B993" s="528"/>
      <c r="C993" s="528"/>
      <c r="D993" s="528"/>
      <c r="E993" s="528"/>
      <c r="F993" s="535"/>
      <c r="G993" s="536"/>
      <c r="H993" s="338"/>
      <c r="I993" s="338"/>
      <c r="J993" s="536"/>
      <c r="K993" s="338"/>
      <c r="L993" s="338"/>
      <c r="M993" s="338"/>
      <c r="N993" s="338"/>
      <c r="O993" s="338"/>
      <c r="P993" s="338"/>
      <c r="Q993" s="338"/>
      <c r="R993" s="338"/>
      <c r="S993" s="338"/>
      <c r="T993" s="338"/>
      <c r="U993" s="338"/>
      <c r="V993" s="338"/>
      <c r="W993" s="338"/>
      <c r="X993" s="338"/>
      <c r="Y993" s="338"/>
      <c r="Z993" s="338"/>
    </row>
    <row r="994" ht="22.5" customHeight="1">
      <c r="A994" s="528"/>
      <c r="B994" s="528"/>
      <c r="C994" s="528"/>
      <c r="D994" s="528"/>
      <c r="E994" s="528"/>
      <c r="F994" s="535"/>
      <c r="G994" s="536"/>
      <c r="H994" s="338"/>
      <c r="I994" s="338"/>
      <c r="J994" s="536"/>
      <c r="K994" s="338"/>
      <c r="L994" s="338"/>
      <c r="M994" s="338"/>
      <c r="N994" s="338"/>
      <c r="O994" s="338"/>
      <c r="P994" s="338"/>
      <c r="Q994" s="338"/>
      <c r="R994" s="338"/>
      <c r="S994" s="338"/>
      <c r="T994" s="338"/>
      <c r="U994" s="338"/>
      <c r="V994" s="338"/>
      <c r="W994" s="338"/>
      <c r="X994" s="338"/>
      <c r="Y994" s="338"/>
      <c r="Z994" s="338"/>
    </row>
    <row r="995" ht="22.5" customHeight="1">
      <c r="A995" s="528"/>
      <c r="B995" s="528"/>
      <c r="C995" s="528"/>
      <c r="D995" s="528"/>
      <c r="E995" s="528"/>
      <c r="F995" s="535"/>
      <c r="G995" s="536"/>
      <c r="H995" s="338"/>
      <c r="I995" s="338"/>
      <c r="J995" s="536"/>
      <c r="K995" s="338"/>
      <c r="L995" s="338"/>
      <c r="M995" s="338"/>
      <c r="N995" s="338"/>
      <c r="O995" s="338"/>
      <c r="P995" s="338"/>
      <c r="Q995" s="338"/>
      <c r="R995" s="338"/>
      <c r="S995" s="338"/>
      <c r="T995" s="338"/>
      <c r="U995" s="338"/>
      <c r="V995" s="338"/>
      <c r="W995" s="338"/>
      <c r="X995" s="338"/>
      <c r="Y995" s="338"/>
      <c r="Z995" s="338"/>
    </row>
    <row r="996" ht="22.5" customHeight="1">
      <c r="A996" s="528"/>
      <c r="B996" s="528"/>
      <c r="C996" s="528"/>
      <c r="D996" s="528"/>
      <c r="E996" s="528"/>
      <c r="F996" s="535"/>
      <c r="G996" s="536"/>
      <c r="H996" s="338"/>
      <c r="I996" s="338"/>
      <c r="J996" s="536"/>
      <c r="K996" s="338"/>
      <c r="L996" s="338"/>
      <c r="M996" s="338"/>
      <c r="N996" s="338"/>
      <c r="O996" s="338"/>
      <c r="P996" s="338"/>
      <c r="Q996" s="338"/>
      <c r="R996" s="338"/>
      <c r="S996" s="338"/>
      <c r="T996" s="338"/>
      <c r="U996" s="338"/>
      <c r="V996" s="338"/>
      <c r="W996" s="338"/>
      <c r="X996" s="338"/>
      <c r="Y996" s="338"/>
      <c r="Z996" s="338"/>
    </row>
    <row r="997" ht="22.5" customHeight="1">
      <c r="A997" s="528"/>
      <c r="B997" s="528"/>
      <c r="C997" s="528"/>
      <c r="D997" s="528"/>
      <c r="E997" s="528"/>
      <c r="F997" s="535"/>
      <c r="G997" s="536"/>
      <c r="H997" s="338"/>
      <c r="I997" s="338"/>
      <c r="J997" s="536"/>
      <c r="K997" s="338"/>
      <c r="L997" s="338"/>
      <c r="M997" s="338"/>
      <c r="N997" s="338"/>
      <c r="O997" s="338"/>
      <c r="P997" s="338"/>
      <c r="Q997" s="338"/>
      <c r="R997" s="338"/>
      <c r="S997" s="338"/>
      <c r="T997" s="338"/>
      <c r="U997" s="338"/>
      <c r="V997" s="338"/>
      <c r="W997" s="338"/>
      <c r="X997" s="338"/>
      <c r="Y997" s="338"/>
      <c r="Z997" s="338"/>
    </row>
    <row r="998" ht="22.5" customHeight="1">
      <c r="A998" s="528"/>
      <c r="B998" s="528"/>
      <c r="C998" s="528"/>
      <c r="D998" s="528"/>
      <c r="E998" s="528"/>
      <c r="F998" s="535"/>
      <c r="G998" s="536"/>
      <c r="H998" s="338"/>
      <c r="I998" s="338"/>
      <c r="J998" s="536"/>
      <c r="K998" s="338"/>
      <c r="L998" s="338"/>
      <c r="M998" s="338"/>
      <c r="N998" s="338"/>
      <c r="O998" s="338"/>
      <c r="P998" s="338"/>
      <c r="Q998" s="338"/>
      <c r="R998" s="338"/>
      <c r="S998" s="338"/>
      <c r="T998" s="338"/>
      <c r="U998" s="338"/>
      <c r="V998" s="338"/>
      <c r="W998" s="338"/>
      <c r="X998" s="338"/>
      <c r="Y998" s="338"/>
      <c r="Z998" s="338"/>
    </row>
    <row r="999" ht="22.5" customHeight="1">
      <c r="A999" s="528"/>
      <c r="B999" s="528"/>
      <c r="C999" s="528"/>
      <c r="D999" s="528"/>
      <c r="E999" s="528"/>
      <c r="F999" s="535"/>
      <c r="G999" s="536"/>
      <c r="H999" s="338"/>
      <c r="I999" s="338"/>
      <c r="J999" s="536"/>
      <c r="K999" s="338"/>
      <c r="L999" s="338"/>
      <c r="M999" s="338"/>
      <c r="N999" s="338"/>
      <c r="O999" s="338"/>
      <c r="P999" s="338"/>
      <c r="Q999" s="338"/>
      <c r="R999" s="338"/>
      <c r="S999" s="338"/>
      <c r="T999" s="338"/>
      <c r="U999" s="338"/>
      <c r="V999" s="338"/>
      <c r="W999" s="338"/>
      <c r="X999" s="338"/>
      <c r="Y999" s="338"/>
      <c r="Z999" s="338"/>
    </row>
    <row r="1000" ht="22.5" customHeight="1">
      <c r="A1000" s="528"/>
      <c r="B1000" s="528"/>
      <c r="C1000" s="528"/>
      <c r="D1000" s="528"/>
      <c r="E1000" s="528"/>
      <c r="F1000" s="535"/>
      <c r="G1000" s="536"/>
      <c r="H1000" s="338"/>
      <c r="I1000" s="338"/>
      <c r="J1000" s="536"/>
      <c r="K1000" s="338"/>
      <c r="L1000" s="338"/>
      <c r="M1000" s="338"/>
      <c r="N1000" s="338"/>
      <c r="O1000" s="338"/>
      <c r="P1000" s="338"/>
      <c r="Q1000" s="338"/>
      <c r="R1000" s="338"/>
      <c r="S1000" s="338"/>
      <c r="T1000" s="338"/>
      <c r="U1000" s="338"/>
      <c r="V1000" s="338"/>
      <c r="W1000" s="338"/>
      <c r="X1000" s="338"/>
      <c r="Y1000" s="338"/>
      <c r="Z1000" s="338"/>
    </row>
    <row r="1001" ht="22.5" customHeight="1">
      <c r="A1001" s="528"/>
      <c r="B1001" s="528"/>
      <c r="C1001" s="528"/>
      <c r="D1001" s="528"/>
      <c r="E1001" s="528"/>
      <c r="F1001" s="535"/>
      <c r="G1001" s="536"/>
      <c r="H1001" s="338"/>
      <c r="I1001" s="338"/>
      <c r="J1001" s="536"/>
      <c r="K1001" s="338"/>
      <c r="L1001" s="338"/>
      <c r="M1001" s="338"/>
      <c r="N1001" s="338"/>
      <c r="O1001" s="338"/>
      <c r="P1001" s="338"/>
      <c r="Q1001" s="338"/>
      <c r="R1001" s="338"/>
      <c r="S1001" s="338"/>
      <c r="T1001" s="338"/>
      <c r="U1001" s="338"/>
      <c r="V1001" s="338"/>
      <c r="W1001" s="338"/>
      <c r="X1001" s="338"/>
      <c r="Y1001" s="338"/>
      <c r="Z1001" s="338"/>
    </row>
    <row r="1002" ht="22.5" customHeight="1">
      <c r="A1002" s="528"/>
      <c r="B1002" s="528"/>
      <c r="C1002" s="528"/>
      <c r="D1002" s="528"/>
      <c r="E1002" s="528"/>
      <c r="F1002" s="535"/>
      <c r="G1002" s="536"/>
      <c r="H1002" s="338"/>
      <c r="I1002" s="338"/>
      <c r="J1002" s="536"/>
      <c r="K1002" s="338"/>
      <c r="L1002" s="338"/>
      <c r="M1002" s="338"/>
      <c r="N1002" s="338"/>
      <c r="O1002" s="338"/>
      <c r="P1002" s="338"/>
      <c r="Q1002" s="338"/>
      <c r="R1002" s="338"/>
      <c r="S1002" s="338"/>
      <c r="T1002" s="338"/>
      <c r="U1002" s="338"/>
      <c r="V1002" s="338"/>
      <c r="W1002" s="338"/>
      <c r="X1002" s="338"/>
      <c r="Y1002" s="338"/>
      <c r="Z1002" s="338"/>
    </row>
    <row r="1003" ht="22.5" customHeight="1">
      <c r="A1003" s="528"/>
      <c r="B1003" s="528"/>
      <c r="C1003" s="528"/>
      <c r="D1003" s="528"/>
      <c r="E1003" s="528"/>
      <c r="F1003" s="535"/>
      <c r="G1003" s="536"/>
      <c r="H1003" s="338"/>
      <c r="I1003" s="338"/>
      <c r="J1003" s="536"/>
      <c r="K1003" s="338"/>
      <c r="L1003" s="338"/>
      <c r="M1003" s="338"/>
      <c r="N1003" s="338"/>
      <c r="O1003" s="338"/>
      <c r="P1003" s="338"/>
      <c r="Q1003" s="338"/>
      <c r="R1003" s="338"/>
      <c r="S1003" s="338"/>
      <c r="T1003" s="338"/>
      <c r="U1003" s="338"/>
      <c r="V1003" s="338"/>
      <c r="W1003" s="338"/>
      <c r="X1003" s="338"/>
      <c r="Y1003" s="338"/>
      <c r="Z1003" s="338"/>
    </row>
    <row r="1004" ht="22.5" customHeight="1">
      <c r="A1004" s="528"/>
      <c r="B1004" s="528"/>
      <c r="C1004" s="528"/>
      <c r="D1004" s="528"/>
      <c r="E1004" s="528"/>
      <c r="F1004" s="535"/>
      <c r="G1004" s="536"/>
      <c r="H1004" s="338"/>
      <c r="I1004" s="338"/>
      <c r="J1004" s="536"/>
      <c r="K1004" s="338"/>
      <c r="L1004" s="338"/>
      <c r="M1004" s="338"/>
      <c r="N1004" s="338"/>
      <c r="O1004" s="338"/>
      <c r="P1004" s="338"/>
      <c r="Q1004" s="338"/>
      <c r="R1004" s="338"/>
      <c r="S1004" s="338"/>
      <c r="T1004" s="338"/>
      <c r="U1004" s="338"/>
      <c r="V1004" s="338"/>
      <c r="W1004" s="338"/>
      <c r="X1004" s="338"/>
      <c r="Y1004" s="338"/>
      <c r="Z1004" s="338"/>
    </row>
    <row r="1005" ht="22.5" customHeight="1">
      <c r="A1005" s="528"/>
      <c r="B1005" s="528"/>
      <c r="C1005" s="528"/>
      <c r="D1005" s="528"/>
      <c r="E1005" s="528"/>
      <c r="F1005" s="535"/>
      <c r="G1005" s="536"/>
      <c r="H1005" s="338"/>
      <c r="I1005" s="338"/>
      <c r="J1005" s="536"/>
      <c r="K1005" s="338"/>
      <c r="L1005" s="338"/>
      <c r="M1005" s="338"/>
      <c r="N1005" s="338"/>
      <c r="O1005" s="338"/>
      <c r="P1005" s="338"/>
      <c r="Q1005" s="338"/>
      <c r="R1005" s="338"/>
      <c r="S1005" s="338"/>
      <c r="T1005" s="338"/>
      <c r="U1005" s="338"/>
      <c r="V1005" s="338"/>
      <c r="W1005" s="338"/>
      <c r="X1005" s="338"/>
      <c r="Y1005" s="338"/>
      <c r="Z1005" s="338"/>
    </row>
    <row r="1006" ht="22.5" customHeight="1">
      <c r="A1006" s="528"/>
      <c r="B1006" s="528"/>
      <c r="C1006" s="528"/>
      <c r="D1006" s="528"/>
      <c r="E1006" s="528"/>
      <c r="F1006" s="535"/>
      <c r="G1006" s="536"/>
      <c r="H1006" s="338"/>
      <c r="I1006" s="338"/>
      <c r="J1006" s="536"/>
      <c r="K1006" s="338"/>
      <c r="L1006" s="338"/>
      <c r="M1006" s="338"/>
      <c r="N1006" s="338"/>
      <c r="O1006" s="338"/>
      <c r="P1006" s="338"/>
      <c r="Q1006" s="338"/>
      <c r="R1006" s="338"/>
      <c r="S1006" s="338"/>
      <c r="T1006" s="338"/>
      <c r="U1006" s="338"/>
      <c r="V1006" s="338"/>
      <c r="W1006" s="338"/>
      <c r="X1006" s="338"/>
      <c r="Y1006" s="338"/>
      <c r="Z1006" s="338"/>
    </row>
    <row r="1007" ht="22.5" customHeight="1">
      <c r="A1007" s="528"/>
      <c r="B1007" s="528"/>
      <c r="C1007" s="528"/>
      <c r="D1007" s="528"/>
      <c r="E1007" s="528"/>
      <c r="F1007" s="535"/>
      <c r="G1007" s="536"/>
      <c r="H1007" s="338"/>
      <c r="I1007" s="338"/>
      <c r="J1007" s="536"/>
      <c r="K1007" s="338"/>
      <c r="L1007" s="338"/>
      <c r="M1007" s="338"/>
      <c r="N1007" s="338"/>
      <c r="O1007" s="338"/>
      <c r="P1007" s="338"/>
      <c r="Q1007" s="338"/>
      <c r="R1007" s="338"/>
      <c r="S1007" s="338"/>
      <c r="T1007" s="338"/>
      <c r="U1007" s="338"/>
      <c r="V1007" s="338"/>
      <c r="W1007" s="338"/>
      <c r="X1007" s="338"/>
      <c r="Y1007" s="338"/>
      <c r="Z1007" s="338"/>
    </row>
    <row r="1008" ht="22.5" customHeight="1">
      <c r="A1008" s="528"/>
      <c r="B1008" s="528"/>
      <c r="C1008" s="528"/>
      <c r="D1008" s="528"/>
      <c r="E1008" s="528"/>
      <c r="F1008" s="535"/>
      <c r="G1008" s="536"/>
      <c r="H1008" s="338"/>
      <c r="I1008" s="338"/>
      <c r="J1008" s="536"/>
      <c r="K1008" s="338"/>
      <c r="L1008" s="338"/>
      <c r="M1008" s="338"/>
      <c r="N1008" s="338"/>
      <c r="O1008" s="338"/>
      <c r="P1008" s="338"/>
      <c r="Q1008" s="338"/>
      <c r="R1008" s="338"/>
      <c r="S1008" s="338"/>
      <c r="T1008" s="338"/>
      <c r="U1008" s="338"/>
      <c r="V1008" s="338"/>
      <c r="W1008" s="338"/>
      <c r="X1008" s="338"/>
      <c r="Y1008" s="338"/>
      <c r="Z1008" s="338"/>
    </row>
    <row r="1009" ht="22.5" customHeight="1">
      <c r="A1009" s="528"/>
      <c r="B1009" s="528"/>
      <c r="C1009" s="528"/>
      <c r="D1009" s="528"/>
      <c r="E1009" s="528"/>
      <c r="F1009" s="535"/>
      <c r="G1009" s="536"/>
      <c r="H1009" s="338"/>
      <c r="I1009" s="338"/>
      <c r="J1009" s="536"/>
      <c r="K1009" s="338"/>
      <c r="L1009" s="338"/>
      <c r="M1009" s="338"/>
      <c r="N1009" s="338"/>
      <c r="O1009" s="338"/>
      <c r="P1009" s="338"/>
      <c r="Q1009" s="338"/>
      <c r="R1009" s="338"/>
      <c r="S1009" s="338"/>
      <c r="T1009" s="338"/>
      <c r="U1009" s="338"/>
      <c r="V1009" s="338"/>
      <c r="W1009" s="338"/>
      <c r="X1009" s="338"/>
      <c r="Y1009" s="338"/>
      <c r="Z1009" s="338"/>
    </row>
    <row r="1010" ht="22.5" customHeight="1">
      <c r="A1010" s="528"/>
      <c r="B1010" s="528"/>
      <c r="C1010" s="528"/>
      <c r="D1010" s="528"/>
      <c r="E1010" s="528"/>
      <c r="F1010" s="535"/>
      <c r="G1010" s="536"/>
      <c r="H1010" s="338"/>
      <c r="I1010" s="338"/>
      <c r="J1010" s="536"/>
      <c r="K1010" s="338"/>
      <c r="L1010" s="338"/>
      <c r="M1010" s="338"/>
      <c r="N1010" s="338"/>
      <c r="O1010" s="338"/>
      <c r="P1010" s="338"/>
      <c r="Q1010" s="338"/>
      <c r="R1010" s="338"/>
      <c r="S1010" s="338"/>
      <c r="T1010" s="338"/>
      <c r="U1010" s="338"/>
      <c r="V1010" s="338"/>
      <c r="W1010" s="338"/>
      <c r="X1010" s="338"/>
      <c r="Y1010" s="338"/>
      <c r="Z1010" s="338"/>
    </row>
    <row r="1011" ht="22.5" customHeight="1">
      <c r="A1011" s="528"/>
      <c r="B1011" s="528"/>
      <c r="C1011" s="528"/>
      <c r="D1011" s="528"/>
      <c r="E1011" s="528"/>
      <c r="F1011" s="535"/>
      <c r="G1011" s="536"/>
      <c r="H1011" s="338"/>
      <c r="I1011" s="338"/>
      <c r="J1011" s="536"/>
      <c r="K1011" s="338"/>
      <c r="L1011" s="338"/>
      <c r="M1011" s="338"/>
      <c r="N1011" s="338"/>
      <c r="O1011" s="338"/>
      <c r="P1011" s="338"/>
      <c r="Q1011" s="338"/>
      <c r="R1011" s="338"/>
      <c r="S1011" s="338"/>
      <c r="T1011" s="338"/>
      <c r="U1011" s="338"/>
      <c r="V1011" s="338"/>
      <c r="W1011" s="338"/>
      <c r="X1011" s="338"/>
      <c r="Y1011" s="338"/>
      <c r="Z1011" s="338"/>
    </row>
    <row r="1012" ht="22.5" customHeight="1">
      <c r="A1012" s="528"/>
      <c r="B1012" s="528"/>
      <c r="C1012" s="528"/>
      <c r="D1012" s="528"/>
      <c r="E1012" s="528"/>
      <c r="F1012" s="535"/>
      <c r="G1012" s="536"/>
      <c r="H1012" s="338"/>
      <c r="I1012" s="338"/>
      <c r="J1012" s="536"/>
      <c r="K1012" s="338"/>
      <c r="L1012" s="338"/>
      <c r="M1012" s="338"/>
      <c r="N1012" s="338"/>
      <c r="O1012" s="338"/>
      <c r="P1012" s="338"/>
      <c r="Q1012" s="338"/>
      <c r="R1012" s="338"/>
      <c r="S1012" s="338"/>
      <c r="T1012" s="338"/>
      <c r="U1012" s="338"/>
      <c r="V1012" s="338"/>
      <c r="W1012" s="338"/>
      <c r="X1012" s="338"/>
      <c r="Y1012" s="338"/>
      <c r="Z1012" s="338"/>
    </row>
    <row r="1013" ht="22.5" customHeight="1">
      <c r="A1013" s="528"/>
      <c r="B1013" s="528"/>
      <c r="C1013" s="528"/>
      <c r="D1013" s="528"/>
      <c r="E1013" s="528"/>
      <c r="F1013" s="535"/>
      <c r="G1013" s="536"/>
      <c r="H1013" s="338"/>
      <c r="I1013" s="338"/>
      <c r="J1013" s="536"/>
      <c r="K1013" s="338"/>
      <c r="L1013" s="338"/>
      <c r="M1013" s="338"/>
      <c r="N1013" s="338"/>
      <c r="O1013" s="338"/>
      <c r="P1013" s="338"/>
      <c r="Q1013" s="338"/>
      <c r="R1013" s="338"/>
      <c r="S1013" s="338"/>
      <c r="T1013" s="338"/>
      <c r="U1013" s="338"/>
      <c r="V1013" s="338"/>
      <c r="W1013" s="338"/>
      <c r="X1013" s="338"/>
      <c r="Y1013" s="338"/>
      <c r="Z1013" s="338"/>
    </row>
    <row r="1014" ht="22.5" customHeight="1">
      <c r="A1014" s="528"/>
      <c r="B1014" s="528"/>
      <c r="C1014" s="528"/>
      <c r="D1014" s="528"/>
      <c r="E1014" s="528"/>
      <c r="F1014" s="535"/>
      <c r="G1014" s="536"/>
      <c r="H1014" s="338"/>
      <c r="I1014" s="338"/>
      <c r="J1014" s="536"/>
      <c r="K1014" s="338"/>
      <c r="L1014" s="338"/>
      <c r="M1014" s="338"/>
      <c r="N1014" s="338"/>
      <c r="O1014" s="338"/>
      <c r="P1014" s="338"/>
      <c r="Q1014" s="338"/>
      <c r="R1014" s="338"/>
      <c r="S1014" s="338"/>
      <c r="T1014" s="338"/>
      <c r="U1014" s="338"/>
      <c r="V1014" s="338"/>
      <c r="W1014" s="338"/>
      <c r="X1014" s="338"/>
      <c r="Y1014" s="338"/>
      <c r="Z1014" s="338"/>
    </row>
    <row r="1015" ht="22.5" customHeight="1">
      <c r="A1015" s="528"/>
      <c r="B1015" s="528"/>
      <c r="C1015" s="528"/>
      <c r="D1015" s="528"/>
      <c r="E1015" s="528"/>
      <c r="F1015" s="535"/>
      <c r="G1015" s="536"/>
      <c r="H1015" s="338"/>
      <c r="I1015" s="338"/>
      <c r="J1015" s="536"/>
      <c r="K1015" s="338"/>
      <c r="L1015" s="338"/>
      <c r="M1015" s="338"/>
      <c r="N1015" s="338"/>
      <c r="O1015" s="338"/>
      <c r="P1015" s="338"/>
      <c r="Q1015" s="338"/>
      <c r="R1015" s="338"/>
      <c r="S1015" s="338"/>
      <c r="T1015" s="338"/>
      <c r="U1015" s="338"/>
      <c r="V1015" s="338"/>
      <c r="W1015" s="338"/>
      <c r="X1015" s="338"/>
      <c r="Y1015" s="338"/>
      <c r="Z1015" s="338"/>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13"/>
    <col customWidth="1" min="2" max="2" width="25.25"/>
    <col customWidth="1" min="3" max="3" width="25.13"/>
    <col customWidth="1" min="4" max="4" width="21.88"/>
    <col customWidth="1" min="5" max="5" width="39.63"/>
    <col customWidth="1" min="8" max="8" width="22.25"/>
    <col customWidth="1" min="9" max="9" width="25.75"/>
    <col customWidth="1" min="10" max="10" width="23.75"/>
  </cols>
  <sheetData>
    <row r="1">
      <c r="A1" s="540" t="s">
        <v>1433</v>
      </c>
      <c r="B1" s="541"/>
      <c r="D1" s="542"/>
      <c r="E1" s="543"/>
      <c r="H1" s="544"/>
    </row>
    <row r="2" ht="22.5" customHeight="1">
      <c r="A2" s="545" t="s">
        <v>1434</v>
      </c>
      <c r="B2" s="546" t="s">
        <v>1435</v>
      </c>
      <c r="C2" s="547" t="s">
        <v>4</v>
      </c>
      <c r="D2" s="547" t="s">
        <v>1436</v>
      </c>
      <c r="E2" s="547" t="s">
        <v>1412</v>
      </c>
      <c r="G2" s="548" t="s">
        <v>1437</v>
      </c>
      <c r="H2" s="549"/>
    </row>
    <row r="3" ht="22.5" customHeight="1">
      <c r="A3" s="550" t="s">
        <v>1438</v>
      </c>
      <c r="B3" s="551">
        <v>5.07406683E9</v>
      </c>
      <c r="C3" s="552" t="s">
        <v>29</v>
      </c>
      <c r="D3" s="553">
        <v>46133.0</v>
      </c>
      <c r="E3" s="552" t="s">
        <v>1439</v>
      </c>
      <c r="G3" s="554" t="s">
        <v>1435</v>
      </c>
      <c r="H3" s="555"/>
    </row>
    <row r="4" ht="22.5" customHeight="1">
      <c r="A4" s="550" t="s">
        <v>1072</v>
      </c>
      <c r="B4" s="551">
        <v>4.442016903E9</v>
      </c>
      <c r="C4" s="552" t="s">
        <v>29</v>
      </c>
      <c r="D4" s="553">
        <v>46133.0</v>
      </c>
      <c r="E4" s="552" t="s">
        <v>1439</v>
      </c>
      <c r="G4" s="556"/>
      <c r="H4" s="544"/>
    </row>
    <row r="5" ht="22.5" customHeight="1">
      <c r="A5" s="550" t="s">
        <v>1440</v>
      </c>
      <c r="B5" s="551">
        <v>1.513073221E9</v>
      </c>
      <c r="C5" s="552" t="s">
        <v>29</v>
      </c>
      <c r="D5" s="553">
        <v>46133.0</v>
      </c>
      <c r="E5" s="552" t="s">
        <v>1439</v>
      </c>
      <c r="H5" s="544" t="str">
        <f>IFERROR(__xludf.DUMMYFUNCTION("FILTER(A:E,B:B=H3)"),"  ")</f>
        <v>  </v>
      </c>
      <c r="I5" s="522"/>
      <c r="J5" s="522"/>
      <c r="K5" s="542"/>
      <c r="L5" s="522"/>
    </row>
    <row r="6" ht="22.5" customHeight="1">
      <c r="A6" s="550" t="s">
        <v>1441</v>
      </c>
      <c r="B6" s="551">
        <v>5.04308137E9</v>
      </c>
      <c r="C6" s="552" t="s">
        <v>29</v>
      </c>
      <c r="D6" s="553">
        <v>46133.0</v>
      </c>
      <c r="E6" s="552" t="s">
        <v>1439</v>
      </c>
      <c r="H6" s="544" t="str">
        <f>IFERROR(__xludf.DUMMYFUNCTION("""COMPUTED_VALUE"""),"Кимберли Кларк")</f>
        <v>Кимберли Кларк</v>
      </c>
      <c r="I6" s="522"/>
      <c r="J6" s="522" t="str">
        <f>IFERROR(__xludf.DUMMYFUNCTION("""COMPUTED_VALUE"""),"Римма Лукина")</f>
        <v>Римма Лукина</v>
      </c>
      <c r="K6" s="542">
        <f>IFERROR(__xludf.DUMMYFUNCTION("""COMPUTED_VALUE"""),46139.0)</f>
        <v>46139</v>
      </c>
      <c r="L6" s="522" t="str">
        <f>IFERROR(__xludf.DUMMYFUNCTION("""COMPUTED_VALUE"""),"работаем")</f>
        <v>работаем</v>
      </c>
    </row>
    <row r="7" ht="22.5" customHeight="1">
      <c r="A7" s="550" t="s">
        <v>1442</v>
      </c>
      <c r="B7" s="551">
        <v>5.834127613E9</v>
      </c>
      <c r="C7" s="552" t="s">
        <v>29</v>
      </c>
      <c r="D7" s="553">
        <v>46133.0</v>
      </c>
      <c r="E7" s="552" t="s">
        <v>1439</v>
      </c>
      <c r="H7" s="544" t="str">
        <f>IFERROR(__xludf.DUMMYFUNCTION("""COMPUTED_VALUE"""),"металист")</f>
        <v>металист</v>
      </c>
      <c r="I7" s="522"/>
      <c r="J7" s="522" t="str">
        <f>IFERROR(__xludf.DUMMYFUNCTION("""COMPUTED_VALUE"""),"Римма Лукина")</f>
        <v>Римма Лукина</v>
      </c>
      <c r="K7" s="542"/>
      <c r="L7" s="522"/>
    </row>
    <row r="8" ht="22.5" customHeight="1">
      <c r="A8" s="550" t="s">
        <v>1443</v>
      </c>
      <c r="B8" s="551">
        <v>9.72934065E9</v>
      </c>
      <c r="C8" s="552" t="s">
        <v>29</v>
      </c>
      <c r="D8" s="553">
        <v>46133.0</v>
      </c>
      <c r="E8" s="552" t="s">
        <v>1439</v>
      </c>
      <c r="H8" s="544" t="str">
        <f>IFERROR(__xludf.DUMMYFUNCTION("""COMPUTED_VALUE"""),"симко")</f>
        <v>симко</v>
      </c>
      <c r="I8" s="522"/>
      <c r="J8" s="522" t="str">
        <f>IFERROR(__xludf.DUMMYFUNCTION("""COMPUTED_VALUE"""),"Римма Лукина")</f>
        <v>Римма Лукина</v>
      </c>
      <c r="K8" s="542"/>
      <c r="L8" s="522"/>
    </row>
    <row r="9" ht="22.5" customHeight="1">
      <c r="A9" s="550" t="s">
        <v>1444</v>
      </c>
      <c r="B9" s="551">
        <v>3.525204352E9</v>
      </c>
      <c r="C9" s="552" t="s">
        <v>29</v>
      </c>
      <c r="D9" s="553">
        <v>46133.0</v>
      </c>
      <c r="E9" s="552" t="s">
        <v>1439</v>
      </c>
      <c r="H9" s="544" t="str">
        <f>IFERROR(__xludf.DUMMYFUNCTION("""COMPUTED_VALUE"""),"нерпа")</f>
        <v>нерпа</v>
      </c>
      <c r="I9" s="522"/>
      <c r="J9" s="522" t="str">
        <f>IFERROR(__xludf.DUMMYFUNCTION("""COMPUTED_VALUE"""),"Римма Лукина")</f>
        <v>Римма Лукина</v>
      </c>
      <c r="K9" s="542"/>
      <c r="L9" s="522"/>
    </row>
    <row r="10" ht="22.5" customHeight="1">
      <c r="A10" s="550" t="s">
        <v>1445</v>
      </c>
      <c r="B10" s="551">
        <v>7.807280694E9</v>
      </c>
      <c r="C10" s="552" t="s">
        <v>29</v>
      </c>
      <c r="D10" s="553">
        <v>46133.0</v>
      </c>
      <c r="E10" s="552" t="s">
        <v>1446</v>
      </c>
      <c r="G10" s="89"/>
      <c r="H10" s="544" t="str">
        <f>IFERROR(__xludf.DUMMYFUNCTION("""COMPUTED_VALUE"""),"стройоптторгр")</f>
        <v>стройоптторгр</v>
      </c>
      <c r="I10" s="522"/>
      <c r="J10" s="522" t="str">
        <f>IFERROR(__xludf.DUMMYFUNCTION("""COMPUTED_VALUE"""),"Римма Лукина")</f>
        <v>Римма Лукина</v>
      </c>
      <c r="K10" s="542"/>
      <c r="L10" s="522"/>
    </row>
    <row r="11" ht="22.5" customHeight="1">
      <c r="A11" s="550" t="s">
        <v>1447</v>
      </c>
      <c r="B11" s="551">
        <v>5.024051564E9</v>
      </c>
      <c r="C11" s="552" t="s">
        <v>29</v>
      </c>
      <c r="D11" s="553">
        <v>46133.0</v>
      </c>
      <c r="E11" s="552" t="s">
        <v>1448</v>
      </c>
      <c r="H11" s="544" t="str">
        <f>IFERROR(__xludf.DUMMYFUNCTION("""COMPUTED_VALUE"""),"СКБМ")</f>
        <v>СКБМ</v>
      </c>
      <c r="I11" s="522"/>
      <c r="J11" s="522" t="str">
        <f>IFERROR(__xludf.DUMMYFUNCTION("""COMPUTED_VALUE"""),"Римма Лукина")</f>
        <v>Римма Лукина</v>
      </c>
      <c r="K11" s="542"/>
      <c r="L11" s="522" t="str">
        <f>IFERROR(__xludf.DUMMYFUNCTION("""COMPUTED_VALUE"""),"работали")</f>
        <v>работали</v>
      </c>
    </row>
    <row r="12" ht="22.5" customHeight="1">
      <c r="A12" s="550" t="s">
        <v>741</v>
      </c>
      <c r="B12" s="551">
        <v>3.913014231E9</v>
      </c>
      <c r="C12" s="552" t="s">
        <v>29</v>
      </c>
      <c r="D12" s="553">
        <v>46136.0</v>
      </c>
      <c r="E12" s="552" t="s">
        <v>1448</v>
      </c>
      <c r="H12" s="544" t="str">
        <f>IFERROR(__xludf.DUMMYFUNCTION("""COMPUTED_VALUE"""),"рост")</f>
        <v>рост</v>
      </c>
      <c r="I12" s="522"/>
      <c r="J12" s="522" t="str">
        <f>IFERROR(__xludf.DUMMYFUNCTION("""COMPUTED_VALUE"""),"Римма Лукина")</f>
        <v>Римма Лукина</v>
      </c>
      <c r="K12" s="542"/>
      <c r="L12" s="522"/>
    </row>
    <row r="13" ht="22.5" customHeight="1">
      <c r="A13" s="550" t="s">
        <v>1449</v>
      </c>
      <c r="B13" s="551">
        <v>1.684012356E9</v>
      </c>
      <c r="C13" s="552" t="s">
        <v>1450</v>
      </c>
      <c r="D13" s="553">
        <v>46202.0</v>
      </c>
      <c r="E13" s="552" t="s">
        <v>1439</v>
      </c>
      <c r="H13" s="544" t="str">
        <f>IFERROR(__xludf.DUMMYFUNCTION("""COMPUTED_VALUE"""),"сангрия")</f>
        <v>сангрия</v>
      </c>
      <c r="I13" s="522"/>
      <c r="J13" s="522" t="str">
        <f>IFERROR(__xludf.DUMMYFUNCTION("""COMPUTED_VALUE"""),"Римма Лукина")</f>
        <v>Римма Лукина</v>
      </c>
      <c r="K13" s="542"/>
      <c r="L13" s="522"/>
    </row>
    <row r="14" ht="22.5" customHeight="1">
      <c r="A14" s="550" t="s">
        <v>1451</v>
      </c>
      <c r="B14" s="551">
        <v>7.726450027E9</v>
      </c>
      <c r="C14" s="552" t="s">
        <v>1450</v>
      </c>
      <c r="D14" s="553">
        <v>46202.0</v>
      </c>
      <c r="E14" s="552" t="s">
        <v>1439</v>
      </c>
      <c r="H14" s="544" t="str">
        <f>IFERROR(__xludf.DUMMYFUNCTION("""COMPUTED_VALUE"""),"тосол синтез")</f>
        <v>тосол синтез</v>
      </c>
      <c r="I14" s="522"/>
      <c r="J14" s="522" t="str">
        <f>IFERROR(__xludf.DUMMYFUNCTION("""COMPUTED_VALUE"""),"Римма Лукина")</f>
        <v>Римма Лукина</v>
      </c>
      <c r="K14" s="542"/>
      <c r="L14" s="522"/>
    </row>
    <row r="15" ht="22.5" customHeight="1">
      <c r="A15" s="550" t="s">
        <v>1452</v>
      </c>
      <c r="B15" s="551">
        <v>9.725053736E9</v>
      </c>
      <c r="C15" s="552" t="s">
        <v>1450</v>
      </c>
      <c r="D15" s="553">
        <v>46202.0</v>
      </c>
      <c r="E15" s="552" t="s">
        <v>1439</v>
      </c>
      <c r="H15" s="544" t="str">
        <f>IFERROR(__xludf.DUMMYFUNCTION("""COMPUTED_VALUE"""),"бинова")</f>
        <v>бинова</v>
      </c>
      <c r="I15" s="522"/>
      <c r="J15" s="522" t="str">
        <f>IFERROR(__xludf.DUMMYFUNCTION("""COMPUTED_VALUE"""),"Римма Лукина")</f>
        <v>Римма Лукина</v>
      </c>
      <c r="K15" s="542"/>
      <c r="L15" s="522"/>
    </row>
    <row r="16" ht="22.5" customHeight="1">
      <c r="A16" s="550" t="s">
        <v>1453</v>
      </c>
      <c r="B16" s="551">
        <v>7.720797745E9</v>
      </c>
      <c r="C16" s="552" t="s">
        <v>1450</v>
      </c>
      <c r="D16" s="553">
        <v>46202.0</v>
      </c>
      <c r="E16" s="552" t="s">
        <v>1454</v>
      </c>
      <c r="H16" s="544" t="str">
        <f>IFERROR(__xludf.DUMMYFUNCTION("""COMPUTED_VALUE"""),"ООО ""РПХ СРС""")</f>
        <v>ООО "РПХ СРС"</v>
      </c>
      <c r="I16" s="522"/>
      <c r="J16" s="522" t="str">
        <f>IFERROR(__xludf.DUMMYFUNCTION("""COMPUTED_VALUE"""),"Арт Лайн")</f>
        <v>Арт Лайн</v>
      </c>
      <c r="K16" s="542"/>
      <c r="L16" s="522" t="str">
        <f>IFERROR(__xludf.DUMMYFUNCTION("""COMPUTED_VALUE"""),"работаем")</f>
        <v>работаем</v>
      </c>
    </row>
    <row r="17" ht="22.5" customHeight="1">
      <c r="A17" s="550" t="s">
        <v>1455</v>
      </c>
      <c r="B17" s="551">
        <v>3.26502454E8</v>
      </c>
      <c r="C17" s="552" t="s">
        <v>1450</v>
      </c>
      <c r="D17" s="553">
        <v>46202.0</v>
      </c>
      <c r="E17" s="552" t="s">
        <v>1439</v>
      </c>
      <c r="H17" s="544" t="str">
        <f>IFERROR(__xludf.DUMMYFUNCTION("""COMPUTED_VALUE"""),"ООО ВКУС МИРА")</f>
        <v>ООО ВКУС МИРА</v>
      </c>
      <c r="I17" s="522"/>
      <c r="J17" s="522" t="str">
        <f>IFERROR(__xludf.DUMMYFUNCTION("""COMPUTED_VALUE"""),"Арт Лайн")</f>
        <v>Арт Лайн</v>
      </c>
      <c r="K17" s="542"/>
      <c r="L17" s="522" t="str">
        <f>IFERROR(__xludf.DUMMYFUNCTION("""COMPUTED_VALUE"""),"Работаем")</f>
        <v>Работаем</v>
      </c>
    </row>
    <row r="18" ht="22.5" customHeight="1">
      <c r="A18" s="550" t="s">
        <v>1456</v>
      </c>
      <c r="B18" s="551" t="s">
        <v>1457</v>
      </c>
      <c r="C18" s="552" t="s">
        <v>1450</v>
      </c>
      <c r="D18" s="553">
        <v>46202.0</v>
      </c>
      <c r="E18" s="552" t="s">
        <v>1454</v>
      </c>
      <c r="H18" s="544"/>
      <c r="I18" s="522"/>
      <c r="J18" s="522"/>
      <c r="K18" s="542"/>
      <c r="L18" s="522"/>
    </row>
    <row r="19" ht="22.5" customHeight="1">
      <c r="A19" s="550" t="s">
        <v>1458</v>
      </c>
      <c r="B19" s="551">
        <v>9.722077249E9</v>
      </c>
      <c r="C19" s="552" t="s">
        <v>1450</v>
      </c>
      <c r="D19" s="553">
        <v>46202.0</v>
      </c>
      <c r="E19" s="552" t="s">
        <v>1454</v>
      </c>
      <c r="H19" s="544"/>
      <c r="I19" s="522"/>
      <c r="J19" s="522"/>
      <c r="K19" s="542"/>
      <c r="L19" s="522"/>
    </row>
    <row r="20" ht="22.5" customHeight="1">
      <c r="A20" s="550" t="s">
        <v>1459</v>
      </c>
      <c r="B20" s="551">
        <v>7.722459452E9</v>
      </c>
      <c r="C20" s="552" t="s">
        <v>1450</v>
      </c>
      <c r="D20" s="553">
        <v>46202.0</v>
      </c>
      <c r="E20" s="552" t="s">
        <v>1454</v>
      </c>
      <c r="H20" s="544"/>
      <c r="I20" s="522"/>
      <c r="J20" s="522"/>
      <c r="K20" s="542"/>
      <c r="L20" s="522"/>
    </row>
    <row r="21" ht="22.5" customHeight="1">
      <c r="A21" s="550" t="s">
        <v>1460</v>
      </c>
      <c r="B21" s="551">
        <v>7.716926099E9</v>
      </c>
      <c r="C21" s="552" t="s">
        <v>1450</v>
      </c>
      <c r="D21" s="553">
        <v>46202.0</v>
      </c>
      <c r="E21" s="552" t="s">
        <v>1439</v>
      </c>
      <c r="H21" s="544"/>
      <c r="I21" s="522"/>
      <c r="J21" s="522"/>
      <c r="K21" s="542"/>
      <c r="L21" s="522"/>
    </row>
    <row r="22" ht="22.5" customHeight="1">
      <c r="A22" s="550" t="s">
        <v>1461</v>
      </c>
      <c r="B22" s="551">
        <v>5.045040884E9</v>
      </c>
      <c r="C22" s="552" t="s">
        <v>1450</v>
      </c>
      <c r="D22" s="553">
        <v>46202.0</v>
      </c>
      <c r="E22" s="552" t="s">
        <v>1454</v>
      </c>
      <c r="H22" s="544"/>
      <c r="I22" s="522"/>
      <c r="J22" s="522"/>
      <c r="K22" s="542"/>
      <c r="L22" s="522"/>
    </row>
    <row r="23" ht="22.5" customHeight="1">
      <c r="A23" s="550" t="s">
        <v>1462</v>
      </c>
      <c r="B23" s="551">
        <v>7.724756041E9</v>
      </c>
      <c r="C23" s="552" t="s">
        <v>1450</v>
      </c>
      <c r="D23" s="553">
        <v>46202.0</v>
      </c>
      <c r="E23" s="552" t="s">
        <v>1454</v>
      </c>
      <c r="H23" s="544"/>
      <c r="I23" s="522"/>
      <c r="J23" s="522"/>
      <c r="K23" s="542"/>
      <c r="L23" s="522"/>
    </row>
    <row r="24" ht="22.5" customHeight="1">
      <c r="A24" s="550" t="s">
        <v>1463</v>
      </c>
      <c r="B24" s="551">
        <v>7.606127791E9</v>
      </c>
      <c r="C24" s="552" t="s">
        <v>164</v>
      </c>
      <c r="D24" s="553">
        <v>46133.0</v>
      </c>
      <c r="E24" s="552" t="s">
        <v>1439</v>
      </c>
      <c r="H24" s="544"/>
      <c r="I24" s="522"/>
      <c r="J24" s="522"/>
      <c r="K24" s="542"/>
      <c r="L24" s="522"/>
    </row>
    <row r="25" ht="22.5" customHeight="1">
      <c r="A25" s="550" t="s">
        <v>872</v>
      </c>
      <c r="B25" s="551">
        <v>7.60704785017E11</v>
      </c>
      <c r="C25" s="552" t="s">
        <v>164</v>
      </c>
      <c r="D25" s="553">
        <v>46175.0</v>
      </c>
      <c r="E25" s="552" t="s">
        <v>1454</v>
      </c>
      <c r="H25" s="544"/>
      <c r="I25" s="522"/>
      <c r="J25" s="522"/>
      <c r="K25" s="542"/>
      <c r="L25" s="522"/>
    </row>
    <row r="26" ht="22.5" customHeight="1">
      <c r="A26" s="550" t="s">
        <v>1464</v>
      </c>
      <c r="B26" s="551">
        <v>7.74364159E9</v>
      </c>
      <c r="C26" s="552" t="s">
        <v>164</v>
      </c>
      <c r="D26" s="553">
        <v>45823.0</v>
      </c>
      <c r="E26" s="552" t="s">
        <v>1465</v>
      </c>
      <c r="H26" s="544"/>
      <c r="I26" s="522"/>
      <c r="J26" s="522"/>
      <c r="K26" s="542"/>
      <c r="L26" s="522"/>
    </row>
    <row r="27" ht="22.5" customHeight="1">
      <c r="A27" s="550" t="s">
        <v>1466</v>
      </c>
      <c r="B27" s="551">
        <v>4.821036565E9</v>
      </c>
      <c r="C27" s="552" t="s">
        <v>164</v>
      </c>
      <c r="D27" s="553">
        <v>46177.0</v>
      </c>
      <c r="E27" s="552" t="s">
        <v>1467</v>
      </c>
      <c r="H27" s="544"/>
      <c r="I27" s="522"/>
      <c r="J27" s="522"/>
      <c r="K27" s="542"/>
      <c r="L27" s="522"/>
    </row>
    <row r="28" ht="22.5" customHeight="1">
      <c r="A28" s="550" t="s">
        <v>1468</v>
      </c>
      <c r="B28" s="551">
        <v>7.816108153E9</v>
      </c>
      <c r="C28" s="552" t="s">
        <v>164</v>
      </c>
      <c r="D28" s="553">
        <v>46163.0</v>
      </c>
      <c r="E28" s="552" t="s">
        <v>1439</v>
      </c>
      <c r="H28" s="544"/>
      <c r="I28" s="522"/>
      <c r="J28" s="522"/>
      <c r="K28" s="542"/>
      <c r="L28" s="522"/>
    </row>
    <row r="29" ht="22.5" customHeight="1">
      <c r="A29" s="550" t="s">
        <v>1469</v>
      </c>
      <c r="B29" s="551">
        <v>9.726024008E9</v>
      </c>
      <c r="C29" s="552" t="s">
        <v>164</v>
      </c>
      <c r="D29" s="553">
        <v>46163.0</v>
      </c>
      <c r="E29" s="552" t="s">
        <v>1439</v>
      </c>
      <c r="H29" s="544"/>
      <c r="I29" s="522"/>
      <c r="J29" s="522"/>
      <c r="K29" s="542"/>
      <c r="L29" s="522"/>
    </row>
    <row r="30" ht="22.5" customHeight="1">
      <c r="A30" s="550" t="s">
        <v>1470</v>
      </c>
      <c r="B30" s="551">
        <v>9.70421743E9</v>
      </c>
      <c r="C30" s="552" t="s">
        <v>164</v>
      </c>
      <c r="D30" s="553">
        <v>46163.0</v>
      </c>
      <c r="E30" s="552" t="s">
        <v>1439</v>
      </c>
      <c r="H30" s="544"/>
      <c r="I30" s="522"/>
      <c r="J30" s="522"/>
      <c r="K30" s="542"/>
      <c r="L30" s="522"/>
    </row>
    <row r="31" ht="22.5" customHeight="1">
      <c r="A31" s="550" t="s">
        <v>1471</v>
      </c>
      <c r="B31" s="551">
        <v>7.713486555E9</v>
      </c>
      <c r="C31" s="552" t="s">
        <v>164</v>
      </c>
      <c r="D31" s="553">
        <v>46163.0</v>
      </c>
      <c r="E31" s="552" t="s">
        <v>1439</v>
      </c>
      <c r="H31" s="544"/>
      <c r="I31" s="522"/>
      <c r="J31" s="522"/>
      <c r="K31" s="542"/>
      <c r="L31" s="522"/>
    </row>
    <row r="32" ht="22.5" customHeight="1">
      <c r="A32" s="550" t="s">
        <v>1472</v>
      </c>
      <c r="B32" s="551">
        <v>7.7432784E9</v>
      </c>
      <c r="C32" s="552" t="s">
        <v>164</v>
      </c>
      <c r="D32" s="553">
        <v>46163.0</v>
      </c>
      <c r="E32" s="552" t="s">
        <v>1439</v>
      </c>
      <c r="H32" s="544"/>
      <c r="I32" s="522"/>
      <c r="J32" s="522"/>
      <c r="K32" s="542"/>
      <c r="L32" s="522"/>
    </row>
    <row r="33" ht="22.5" customHeight="1">
      <c r="A33" s="550" t="s">
        <v>1473</v>
      </c>
      <c r="B33" s="551">
        <v>9.726023928E9</v>
      </c>
      <c r="C33" s="552" t="s">
        <v>164</v>
      </c>
      <c r="D33" s="553">
        <v>46163.0</v>
      </c>
      <c r="E33" s="552" t="s">
        <v>1439</v>
      </c>
      <c r="H33" s="544"/>
      <c r="I33" s="522"/>
      <c r="J33" s="522"/>
      <c r="K33" s="542"/>
      <c r="L33" s="522"/>
    </row>
    <row r="34" ht="22.5" customHeight="1">
      <c r="A34" s="550" t="s">
        <v>1474</v>
      </c>
      <c r="B34" s="551">
        <v>7.74333865E9</v>
      </c>
      <c r="C34" s="552" t="s">
        <v>164</v>
      </c>
      <c r="D34" s="553">
        <v>46163.0</v>
      </c>
      <c r="E34" s="552" t="s">
        <v>1439</v>
      </c>
      <c r="H34" s="544"/>
      <c r="I34" s="522"/>
      <c r="J34" s="522"/>
      <c r="K34" s="542"/>
      <c r="L34" s="522"/>
    </row>
    <row r="35" ht="22.5" customHeight="1">
      <c r="A35" s="550" t="s">
        <v>1475</v>
      </c>
      <c r="B35" s="551">
        <v>9.726088298E9</v>
      </c>
      <c r="C35" s="552" t="s">
        <v>164</v>
      </c>
      <c r="D35" s="553">
        <v>46163.0</v>
      </c>
      <c r="E35" s="552" t="s">
        <v>1439</v>
      </c>
      <c r="H35" s="544"/>
      <c r="I35" s="522"/>
      <c r="J35" s="522"/>
      <c r="K35" s="542"/>
      <c r="L35" s="522"/>
    </row>
    <row r="36" ht="22.5" customHeight="1">
      <c r="A36" s="550" t="s">
        <v>1476</v>
      </c>
      <c r="B36" s="551">
        <v>9.704200154E9</v>
      </c>
      <c r="C36" s="552" t="s">
        <v>164</v>
      </c>
      <c r="D36" s="553">
        <v>46163.0</v>
      </c>
      <c r="E36" s="552" t="s">
        <v>1439</v>
      </c>
      <c r="H36" s="544"/>
      <c r="I36" s="522"/>
      <c r="J36" s="522"/>
      <c r="K36" s="542"/>
      <c r="L36" s="522"/>
    </row>
    <row r="37" ht="22.5" customHeight="1">
      <c r="A37" s="550" t="s">
        <v>1477</v>
      </c>
      <c r="B37" s="551">
        <v>7.736339684E9</v>
      </c>
      <c r="C37" s="552" t="s">
        <v>164</v>
      </c>
      <c r="D37" s="553">
        <v>46163.0</v>
      </c>
      <c r="E37" s="552" t="s">
        <v>1439</v>
      </c>
      <c r="H37" s="544"/>
      <c r="I37" s="522"/>
      <c r="J37" s="522"/>
      <c r="K37" s="542"/>
      <c r="L37" s="522"/>
    </row>
    <row r="38" ht="22.5" customHeight="1">
      <c r="A38" s="550" t="s">
        <v>1478</v>
      </c>
      <c r="B38" s="551">
        <v>5.017123218E9</v>
      </c>
      <c r="C38" s="552" t="s">
        <v>164</v>
      </c>
      <c r="D38" s="553">
        <v>46163.0</v>
      </c>
      <c r="E38" s="552" t="s">
        <v>1439</v>
      </c>
      <c r="H38" s="544"/>
      <c r="I38" s="522"/>
      <c r="J38" s="522"/>
      <c r="K38" s="542"/>
      <c r="L38" s="522"/>
    </row>
    <row r="39" ht="22.5" customHeight="1">
      <c r="A39" s="550" t="s">
        <v>1479</v>
      </c>
      <c r="B39" s="551">
        <v>3.32501141E9</v>
      </c>
      <c r="C39" s="552" t="s">
        <v>164</v>
      </c>
      <c r="D39" s="553">
        <v>46178.0</v>
      </c>
      <c r="E39" s="552" t="s">
        <v>1480</v>
      </c>
      <c r="H39" s="544"/>
      <c r="I39" s="522"/>
      <c r="J39" s="522"/>
      <c r="K39" s="542"/>
      <c r="L39" s="522"/>
    </row>
    <row r="40" ht="22.5" customHeight="1">
      <c r="A40" s="550" t="s">
        <v>1481</v>
      </c>
      <c r="B40" s="551">
        <v>5.009074422E9</v>
      </c>
      <c r="C40" s="552" t="s">
        <v>164</v>
      </c>
      <c r="D40" s="553">
        <v>46163.0</v>
      </c>
      <c r="E40" s="552" t="s">
        <v>1439</v>
      </c>
      <c r="H40" s="544"/>
      <c r="I40" s="522"/>
      <c r="J40" s="522"/>
      <c r="K40" s="542"/>
      <c r="L40" s="522"/>
      <c r="AA40" s="557" t="s">
        <v>1482</v>
      </c>
    </row>
    <row r="41" ht="22.5" customHeight="1">
      <c r="A41" s="550" t="s">
        <v>1483</v>
      </c>
      <c r="B41" s="551">
        <v>7.727310505E9</v>
      </c>
      <c r="C41" s="552" t="s">
        <v>164</v>
      </c>
      <c r="D41" s="553">
        <v>46163.0</v>
      </c>
      <c r="E41" s="552" t="s">
        <v>1439</v>
      </c>
      <c r="H41" s="544"/>
      <c r="I41" s="522"/>
      <c r="J41" s="522"/>
      <c r="K41" s="542"/>
      <c r="L41" s="522"/>
    </row>
    <row r="42" ht="22.5" customHeight="1">
      <c r="A42" s="550" t="s">
        <v>1484</v>
      </c>
      <c r="B42" s="551">
        <v>7.438015885E9</v>
      </c>
      <c r="C42" s="552" t="s">
        <v>164</v>
      </c>
      <c r="D42" s="553">
        <v>46073.0</v>
      </c>
      <c r="E42" s="552" t="s">
        <v>1485</v>
      </c>
      <c r="H42" s="544"/>
      <c r="I42" s="522"/>
      <c r="J42" s="522"/>
      <c r="K42" s="542"/>
      <c r="L42" s="522"/>
    </row>
    <row r="43" ht="22.5" customHeight="1">
      <c r="A43" s="550" t="s">
        <v>1486</v>
      </c>
      <c r="B43" s="551">
        <v>3.602011132E9</v>
      </c>
      <c r="C43" s="552" t="s">
        <v>164</v>
      </c>
      <c r="D43" s="553">
        <v>46181.0</v>
      </c>
      <c r="E43" s="552" t="s">
        <v>1487</v>
      </c>
      <c r="H43" s="544"/>
      <c r="I43" s="522"/>
      <c r="J43" s="522"/>
      <c r="K43" s="542"/>
      <c r="L43" s="522"/>
    </row>
    <row r="44" ht="22.5" customHeight="1">
      <c r="A44" s="550" t="s">
        <v>1488</v>
      </c>
      <c r="B44" s="551">
        <v>3.90802421E9</v>
      </c>
      <c r="C44" s="552" t="s">
        <v>164</v>
      </c>
      <c r="D44" s="553">
        <v>46163.0</v>
      </c>
      <c r="E44" s="552" t="s">
        <v>1467</v>
      </c>
      <c r="H44" s="544"/>
      <c r="I44" s="522"/>
      <c r="J44" s="522"/>
      <c r="K44" s="542"/>
      <c r="L44" s="522"/>
    </row>
    <row r="45" ht="22.5" customHeight="1">
      <c r="A45" s="550" t="s">
        <v>1489</v>
      </c>
      <c r="B45" s="551">
        <v>3.916003647E9</v>
      </c>
      <c r="C45" s="552" t="s">
        <v>164</v>
      </c>
      <c r="D45" s="553">
        <v>46157.0</v>
      </c>
      <c r="E45" s="552" t="s">
        <v>1467</v>
      </c>
      <c r="H45" s="544"/>
      <c r="I45" s="522"/>
      <c r="J45" s="522"/>
      <c r="K45" s="542"/>
      <c r="L45" s="522"/>
    </row>
    <row r="46" ht="22.5" customHeight="1">
      <c r="A46" s="550" t="s">
        <v>677</v>
      </c>
      <c r="B46" s="551">
        <v>2.364016547E9</v>
      </c>
      <c r="C46" s="552" t="s">
        <v>164</v>
      </c>
      <c r="D46" s="553">
        <v>46181.0</v>
      </c>
      <c r="E46" s="552" t="s">
        <v>1487</v>
      </c>
      <c r="H46" s="544"/>
      <c r="I46" s="522"/>
      <c r="J46" s="522"/>
      <c r="K46" s="542"/>
      <c r="L46" s="522"/>
    </row>
    <row r="47" ht="22.5" customHeight="1">
      <c r="A47" s="550" t="s">
        <v>1490</v>
      </c>
      <c r="B47" s="551">
        <v>5.41000382E8</v>
      </c>
      <c r="C47" s="552" t="s">
        <v>164</v>
      </c>
      <c r="D47" s="553">
        <v>46184.0</v>
      </c>
      <c r="E47" s="552" t="s">
        <v>1439</v>
      </c>
      <c r="H47" s="544"/>
      <c r="I47" s="522"/>
      <c r="J47" s="522"/>
      <c r="K47" s="542"/>
      <c r="L47" s="522"/>
    </row>
    <row r="48" ht="22.5" customHeight="1">
      <c r="A48" s="550" t="s">
        <v>1491</v>
      </c>
      <c r="B48" s="558">
        <v>6.93900505E9</v>
      </c>
      <c r="C48" s="552" t="s">
        <v>164</v>
      </c>
      <c r="D48" s="553">
        <v>46203.0</v>
      </c>
      <c r="E48" s="552" t="s">
        <v>1467</v>
      </c>
      <c r="H48" s="544"/>
      <c r="I48" s="522"/>
      <c r="J48" s="522"/>
      <c r="K48" s="542"/>
      <c r="L48" s="522"/>
    </row>
    <row r="49" ht="22.5" customHeight="1">
      <c r="A49" s="550" t="s">
        <v>1492</v>
      </c>
      <c r="B49" s="551">
        <v>5.032277244E9</v>
      </c>
      <c r="C49" s="552" t="s">
        <v>164</v>
      </c>
      <c r="D49" s="553">
        <v>46133.0</v>
      </c>
      <c r="E49" s="552" t="s">
        <v>1439</v>
      </c>
      <c r="H49" s="544"/>
      <c r="I49" s="522"/>
      <c r="J49" s="522"/>
      <c r="K49" s="542"/>
      <c r="L49" s="522"/>
    </row>
    <row r="50" ht="22.5" customHeight="1">
      <c r="A50" s="550" t="s">
        <v>1493</v>
      </c>
      <c r="B50" s="551">
        <v>7.707288097E9</v>
      </c>
      <c r="C50" s="552" t="s">
        <v>164</v>
      </c>
      <c r="D50" s="553">
        <v>46160.0</v>
      </c>
      <c r="E50" s="552" t="s">
        <v>1439</v>
      </c>
      <c r="H50" s="544"/>
      <c r="I50" s="522"/>
      <c r="J50" s="522"/>
      <c r="K50" s="542"/>
      <c r="L50" s="522"/>
    </row>
    <row r="51" ht="22.5" customHeight="1">
      <c r="A51" s="550" t="s">
        <v>1494</v>
      </c>
      <c r="B51" s="551">
        <v>5.007079665E9</v>
      </c>
      <c r="C51" s="552" t="s">
        <v>164</v>
      </c>
      <c r="D51" s="553">
        <v>46142.0</v>
      </c>
      <c r="E51" s="552" t="s">
        <v>1467</v>
      </c>
      <c r="H51" s="544"/>
      <c r="I51" s="522"/>
      <c r="J51" s="522"/>
      <c r="K51" s="542"/>
      <c r="L51" s="522"/>
    </row>
    <row r="52" ht="22.5" customHeight="1">
      <c r="A52" s="550" t="s">
        <v>888</v>
      </c>
      <c r="B52" s="551">
        <v>2.623030222E9</v>
      </c>
      <c r="C52" s="552" t="s">
        <v>164</v>
      </c>
      <c r="D52" s="553">
        <v>46160.0</v>
      </c>
      <c r="E52" s="552" t="s">
        <v>1495</v>
      </c>
      <c r="H52" s="544"/>
      <c r="I52" s="522"/>
      <c r="J52" s="522"/>
      <c r="K52" s="542"/>
      <c r="L52" s="522"/>
    </row>
    <row r="53" ht="22.5" customHeight="1">
      <c r="A53" s="550" t="s">
        <v>1496</v>
      </c>
      <c r="B53" s="551">
        <v>6.671156712E9</v>
      </c>
      <c r="C53" s="552" t="s">
        <v>164</v>
      </c>
      <c r="D53" s="553">
        <v>46203.0</v>
      </c>
      <c r="E53" s="552" t="s">
        <v>1467</v>
      </c>
      <c r="H53" s="544"/>
      <c r="I53" s="522"/>
      <c r="J53" s="522"/>
      <c r="K53" s="542"/>
      <c r="L53" s="522"/>
    </row>
    <row r="54" ht="22.5" customHeight="1">
      <c r="A54" s="550" t="s">
        <v>1497</v>
      </c>
      <c r="B54" s="551">
        <v>6.148003452E9</v>
      </c>
      <c r="C54" s="552" t="s">
        <v>164</v>
      </c>
      <c r="D54" s="553">
        <v>46160.0</v>
      </c>
      <c r="E54" s="552" t="s">
        <v>1439</v>
      </c>
      <c r="H54" s="544"/>
      <c r="I54" s="522"/>
      <c r="J54" s="522"/>
      <c r="K54" s="542"/>
      <c r="L54" s="522"/>
    </row>
    <row r="55" ht="22.5" customHeight="1">
      <c r="A55" s="550" t="s">
        <v>1498</v>
      </c>
      <c r="B55" s="551">
        <v>7.743319343E9</v>
      </c>
      <c r="C55" s="552" t="s">
        <v>164</v>
      </c>
      <c r="D55" s="553">
        <v>46157.0</v>
      </c>
      <c r="E55" s="552" t="s">
        <v>1439</v>
      </c>
      <c r="H55" s="544"/>
      <c r="I55" s="522"/>
      <c r="J55" s="522"/>
      <c r="K55" s="542"/>
      <c r="L55" s="522"/>
    </row>
    <row r="56" ht="22.5" customHeight="1">
      <c r="A56" s="550" t="s">
        <v>1499</v>
      </c>
      <c r="B56" s="551">
        <v>2.310031475E9</v>
      </c>
      <c r="C56" s="552" t="s">
        <v>164</v>
      </c>
      <c r="D56" s="553">
        <v>46160.0</v>
      </c>
      <c r="E56" s="552" t="s">
        <v>1439</v>
      </c>
      <c r="H56" s="544"/>
      <c r="I56" s="522"/>
      <c r="J56" s="522"/>
      <c r="K56" s="542"/>
      <c r="L56" s="522"/>
    </row>
    <row r="57" ht="22.5" customHeight="1">
      <c r="A57" s="550" t="s">
        <v>1500</v>
      </c>
      <c r="B57" s="551">
        <v>7.728115183E9</v>
      </c>
      <c r="C57" s="552" t="s">
        <v>164</v>
      </c>
      <c r="D57" s="553">
        <v>46160.0</v>
      </c>
      <c r="E57" s="552" t="s">
        <v>1439</v>
      </c>
      <c r="H57" s="544"/>
      <c r="I57" s="522"/>
      <c r="J57" s="522"/>
      <c r="K57" s="542"/>
      <c r="L57" s="522"/>
    </row>
    <row r="58" ht="22.5" customHeight="1">
      <c r="A58" s="550" t="s">
        <v>1501</v>
      </c>
      <c r="B58" s="551">
        <v>7.727067057E9</v>
      </c>
      <c r="C58" s="552" t="s">
        <v>164</v>
      </c>
      <c r="D58" s="553">
        <v>46160.0</v>
      </c>
      <c r="E58" s="552" t="s">
        <v>1439</v>
      </c>
      <c r="H58" s="544"/>
      <c r="I58" s="522"/>
      <c r="J58" s="522"/>
      <c r="K58" s="542"/>
      <c r="L58" s="522"/>
    </row>
    <row r="59" ht="22.5" customHeight="1">
      <c r="A59" s="550" t="s">
        <v>1502</v>
      </c>
      <c r="B59" s="551">
        <v>7.71360719E9</v>
      </c>
      <c r="C59" s="552" t="s">
        <v>164</v>
      </c>
      <c r="D59" s="553">
        <v>46133.0</v>
      </c>
      <c r="E59" s="552" t="s">
        <v>1439</v>
      </c>
      <c r="H59" s="544"/>
      <c r="I59" s="522"/>
      <c r="J59" s="522"/>
      <c r="K59" s="542"/>
      <c r="L59" s="522"/>
    </row>
    <row r="60" ht="22.5" customHeight="1">
      <c r="A60" s="550" t="s">
        <v>1503</v>
      </c>
      <c r="B60" s="551">
        <v>9.703110691E9</v>
      </c>
      <c r="C60" s="552" t="s">
        <v>51</v>
      </c>
      <c r="D60" s="553">
        <v>46139.0</v>
      </c>
      <c r="E60" s="552" t="s">
        <v>1504</v>
      </c>
      <c r="H60" s="544"/>
      <c r="I60" s="522"/>
      <c r="J60" s="522"/>
      <c r="K60" s="542"/>
      <c r="L60" s="522"/>
    </row>
    <row r="61" ht="22.5" customHeight="1">
      <c r="A61" s="550" t="s">
        <v>1505</v>
      </c>
      <c r="B61" s="551">
        <v>7.73582385388E11</v>
      </c>
      <c r="C61" s="552" t="s">
        <v>51</v>
      </c>
      <c r="D61" s="553">
        <v>46100.0</v>
      </c>
      <c r="E61" s="552" t="s">
        <v>1454</v>
      </c>
      <c r="H61" s="544"/>
      <c r="I61" s="522"/>
      <c r="J61" s="522"/>
      <c r="K61" s="542"/>
      <c r="L61" s="522"/>
    </row>
    <row r="62" ht="22.5" customHeight="1">
      <c r="A62" s="550" t="s">
        <v>1506</v>
      </c>
      <c r="B62" s="551">
        <v>3.24501156078E11</v>
      </c>
      <c r="C62" s="552" t="s">
        <v>51</v>
      </c>
      <c r="D62" s="553">
        <v>46169.0</v>
      </c>
      <c r="E62" s="552" t="s">
        <v>1439</v>
      </c>
      <c r="H62" s="544"/>
      <c r="I62" s="522"/>
      <c r="J62" s="522"/>
      <c r="K62" s="542"/>
      <c r="L62" s="522"/>
    </row>
    <row r="63" ht="22.5" customHeight="1">
      <c r="A63" s="550" t="s">
        <v>1507</v>
      </c>
      <c r="B63" s="551" t="s">
        <v>1508</v>
      </c>
      <c r="C63" s="552" t="s">
        <v>51</v>
      </c>
      <c r="D63" s="553">
        <v>46113.0</v>
      </c>
      <c r="E63" s="552" t="s">
        <v>1454</v>
      </c>
      <c r="H63" s="544"/>
      <c r="I63" s="522"/>
      <c r="J63" s="522"/>
      <c r="K63" s="542"/>
      <c r="L63" s="522"/>
    </row>
    <row r="64" ht="22.5" customHeight="1">
      <c r="A64" s="550" t="s">
        <v>1509</v>
      </c>
      <c r="B64" s="551">
        <v>7.839057723E9</v>
      </c>
      <c r="C64" s="552" t="s">
        <v>51</v>
      </c>
      <c r="D64" s="553">
        <v>46156.0</v>
      </c>
      <c r="E64" s="552" t="s">
        <v>1510</v>
      </c>
      <c r="H64" s="544"/>
      <c r="I64" s="522"/>
      <c r="J64" s="522"/>
      <c r="K64" s="542"/>
      <c r="L64" s="522"/>
    </row>
    <row r="65" ht="22.5" customHeight="1">
      <c r="A65" s="550" t="s">
        <v>1511</v>
      </c>
      <c r="B65" s="551">
        <v>7.720417827E9</v>
      </c>
      <c r="C65" s="552" t="s">
        <v>51</v>
      </c>
      <c r="D65" s="553">
        <v>46141.0</v>
      </c>
      <c r="E65" s="552" t="s">
        <v>1512</v>
      </c>
      <c r="H65" s="544"/>
      <c r="I65" s="522"/>
      <c r="J65" s="522"/>
      <c r="K65" s="542"/>
      <c r="L65" s="522"/>
    </row>
    <row r="66" ht="22.5" customHeight="1">
      <c r="A66" s="550" t="s">
        <v>1513</v>
      </c>
      <c r="B66" s="551">
        <v>6.726023432E9</v>
      </c>
      <c r="C66" s="552" t="s">
        <v>51</v>
      </c>
      <c r="D66" s="553">
        <v>46160.0</v>
      </c>
      <c r="E66" s="552" t="s">
        <v>1454</v>
      </c>
      <c r="H66" s="544"/>
      <c r="I66" s="522"/>
      <c r="J66" s="522"/>
      <c r="K66" s="542"/>
      <c r="L66" s="522"/>
    </row>
    <row r="67" ht="22.5" customHeight="1">
      <c r="A67" s="550" t="s">
        <v>1514</v>
      </c>
      <c r="B67" s="551">
        <v>7.720644925E9</v>
      </c>
      <c r="C67" s="552" t="s">
        <v>51</v>
      </c>
      <c r="D67" s="553">
        <v>46141.0</v>
      </c>
      <c r="E67" s="552" t="s">
        <v>1454</v>
      </c>
      <c r="H67" s="544"/>
      <c r="I67" s="522"/>
      <c r="J67" s="522"/>
      <c r="K67" s="542"/>
      <c r="L67" s="522"/>
    </row>
    <row r="68" ht="22.5" customHeight="1">
      <c r="A68" s="550" t="s">
        <v>1515</v>
      </c>
      <c r="B68" s="551">
        <v>3.316020418E9</v>
      </c>
      <c r="C68" s="552" t="s">
        <v>51</v>
      </c>
      <c r="D68" s="553">
        <v>46140.0</v>
      </c>
      <c r="E68" s="552" t="s">
        <v>1516</v>
      </c>
      <c r="H68" s="544"/>
      <c r="I68" s="522"/>
      <c r="J68" s="522"/>
      <c r="K68" s="542"/>
      <c r="L68" s="522"/>
    </row>
    <row r="69" ht="22.5" customHeight="1">
      <c r="A69" s="550" t="s">
        <v>1517</v>
      </c>
      <c r="B69" s="551">
        <v>2.364020462E9</v>
      </c>
      <c r="C69" s="552" t="s">
        <v>51</v>
      </c>
      <c r="D69" s="553">
        <v>46204.0</v>
      </c>
      <c r="E69" s="552" t="s">
        <v>1518</v>
      </c>
      <c r="H69" s="544"/>
      <c r="I69" s="522"/>
      <c r="J69" s="522"/>
      <c r="K69" s="542"/>
      <c r="L69" s="522"/>
    </row>
    <row r="70" ht="22.5" customHeight="1">
      <c r="A70" s="550" t="s">
        <v>1519</v>
      </c>
      <c r="B70" s="551">
        <v>7.80148523E9</v>
      </c>
      <c r="C70" s="552" t="s">
        <v>51</v>
      </c>
      <c r="D70" s="553">
        <v>46174.0</v>
      </c>
      <c r="E70" s="552" t="s">
        <v>1467</v>
      </c>
      <c r="H70" s="544"/>
      <c r="I70" s="522"/>
      <c r="J70" s="522"/>
      <c r="K70" s="542"/>
      <c r="L70" s="522"/>
    </row>
    <row r="71" ht="22.5" customHeight="1">
      <c r="A71" s="550" t="s">
        <v>1520</v>
      </c>
      <c r="B71" s="551">
        <v>5.044122848E9</v>
      </c>
      <c r="C71" s="552" t="s">
        <v>51</v>
      </c>
      <c r="D71" s="553">
        <v>46140.0</v>
      </c>
      <c r="E71" s="552" t="s">
        <v>1521</v>
      </c>
      <c r="H71" s="544"/>
      <c r="I71" s="522"/>
      <c r="J71" s="522"/>
      <c r="K71" s="542"/>
      <c r="L71" s="522"/>
    </row>
    <row r="72" ht="22.5" customHeight="1">
      <c r="A72" s="550" t="s">
        <v>1522</v>
      </c>
      <c r="B72" s="551">
        <v>9.729289901E9</v>
      </c>
      <c r="C72" s="552" t="s">
        <v>51</v>
      </c>
      <c r="D72" s="553">
        <v>46160.0</v>
      </c>
      <c r="E72" s="552" t="s">
        <v>1454</v>
      </c>
      <c r="H72" s="544"/>
      <c r="I72" s="522"/>
      <c r="J72" s="522"/>
      <c r="K72" s="542"/>
      <c r="L72" s="522"/>
    </row>
    <row r="73" ht="22.5" customHeight="1">
      <c r="A73" s="550" t="s">
        <v>1523</v>
      </c>
      <c r="B73" s="551">
        <v>6.807002663E9</v>
      </c>
      <c r="C73" s="552" t="s">
        <v>164</v>
      </c>
      <c r="D73" s="553">
        <v>46168.0</v>
      </c>
      <c r="E73" s="552" t="s">
        <v>1467</v>
      </c>
      <c r="H73" s="544"/>
      <c r="I73" s="522"/>
      <c r="J73" s="522"/>
      <c r="K73" s="542"/>
      <c r="L73" s="522"/>
    </row>
    <row r="74" ht="22.5" customHeight="1">
      <c r="A74" s="550" t="s">
        <v>1524</v>
      </c>
      <c r="B74" s="551">
        <v>5.24302693E9</v>
      </c>
      <c r="C74" s="552" t="s">
        <v>51</v>
      </c>
      <c r="D74" s="553">
        <v>46118.0</v>
      </c>
      <c r="E74" s="552" t="s">
        <v>1525</v>
      </c>
      <c r="H74" s="544"/>
      <c r="I74" s="522"/>
      <c r="J74" s="522"/>
      <c r="K74" s="542"/>
      <c r="L74" s="522"/>
    </row>
    <row r="75" ht="22.5" customHeight="1">
      <c r="A75" s="550" t="s">
        <v>1526</v>
      </c>
      <c r="B75" s="551">
        <v>7.017481256E9</v>
      </c>
      <c r="C75" s="552" t="s">
        <v>51</v>
      </c>
      <c r="D75" s="553">
        <v>46204.0</v>
      </c>
      <c r="E75" s="552" t="s">
        <v>1527</v>
      </c>
      <c r="H75" s="544"/>
      <c r="I75" s="522"/>
      <c r="J75" s="522"/>
      <c r="K75" s="542"/>
      <c r="L75" s="522"/>
    </row>
    <row r="76" ht="22.5" customHeight="1">
      <c r="A76" s="550" t="s">
        <v>1528</v>
      </c>
      <c r="B76" s="551">
        <v>5.011021499E9</v>
      </c>
      <c r="C76" s="552" t="s">
        <v>51</v>
      </c>
      <c r="D76" s="553">
        <v>46160.0</v>
      </c>
      <c r="E76" s="552" t="s">
        <v>1529</v>
      </c>
      <c r="H76" s="544"/>
      <c r="I76" s="522"/>
      <c r="J76" s="522"/>
      <c r="K76" s="542"/>
      <c r="L76" s="522"/>
    </row>
    <row r="77" ht="22.5" customHeight="1">
      <c r="A77" s="550" t="s">
        <v>1530</v>
      </c>
      <c r="B77" s="551">
        <v>9.718097771E9</v>
      </c>
      <c r="C77" s="552" t="s">
        <v>29</v>
      </c>
      <c r="D77" s="553">
        <v>46135.0</v>
      </c>
      <c r="E77" s="552" t="s">
        <v>1531</v>
      </c>
      <c r="H77" s="544"/>
      <c r="I77" s="522"/>
      <c r="J77" s="522"/>
      <c r="K77" s="542"/>
      <c r="L77" s="522"/>
    </row>
    <row r="78" ht="22.5" customHeight="1">
      <c r="A78" s="550" t="s">
        <v>1532</v>
      </c>
      <c r="B78" s="551">
        <v>7.623004743E9</v>
      </c>
      <c r="C78" s="552" t="s">
        <v>29</v>
      </c>
      <c r="D78" s="553">
        <v>46135.0</v>
      </c>
      <c r="E78" s="552" t="s">
        <v>1533</v>
      </c>
      <c r="H78" s="544"/>
      <c r="I78" s="522"/>
      <c r="J78" s="522"/>
      <c r="K78" s="542"/>
      <c r="L78" s="522"/>
    </row>
    <row r="79" ht="22.5" customHeight="1">
      <c r="A79" s="550" t="s">
        <v>1534</v>
      </c>
      <c r="B79" s="551">
        <v>3.904050025E9</v>
      </c>
      <c r="C79" s="552" t="s">
        <v>29</v>
      </c>
      <c r="D79" s="553">
        <v>46135.0</v>
      </c>
      <c r="E79" s="552" t="s">
        <v>1467</v>
      </c>
      <c r="H79" s="544"/>
      <c r="I79" s="522"/>
      <c r="J79" s="522"/>
      <c r="K79" s="542"/>
      <c r="L79" s="522"/>
    </row>
    <row r="80" ht="22.5" customHeight="1">
      <c r="A80" s="550" t="s">
        <v>1535</v>
      </c>
      <c r="B80" s="551">
        <v>5.042015329E9</v>
      </c>
      <c r="C80" s="552" t="s">
        <v>29</v>
      </c>
      <c r="D80" s="553">
        <v>46135.0</v>
      </c>
      <c r="E80" s="552" t="s">
        <v>1467</v>
      </c>
      <c r="H80" s="544"/>
      <c r="I80" s="522"/>
      <c r="J80" s="522"/>
      <c r="K80" s="542"/>
      <c r="L80" s="522"/>
    </row>
    <row r="81" ht="22.5" customHeight="1">
      <c r="A81" s="550" t="s">
        <v>1536</v>
      </c>
      <c r="B81" s="551">
        <v>9.72932655E9</v>
      </c>
      <c r="C81" s="552" t="s">
        <v>29</v>
      </c>
      <c r="D81" s="553">
        <v>46135.0</v>
      </c>
      <c r="E81" s="552" t="s">
        <v>1467</v>
      </c>
      <c r="H81" s="544"/>
      <c r="I81" s="522"/>
      <c r="J81" s="522"/>
      <c r="K81" s="542"/>
      <c r="L81" s="522"/>
    </row>
    <row r="82" ht="22.5" customHeight="1">
      <c r="A82" s="550" t="s">
        <v>1537</v>
      </c>
      <c r="B82" s="551">
        <v>3.3271409E9</v>
      </c>
      <c r="C82" s="552" t="s">
        <v>29</v>
      </c>
      <c r="D82" s="553">
        <v>46136.0</v>
      </c>
      <c r="E82" s="552" t="s">
        <v>1467</v>
      </c>
      <c r="H82" s="544"/>
      <c r="I82" s="522"/>
      <c r="J82" s="522"/>
      <c r="K82" s="542"/>
      <c r="L82" s="522"/>
    </row>
    <row r="83" ht="22.5" customHeight="1">
      <c r="A83" s="550" t="s">
        <v>1538</v>
      </c>
      <c r="B83" s="551">
        <v>5.052021924E9</v>
      </c>
      <c r="C83" s="552" t="s">
        <v>95</v>
      </c>
      <c r="D83" s="553">
        <v>46136.0</v>
      </c>
      <c r="E83" s="552" t="s">
        <v>1467</v>
      </c>
      <c r="H83" s="544"/>
      <c r="I83" s="522"/>
      <c r="J83" s="522"/>
      <c r="K83" s="542"/>
      <c r="L83" s="522"/>
    </row>
    <row r="84" ht="22.5" customHeight="1">
      <c r="A84" s="550" t="s">
        <v>509</v>
      </c>
      <c r="B84" s="551"/>
      <c r="C84" s="552" t="s">
        <v>95</v>
      </c>
      <c r="D84" s="553">
        <v>46139.0</v>
      </c>
      <c r="E84" s="552" t="s">
        <v>1454</v>
      </c>
      <c r="H84" s="544"/>
      <c r="I84" s="522"/>
      <c r="J84" s="522"/>
      <c r="K84" s="542"/>
      <c r="L84" s="522"/>
    </row>
    <row r="85" ht="22.5" customHeight="1">
      <c r="A85" s="550" t="s">
        <v>1539</v>
      </c>
      <c r="B85" s="551">
        <v>5.027300219E9</v>
      </c>
      <c r="C85" s="552" t="s">
        <v>164</v>
      </c>
      <c r="D85" s="553">
        <v>46132.0</v>
      </c>
      <c r="E85" s="552" t="s">
        <v>1467</v>
      </c>
      <c r="H85" s="544"/>
      <c r="I85" s="522"/>
      <c r="J85" s="522"/>
      <c r="K85" s="542"/>
      <c r="L85" s="522"/>
    </row>
    <row r="86" ht="22.5" customHeight="1">
      <c r="A86" s="550" t="s">
        <v>1540</v>
      </c>
      <c r="B86" s="551">
        <v>7.72783352E9</v>
      </c>
      <c r="C86" s="552" t="s">
        <v>164</v>
      </c>
      <c r="D86" s="553">
        <v>46132.0</v>
      </c>
      <c r="E86" s="552" t="s">
        <v>1467</v>
      </c>
      <c r="H86" s="544"/>
      <c r="I86" s="522"/>
      <c r="J86" s="522"/>
      <c r="K86" s="542"/>
      <c r="L86" s="522"/>
    </row>
    <row r="87" ht="22.5" customHeight="1">
      <c r="A87" s="550" t="s">
        <v>1541</v>
      </c>
      <c r="B87" s="551">
        <v>5.402554495E9</v>
      </c>
      <c r="C87" s="552" t="s">
        <v>164</v>
      </c>
      <c r="D87" s="553">
        <v>46160.0</v>
      </c>
      <c r="E87" s="552" t="s">
        <v>1487</v>
      </c>
      <c r="H87" s="544"/>
      <c r="I87" s="522"/>
      <c r="J87" s="522"/>
      <c r="K87" s="542"/>
      <c r="L87" s="522"/>
    </row>
    <row r="88" ht="22.5" customHeight="1">
      <c r="A88" s="550" t="s">
        <v>1542</v>
      </c>
      <c r="B88" s="551">
        <v>2.6511645002E10</v>
      </c>
      <c r="C88" s="552" t="s">
        <v>164</v>
      </c>
      <c r="D88" s="553">
        <v>46127.0</v>
      </c>
      <c r="E88" s="552" t="s">
        <v>1467</v>
      </c>
      <c r="H88" s="544"/>
      <c r="I88" s="522"/>
      <c r="J88" s="522"/>
      <c r="K88" s="542"/>
      <c r="L88" s="522"/>
    </row>
    <row r="89" ht="22.5" customHeight="1">
      <c r="A89" s="550" t="s">
        <v>1543</v>
      </c>
      <c r="B89" s="551">
        <v>7.729328949E9</v>
      </c>
      <c r="C89" s="552" t="s">
        <v>164</v>
      </c>
      <c r="D89" s="553">
        <v>46160.0</v>
      </c>
      <c r="E89" s="552" t="s">
        <v>1467</v>
      </c>
      <c r="H89" s="544"/>
      <c r="I89" s="522"/>
      <c r="J89" s="522"/>
      <c r="K89" s="542"/>
      <c r="L89" s="522"/>
    </row>
    <row r="90" ht="22.5" customHeight="1">
      <c r="A90" s="550" t="s">
        <v>1544</v>
      </c>
      <c r="B90" s="551">
        <v>5.506204921E9</v>
      </c>
      <c r="C90" s="552" t="s">
        <v>164</v>
      </c>
      <c r="D90" s="553">
        <v>46156.0</v>
      </c>
      <c r="E90" s="552" t="s">
        <v>1467</v>
      </c>
      <c r="H90" s="544"/>
      <c r="I90" s="522"/>
      <c r="J90" s="522"/>
      <c r="K90" s="542"/>
      <c r="L90" s="522"/>
    </row>
    <row r="91" ht="22.5" customHeight="1">
      <c r="A91" s="550" t="s">
        <v>1545</v>
      </c>
      <c r="B91" s="551">
        <v>7.724378456E9</v>
      </c>
      <c r="C91" s="552" t="s">
        <v>164</v>
      </c>
      <c r="D91" s="553">
        <v>46170.0</v>
      </c>
      <c r="E91" s="552" t="s">
        <v>1465</v>
      </c>
      <c r="H91" s="544"/>
      <c r="I91" s="522"/>
      <c r="J91" s="522"/>
      <c r="K91" s="542"/>
      <c r="L91" s="522"/>
    </row>
    <row r="92" ht="22.5" customHeight="1">
      <c r="A92" s="550" t="s">
        <v>1546</v>
      </c>
      <c r="B92" s="551">
        <v>6.827014025E9</v>
      </c>
      <c r="C92" s="552" t="s">
        <v>164</v>
      </c>
      <c r="D92" s="553">
        <v>46175.0</v>
      </c>
      <c r="E92" s="552" t="s">
        <v>1467</v>
      </c>
      <c r="H92" s="544"/>
      <c r="I92" s="522"/>
      <c r="J92" s="522"/>
      <c r="K92" s="542"/>
      <c r="L92" s="522"/>
    </row>
    <row r="93" ht="22.5" customHeight="1">
      <c r="A93" s="550" t="s">
        <v>1547</v>
      </c>
      <c r="B93" s="551">
        <v>6.119015157E9</v>
      </c>
      <c r="C93" s="552" t="s">
        <v>164</v>
      </c>
      <c r="D93" s="553">
        <v>46142.0</v>
      </c>
      <c r="E93" s="552" t="s">
        <v>1548</v>
      </c>
      <c r="H93" s="544"/>
      <c r="I93" s="522"/>
      <c r="J93" s="522"/>
      <c r="K93" s="542"/>
      <c r="L93" s="522"/>
    </row>
    <row r="94" ht="22.5" customHeight="1">
      <c r="A94" s="550" t="s">
        <v>1549</v>
      </c>
      <c r="B94" s="551">
        <v>9.709107021E9</v>
      </c>
      <c r="C94" s="552" t="s">
        <v>164</v>
      </c>
      <c r="D94" s="553">
        <v>46129.0</v>
      </c>
      <c r="E94" s="552" t="s">
        <v>1467</v>
      </c>
      <c r="H94" s="544"/>
      <c r="I94" s="522"/>
      <c r="J94" s="522"/>
      <c r="K94" s="542"/>
      <c r="L94" s="522"/>
    </row>
    <row r="95" ht="22.5" customHeight="1">
      <c r="A95" s="550" t="s">
        <v>1550</v>
      </c>
      <c r="B95" s="551">
        <v>5.024136063E9</v>
      </c>
      <c r="C95" s="552" t="s">
        <v>164</v>
      </c>
      <c r="D95" s="553">
        <v>46127.0</v>
      </c>
      <c r="E95" s="552" t="s">
        <v>1467</v>
      </c>
      <c r="H95" s="544"/>
      <c r="I95" s="522"/>
      <c r="J95" s="522"/>
      <c r="K95" s="542"/>
      <c r="L95" s="522"/>
    </row>
    <row r="96" ht="22.5" customHeight="1">
      <c r="A96" s="550" t="s">
        <v>1551</v>
      </c>
      <c r="B96" s="551">
        <v>7.735157466E9</v>
      </c>
      <c r="C96" s="552" t="s">
        <v>164</v>
      </c>
      <c r="D96" s="553">
        <v>46129.0</v>
      </c>
      <c r="E96" s="552" t="s">
        <v>1467</v>
      </c>
      <c r="H96" s="544"/>
      <c r="I96" s="522"/>
      <c r="J96" s="522"/>
      <c r="K96" s="542"/>
      <c r="L96" s="522"/>
    </row>
    <row r="97" ht="22.5" customHeight="1">
      <c r="A97" s="550" t="s">
        <v>1552</v>
      </c>
      <c r="B97" s="551">
        <v>7.716775403E9</v>
      </c>
      <c r="C97" s="552" t="s">
        <v>164</v>
      </c>
      <c r="D97" s="553">
        <v>46133.0</v>
      </c>
      <c r="E97" s="552" t="s">
        <v>1467</v>
      </c>
      <c r="H97" s="544"/>
      <c r="I97" s="522"/>
      <c r="J97" s="522"/>
      <c r="K97" s="542"/>
      <c r="L97" s="522"/>
    </row>
    <row r="98" ht="22.5" customHeight="1">
      <c r="A98" s="550" t="s">
        <v>1553</v>
      </c>
      <c r="B98" s="551">
        <v>7.720846791E9</v>
      </c>
      <c r="C98" s="552" t="s">
        <v>164</v>
      </c>
      <c r="D98" s="553">
        <v>46161.0</v>
      </c>
      <c r="E98" s="552" t="s">
        <v>1548</v>
      </c>
      <c r="H98" s="544"/>
      <c r="I98" s="522"/>
      <c r="J98" s="522"/>
      <c r="K98" s="542"/>
      <c r="L98" s="522"/>
    </row>
    <row r="99" ht="22.5" customHeight="1">
      <c r="A99" s="550" t="s">
        <v>1554</v>
      </c>
      <c r="B99" s="551">
        <v>7.705442152E9</v>
      </c>
      <c r="C99" s="552" t="s">
        <v>164</v>
      </c>
      <c r="D99" s="553">
        <v>46122.0</v>
      </c>
      <c r="E99" s="552" t="s">
        <v>1548</v>
      </c>
      <c r="H99" s="544"/>
      <c r="I99" s="522"/>
      <c r="J99" s="522"/>
      <c r="K99" s="542"/>
      <c r="L99" s="522"/>
    </row>
    <row r="100" ht="22.5" customHeight="1">
      <c r="A100" s="550" t="s">
        <v>1555</v>
      </c>
      <c r="B100" s="551">
        <v>7.45326815E9</v>
      </c>
      <c r="C100" s="552" t="s">
        <v>164</v>
      </c>
      <c r="D100" s="553">
        <v>46134.0</v>
      </c>
      <c r="E100" s="552" t="s">
        <v>1467</v>
      </c>
      <c r="H100" s="544"/>
      <c r="I100" s="522"/>
      <c r="J100" s="522"/>
      <c r="K100" s="542"/>
      <c r="L100" s="522"/>
    </row>
    <row r="101" ht="22.5" customHeight="1">
      <c r="A101" s="550" t="s">
        <v>1556</v>
      </c>
      <c r="B101" s="551">
        <v>1.32400261E9</v>
      </c>
      <c r="C101" s="552" t="s">
        <v>164</v>
      </c>
      <c r="D101" s="553">
        <v>46122.0</v>
      </c>
      <c r="E101" s="552" t="s">
        <v>1548</v>
      </c>
      <c r="F101" s="544"/>
      <c r="H101" s="544"/>
      <c r="I101" s="522"/>
      <c r="J101" s="522"/>
      <c r="K101" s="542"/>
      <c r="L101" s="522"/>
    </row>
    <row r="102" ht="22.5" customHeight="1">
      <c r="A102" s="550" t="s">
        <v>1557</v>
      </c>
      <c r="B102" s="551">
        <v>2.308060905E9</v>
      </c>
      <c r="C102" s="552" t="s">
        <v>164</v>
      </c>
      <c r="D102" s="553">
        <v>46127.0</v>
      </c>
      <c r="E102" s="552" t="s">
        <v>1467</v>
      </c>
      <c r="H102" s="544"/>
      <c r="I102" s="522"/>
      <c r="J102" s="522"/>
      <c r="K102" s="542"/>
      <c r="L102" s="522"/>
    </row>
    <row r="103" ht="22.5" customHeight="1">
      <c r="A103" s="550" t="s">
        <v>1558</v>
      </c>
      <c r="B103" s="551">
        <v>5.034054412E9</v>
      </c>
      <c r="C103" s="552" t="s">
        <v>164</v>
      </c>
      <c r="D103" s="553">
        <v>46161.0</v>
      </c>
      <c r="E103" s="552" t="s">
        <v>1467</v>
      </c>
      <c r="H103" s="544"/>
      <c r="I103" s="522"/>
      <c r="J103" s="522"/>
      <c r="K103" s="542"/>
      <c r="L103" s="522"/>
    </row>
    <row r="104" ht="22.5" customHeight="1">
      <c r="A104" s="550" t="s">
        <v>1559</v>
      </c>
      <c r="B104" s="551">
        <v>3.721007671E9</v>
      </c>
      <c r="C104" s="552" t="s">
        <v>164</v>
      </c>
      <c r="D104" s="553">
        <v>46129.0</v>
      </c>
      <c r="E104" s="552" t="s">
        <v>1467</v>
      </c>
      <c r="H104" s="544"/>
      <c r="I104" s="522"/>
      <c r="J104" s="522"/>
      <c r="K104" s="542"/>
      <c r="L104" s="522"/>
    </row>
    <row r="105" ht="22.5" customHeight="1">
      <c r="A105" s="550" t="s">
        <v>1560</v>
      </c>
      <c r="B105" s="551">
        <v>3.666119396E9</v>
      </c>
      <c r="C105" s="552" t="s">
        <v>164</v>
      </c>
      <c r="D105" s="553">
        <v>46126.0</v>
      </c>
      <c r="E105" s="552" t="s">
        <v>1561</v>
      </c>
      <c r="H105" s="544"/>
      <c r="I105" s="522"/>
      <c r="J105" s="522"/>
      <c r="K105" s="542"/>
      <c r="L105" s="522"/>
    </row>
    <row r="106" ht="22.5" customHeight="1">
      <c r="A106" s="550" t="s">
        <v>1562</v>
      </c>
      <c r="B106" s="551">
        <v>7.743752652E9</v>
      </c>
      <c r="C106" s="552" t="s">
        <v>164</v>
      </c>
      <c r="D106" s="553">
        <v>46155.0</v>
      </c>
      <c r="E106" s="552" t="s">
        <v>1467</v>
      </c>
      <c r="H106" s="544"/>
      <c r="I106" s="522"/>
      <c r="J106" s="522"/>
      <c r="K106" s="542"/>
      <c r="L106" s="522"/>
    </row>
    <row r="107" ht="22.5" customHeight="1">
      <c r="A107" s="550" t="s">
        <v>948</v>
      </c>
      <c r="B107" s="551">
        <v>9.728061326E9</v>
      </c>
      <c r="C107" s="552" t="s">
        <v>164</v>
      </c>
      <c r="D107" s="553">
        <v>46170.0</v>
      </c>
      <c r="E107" s="552" t="s">
        <v>1454</v>
      </c>
      <c r="H107" s="544"/>
      <c r="I107" s="522"/>
      <c r="J107" s="522"/>
      <c r="K107" s="542"/>
      <c r="L107" s="522"/>
    </row>
    <row r="108" ht="22.5" customHeight="1">
      <c r="A108" s="550" t="s">
        <v>1563</v>
      </c>
      <c r="B108" s="551">
        <v>7.724766868E9</v>
      </c>
      <c r="C108" s="552" t="s">
        <v>164</v>
      </c>
      <c r="D108" s="553">
        <v>46161.0</v>
      </c>
      <c r="E108" s="552" t="s">
        <v>1467</v>
      </c>
      <c r="H108" s="544"/>
      <c r="I108" s="522"/>
      <c r="J108" s="522"/>
      <c r="K108" s="542"/>
      <c r="L108" s="522"/>
    </row>
    <row r="109" ht="22.5" customHeight="1">
      <c r="A109" s="550" t="s">
        <v>706</v>
      </c>
      <c r="B109" s="551">
        <v>6.45503630031E11</v>
      </c>
      <c r="C109" s="552" t="s">
        <v>164</v>
      </c>
      <c r="D109" s="553">
        <v>46160.0</v>
      </c>
      <c r="E109" s="552" t="s">
        <v>1454</v>
      </c>
      <c r="H109" s="544"/>
      <c r="I109" s="522"/>
      <c r="J109" s="522"/>
      <c r="K109" s="542"/>
      <c r="L109" s="522"/>
    </row>
    <row r="110" ht="22.5" customHeight="1">
      <c r="A110" s="550" t="s">
        <v>1564</v>
      </c>
      <c r="B110" s="551">
        <v>5.04215875E9</v>
      </c>
      <c r="C110" s="552" t="s">
        <v>164</v>
      </c>
      <c r="D110" s="553">
        <v>46163.0</v>
      </c>
      <c r="E110" s="552" t="s">
        <v>1565</v>
      </c>
      <c r="H110" s="544"/>
      <c r="I110" s="522"/>
      <c r="J110" s="522"/>
      <c r="K110" s="542"/>
      <c r="L110" s="522"/>
    </row>
    <row r="111" ht="22.5" customHeight="1">
      <c r="A111" s="550" t="s">
        <v>1566</v>
      </c>
      <c r="B111" s="551">
        <v>7.72078542077E11</v>
      </c>
      <c r="C111" s="552" t="s">
        <v>29</v>
      </c>
      <c r="D111" s="553">
        <v>46140.0</v>
      </c>
      <c r="E111" s="552" t="s">
        <v>1567</v>
      </c>
      <c r="H111" s="544"/>
      <c r="I111" s="522"/>
      <c r="J111" s="522"/>
      <c r="K111" s="542"/>
      <c r="L111" s="522"/>
    </row>
    <row r="112" ht="22.5" customHeight="1">
      <c r="A112" s="550" t="s">
        <v>1568</v>
      </c>
      <c r="B112" s="551">
        <v>7.725623076E9</v>
      </c>
      <c r="C112" s="552" t="s">
        <v>229</v>
      </c>
      <c r="D112" s="553">
        <v>46132.0</v>
      </c>
      <c r="E112" s="552" t="s">
        <v>1467</v>
      </c>
      <c r="H112" s="544"/>
      <c r="I112" s="522"/>
      <c r="J112" s="522"/>
      <c r="K112" s="542"/>
      <c r="L112" s="522"/>
    </row>
    <row r="113" ht="22.5" customHeight="1">
      <c r="A113" s="550" t="s">
        <v>1569</v>
      </c>
      <c r="B113" s="551">
        <v>9.715472167E9</v>
      </c>
      <c r="C113" s="552" t="s">
        <v>229</v>
      </c>
      <c r="D113" s="553">
        <v>46142.0</v>
      </c>
      <c r="E113" s="552" t="s">
        <v>1467</v>
      </c>
      <c r="H113" s="544"/>
      <c r="I113" s="522"/>
      <c r="J113" s="522"/>
      <c r="K113" s="542"/>
      <c r="L113" s="522"/>
    </row>
    <row r="114" ht="22.5" customHeight="1">
      <c r="A114" s="550" t="s">
        <v>1570</v>
      </c>
      <c r="B114" s="551">
        <v>7.701694046E9</v>
      </c>
      <c r="C114" s="552" t="s">
        <v>1571</v>
      </c>
      <c r="D114" s="553">
        <v>46142.0</v>
      </c>
      <c r="E114" s="552" t="s">
        <v>1572</v>
      </c>
      <c r="H114" s="544"/>
      <c r="I114" s="522"/>
      <c r="J114" s="522"/>
      <c r="K114" s="542"/>
      <c r="L114" s="522"/>
    </row>
    <row r="115" ht="22.5" customHeight="1">
      <c r="A115" s="550" t="s">
        <v>1573</v>
      </c>
      <c r="B115" s="551" t="s">
        <v>1574</v>
      </c>
      <c r="C115" s="552" t="s">
        <v>29</v>
      </c>
      <c r="D115" s="553">
        <v>46148.0</v>
      </c>
      <c r="E115" s="552" t="s">
        <v>1575</v>
      </c>
      <c r="H115" s="544"/>
      <c r="I115" s="522"/>
      <c r="J115" s="522"/>
      <c r="K115" s="542"/>
      <c r="L115" s="522"/>
    </row>
    <row r="116" ht="22.5" customHeight="1">
      <c r="A116" s="550" t="s">
        <v>1576</v>
      </c>
      <c r="B116" s="551">
        <v>7.710599695E9</v>
      </c>
      <c r="C116" s="552" t="s">
        <v>29</v>
      </c>
      <c r="D116" s="553">
        <v>46149.0</v>
      </c>
      <c r="E116" s="552" t="s">
        <v>1439</v>
      </c>
      <c r="H116" s="544"/>
      <c r="I116" s="522"/>
      <c r="J116" s="522"/>
      <c r="K116" s="542"/>
      <c r="L116" s="522"/>
    </row>
    <row r="117" ht="22.5" customHeight="1">
      <c r="A117" s="550" t="s">
        <v>1577</v>
      </c>
      <c r="B117" s="551">
        <v>7.730248208E9</v>
      </c>
      <c r="C117" s="552" t="s">
        <v>51</v>
      </c>
      <c r="D117" s="553">
        <v>46203.0</v>
      </c>
      <c r="E117" s="552" t="s">
        <v>1578</v>
      </c>
      <c r="H117" s="544"/>
      <c r="I117" s="522"/>
      <c r="J117" s="522"/>
      <c r="K117" s="542"/>
      <c r="L117" s="522"/>
    </row>
    <row r="118" ht="22.5" customHeight="1">
      <c r="A118" s="550" t="s">
        <v>1579</v>
      </c>
      <c r="B118" s="551">
        <v>9.71806297E9</v>
      </c>
      <c r="C118" s="552" t="s">
        <v>29</v>
      </c>
      <c r="D118" s="553">
        <v>46157.0</v>
      </c>
      <c r="E118" s="552" t="s">
        <v>1572</v>
      </c>
      <c r="H118" s="544"/>
      <c r="I118" s="522"/>
      <c r="J118" s="522"/>
      <c r="K118" s="542"/>
      <c r="L118" s="522"/>
    </row>
    <row r="119" ht="22.5" customHeight="1">
      <c r="A119" s="550" t="s">
        <v>1580</v>
      </c>
      <c r="B119" s="551">
        <v>1.660349181E9</v>
      </c>
      <c r="C119" s="552" t="s">
        <v>1450</v>
      </c>
      <c r="D119" s="553">
        <v>46202.0</v>
      </c>
      <c r="E119" s="552" t="s">
        <v>1454</v>
      </c>
      <c r="H119" s="544"/>
      <c r="I119" s="522"/>
      <c r="J119" s="522"/>
      <c r="K119" s="542"/>
      <c r="L119" s="522"/>
    </row>
    <row r="120" ht="22.5" customHeight="1">
      <c r="A120" s="550" t="s">
        <v>1581</v>
      </c>
      <c r="B120" s="551">
        <v>9.715387E9</v>
      </c>
      <c r="C120" s="552" t="s">
        <v>1450</v>
      </c>
      <c r="D120" s="553">
        <v>46202.0</v>
      </c>
      <c r="E120" s="552" t="s">
        <v>1582</v>
      </c>
      <c r="H120" s="544"/>
      <c r="I120" s="522"/>
      <c r="J120" s="522"/>
      <c r="K120" s="542"/>
      <c r="L120" s="522"/>
    </row>
    <row r="121" ht="39.75" customHeight="1">
      <c r="A121" s="550" t="s">
        <v>1583</v>
      </c>
      <c r="B121" s="551">
        <v>7.40400188249E11</v>
      </c>
      <c r="C121" s="552" t="s">
        <v>29</v>
      </c>
      <c r="D121" s="553">
        <v>46157.0</v>
      </c>
      <c r="E121" s="552" t="s">
        <v>1584</v>
      </c>
      <c r="H121" s="544"/>
      <c r="I121" s="522"/>
      <c r="J121" s="522"/>
      <c r="K121" s="542"/>
      <c r="L121" s="522"/>
    </row>
    <row r="122" ht="22.5" customHeight="1">
      <c r="A122" s="550" t="s">
        <v>1585</v>
      </c>
      <c r="B122" s="551">
        <v>7.722582752E9</v>
      </c>
      <c r="C122" s="552" t="s">
        <v>1586</v>
      </c>
      <c r="D122" s="553"/>
      <c r="E122" s="552" t="s">
        <v>1454</v>
      </c>
      <c r="H122" s="544"/>
      <c r="I122" s="522"/>
      <c r="J122" s="522"/>
      <c r="K122" s="542"/>
      <c r="L122" s="522"/>
    </row>
    <row r="123" ht="22.5" customHeight="1">
      <c r="A123" s="550" t="s">
        <v>1587</v>
      </c>
      <c r="B123" s="551">
        <v>9.715395E9</v>
      </c>
      <c r="C123" s="552" t="s">
        <v>1586</v>
      </c>
      <c r="D123" s="553"/>
      <c r="E123" s="552" t="s">
        <v>1454</v>
      </c>
      <c r="H123" s="544"/>
      <c r="I123" s="522"/>
      <c r="J123" s="522"/>
      <c r="K123" s="542"/>
      <c r="L123" s="522"/>
    </row>
    <row r="124" ht="22.5" customHeight="1">
      <c r="A124" s="550" t="s">
        <v>1588</v>
      </c>
      <c r="B124" s="551">
        <v>7.707274746E9</v>
      </c>
      <c r="C124" s="552" t="s">
        <v>1586</v>
      </c>
      <c r="D124" s="553"/>
      <c r="E124" s="552" t="s">
        <v>1454</v>
      </c>
      <c r="H124" s="544"/>
      <c r="I124" s="522"/>
      <c r="J124" s="522"/>
      <c r="K124" s="542"/>
      <c r="L124" s="522"/>
    </row>
    <row r="125" ht="22.5" customHeight="1">
      <c r="A125" s="550" t="s">
        <v>1589</v>
      </c>
      <c r="B125" s="551">
        <v>7.724721994E9</v>
      </c>
      <c r="C125" s="552" t="s">
        <v>1586</v>
      </c>
      <c r="D125" s="553"/>
      <c r="E125" s="552" t="s">
        <v>1454</v>
      </c>
      <c r="H125" s="544"/>
      <c r="I125" s="522"/>
      <c r="J125" s="522"/>
      <c r="K125" s="542"/>
      <c r="L125" s="522"/>
    </row>
    <row r="126" ht="22.5" customHeight="1">
      <c r="A126" s="550" t="s">
        <v>1590</v>
      </c>
      <c r="B126" s="551">
        <v>3.311021111E9</v>
      </c>
      <c r="C126" s="552" t="s">
        <v>29</v>
      </c>
      <c r="D126" s="553">
        <v>46160.0</v>
      </c>
      <c r="E126" s="552" t="s">
        <v>1591</v>
      </c>
      <c r="H126" s="544"/>
      <c r="I126" s="522"/>
      <c r="J126" s="522"/>
      <c r="K126" s="542"/>
      <c r="L126" s="522"/>
    </row>
    <row r="127" ht="22.5" customHeight="1">
      <c r="A127" s="550" t="s">
        <v>1592</v>
      </c>
      <c r="B127" s="551">
        <v>7.70158279E9</v>
      </c>
      <c r="C127" s="552" t="s">
        <v>164</v>
      </c>
      <c r="D127" s="553">
        <v>46161.0</v>
      </c>
      <c r="E127" s="552" t="s">
        <v>1465</v>
      </c>
      <c r="F127" s="559"/>
      <c r="G127" s="559"/>
      <c r="H127" s="560"/>
      <c r="I127" s="559"/>
      <c r="J127" s="559"/>
      <c r="K127" s="561"/>
      <c r="L127" s="559"/>
      <c r="M127" s="559"/>
      <c r="N127" s="559"/>
      <c r="O127" s="559"/>
      <c r="P127" s="559"/>
      <c r="Q127" s="559"/>
      <c r="R127" s="559"/>
      <c r="S127" s="559"/>
      <c r="T127" s="559"/>
      <c r="U127" s="559"/>
      <c r="V127" s="559"/>
      <c r="W127" s="559"/>
      <c r="X127" s="559"/>
      <c r="Y127" s="559"/>
      <c r="Z127" s="559"/>
      <c r="AA127" s="559"/>
    </row>
    <row r="128" ht="22.5" customHeight="1">
      <c r="A128" s="550" t="s">
        <v>1593</v>
      </c>
      <c r="B128" s="551">
        <v>9.714017422E9</v>
      </c>
      <c r="C128" s="552" t="s">
        <v>1586</v>
      </c>
      <c r="D128" s="553"/>
      <c r="E128" s="552" t="s">
        <v>1454</v>
      </c>
      <c r="H128" s="544"/>
      <c r="I128" s="522"/>
      <c r="J128" s="522"/>
      <c r="K128" s="542"/>
      <c r="L128" s="522"/>
    </row>
    <row r="129" ht="22.5" customHeight="1">
      <c r="A129" s="550" t="s">
        <v>1594</v>
      </c>
      <c r="B129" s="551">
        <v>5.009125821E9</v>
      </c>
      <c r="C129" s="552" t="s">
        <v>1586</v>
      </c>
      <c r="D129" s="553"/>
      <c r="E129" s="552" t="s">
        <v>1454</v>
      </c>
      <c r="H129" s="544"/>
      <c r="I129" s="522"/>
      <c r="J129" s="522"/>
      <c r="K129" s="542"/>
      <c r="L129" s="522"/>
    </row>
    <row r="130" ht="22.5" customHeight="1">
      <c r="A130" s="550" t="s">
        <v>1595</v>
      </c>
      <c r="B130" s="551">
        <v>5.30201432E9</v>
      </c>
      <c r="C130" s="552" t="s">
        <v>51</v>
      </c>
      <c r="D130" s="553">
        <v>46167.0</v>
      </c>
      <c r="E130" s="552" t="s">
        <v>1596</v>
      </c>
      <c r="H130" s="544"/>
      <c r="I130" s="522"/>
      <c r="J130" s="522"/>
      <c r="K130" s="542"/>
      <c r="L130" s="522"/>
    </row>
    <row r="131" ht="22.5" customHeight="1">
      <c r="A131" s="550" t="s">
        <v>1597</v>
      </c>
      <c r="B131" s="551">
        <v>8.0000945E8</v>
      </c>
      <c r="C131" s="552" t="s">
        <v>1193</v>
      </c>
      <c r="D131" s="553">
        <v>46160.0</v>
      </c>
      <c r="E131" s="550" t="s">
        <v>1598</v>
      </c>
      <c r="H131" s="544"/>
      <c r="I131" s="522"/>
      <c r="J131" s="522"/>
      <c r="K131" s="542"/>
      <c r="L131" s="522"/>
    </row>
    <row r="132" ht="22.5" customHeight="1">
      <c r="A132" s="550" t="s">
        <v>1599</v>
      </c>
      <c r="B132" s="551">
        <v>9.725087686E9</v>
      </c>
      <c r="C132" s="552" t="s">
        <v>1193</v>
      </c>
      <c r="D132" s="553">
        <v>46160.0</v>
      </c>
      <c r="E132" s="550" t="s">
        <v>1600</v>
      </c>
      <c r="H132" s="544"/>
      <c r="I132" s="522"/>
      <c r="J132" s="522"/>
      <c r="K132" s="542"/>
      <c r="L132" s="522"/>
    </row>
    <row r="133" ht="22.5" customHeight="1">
      <c r="A133" s="550" t="s">
        <v>1601</v>
      </c>
      <c r="B133" s="551">
        <v>7.802568506E9</v>
      </c>
      <c r="C133" s="552" t="s">
        <v>1193</v>
      </c>
      <c r="D133" s="553">
        <v>46160.0</v>
      </c>
      <c r="E133" s="550" t="s">
        <v>1602</v>
      </c>
      <c r="H133" s="544"/>
      <c r="I133" s="522"/>
      <c r="J133" s="522"/>
      <c r="K133" s="542"/>
      <c r="L133" s="522"/>
    </row>
    <row r="134" ht="22.5" customHeight="1">
      <c r="A134" s="550" t="s">
        <v>1603</v>
      </c>
      <c r="B134" s="551" t="s">
        <v>1604</v>
      </c>
      <c r="C134" s="552" t="s">
        <v>1193</v>
      </c>
      <c r="D134" s="553">
        <v>46160.0</v>
      </c>
      <c r="E134" s="550" t="s">
        <v>1605</v>
      </c>
      <c r="H134" s="544"/>
      <c r="I134" s="522"/>
      <c r="J134" s="522"/>
      <c r="K134" s="542"/>
      <c r="L134" s="522"/>
    </row>
    <row r="135" ht="22.5" customHeight="1">
      <c r="A135" s="550" t="s">
        <v>1606</v>
      </c>
      <c r="B135" s="551">
        <v>7.733415841E9</v>
      </c>
      <c r="C135" s="552" t="s">
        <v>95</v>
      </c>
      <c r="D135" s="553"/>
      <c r="E135" s="552"/>
      <c r="H135" s="544"/>
      <c r="I135" s="522"/>
      <c r="J135" s="522"/>
      <c r="K135" s="542"/>
      <c r="L135" s="522"/>
    </row>
    <row r="136" ht="22.5" customHeight="1">
      <c r="A136" s="550" t="s">
        <v>1607</v>
      </c>
      <c r="B136" s="551">
        <v>5.918219684E9</v>
      </c>
      <c r="C136" s="552" t="s">
        <v>95</v>
      </c>
      <c r="D136" s="553"/>
      <c r="E136" s="552" t="s">
        <v>1608</v>
      </c>
      <c r="H136" s="544"/>
      <c r="I136" s="522"/>
      <c r="J136" s="522"/>
      <c r="K136" s="542"/>
      <c r="L136" s="522"/>
    </row>
    <row r="137" ht="22.5" customHeight="1">
      <c r="A137" s="550" t="s">
        <v>1609</v>
      </c>
      <c r="B137" s="551">
        <v>2.76068207E8</v>
      </c>
      <c r="C137" s="552" t="s">
        <v>95</v>
      </c>
      <c r="D137" s="553"/>
      <c r="E137" s="552"/>
      <c r="H137" s="544"/>
      <c r="I137" s="522"/>
      <c r="J137" s="522"/>
      <c r="K137" s="542"/>
      <c r="L137" s="522"/>
    </row>
    <row r="138" ht="22.5" customHeight="1">
      <c r="A138" s="550" t="s">
        <v>1610</v>
      </c>
      <c r="B138" s="551">
        <v>7.730533854E9</v>
      </c>
      <c r="C138" s="552" t="s">
        <v>95</v>
      </c>
      <c r="D138" s="553"/>
      <c r="E138" s="552"/>
      <c r="H138" s="544"/>
      <c r="I138" s="522"/>
      <c r="J138" s="522"/>
      <c r="K138" s="542"/>
      <c r="L138" s="522"/>
    </row>
    <row r="139" ht="22.5" customHeight="1">
      <c r="A139" s="550" t="s">
        <v>1611</v>
      </c>
      <c r="B139" s="551">
        <v>4.825136384E9</v>
      </c>
      <c r="C139" s="552" t="s">
        <v>95</v>
      </c>
      <c r="D139" s="553"/>
      <c r="E139" s="552"/>
      <c r="H139" s="544"/>
      <c r="I139" s="522"/>
      <c r="J139" s="522"/>
      <c r="K139" s="542"/>
      <c r="L139" s="522"/>
    </row>
    <row r="140" ht="22.5" customHeight="1">
      <c r="A140" s="550" t="s">
        <v>1612</v>
      </c>
      <c r="B140" s="551">
        <v>3.665057179E9</v>
      </c>
      <c r="C140" s="552" t="s">
        <v>95</v>
      </c>
      <c r="D140" s="553"/>
      <c r="E140" s="552" t="s">
        <v>1454</v>
      </c>
      <c r="H140" s="544"/>
      <c r="I140" s="522"/>
      <c r="J140" s="522"/>
      <c r="K140" s="542"/>
      <c r="L140" s="522"/>
    </row>
    <row r="141" ht="22.5" customHeight="1">
      <c r="A141" s="550" t="s">
        <v>1613</v>
      </c>
      <c r="B141" s="551">
        <v>5.032099351E9</v>
      </c>
      <c r="C141" s="552" t="s">
        <v>95</v>
      </c>
      <c r="D141" s="553"/>
      <c r="E141" s="552" t="s">
        <v>1454</v>
      </c>
      <c r="H141" s="544"/>
      <c r="I141" s="522"/>
      <c r="J141" s="522"/>
      <c r="K141" s="542"/>
      <c r="L141" s="522"/>
    </row>
    <row r="142" ht="22.5" customHeight="1">
      <c r="A142" s="550" t="s">
        <v>1614</v>
      </c>
      <c r="B142" s="551">
        <v>3.662211827E9</v>
      </c>
      <c r="C142" s="552" t="s">
        <v>95</v>
      </c>
      <c r="D142" s="553"/>
      <c r="E142" s="552"/>
      <c r="H142" s="544"/>
      <c r="I142" s="522"/>
      <c r="J142" s="522"/>
      <c r="K142" s="542"/>
      <c r="L142" s="522"/>
    </row>
    <row r="143" ht="22.5" customHeight="1">
      <c r="A143" s="550" t="s">
        <v>1615</v>
      </c>
      <c r="B143" s="551">
        <v>9.718058204E9</v>
      </c>
      <c r="C143" s="552" t="s">
        <v>95</v>
      </c>
      <c r="D143" s="553"/>
      <c r="E143" s="552"/>
      <c r="H143" s="544"/>
      <c r="I143" s="522"/>
      <c r="J143" s="522"/>
      <c r="K143" s="542"/>
      <c r="L143" s="522"/>
    </row>
    <row r="144" ht="22.5" customHeight="1">
      <c r="A144" s="550" t="s">
        <v>1616</v>
      </c>
      <c r="B144" s="551">
        <v>7.725184492E9</v>
      </c>
      <c r="C144" s="552" t="s">
        <v>95</v>
      </c>
      <c r="D144" s="553"/>
      <c r="E144" s="552" t="s">
        <v>1467</v>
      </c>
      <c r="H144" s="544"/>
      <c r="I144" s="522"/>
      <c r="J144" s="522"/>
      <c r="K144" s="542"/>
      <c r="L144" s="522"/>
    </row>
    <row r="145" ht="22.5" customHeight="1">
      <c r="A145" s="550" t="s">
        <v>1617</v>
      </c>
      <c r="B145" s="551">
        <v>7.705908683E9</v>
      </c>
      <c r="C145" s="552" t="s">
        <v>95</v>
      </c>
      <c r="D145" s="553"/>
      <c r="E145" s="552"/>
      <c r="H145" s="544"/>
      <c r="I145" s="522"/>
      <c r="J145" s="522"/>
      <c r="K145" s="542"/>
      <c r="L145" s="522"/>
    </row>
    <row r="146" ht="22.5" customHeight="1">
      <c r="A146" s="550" t="s">
        <v>1618</v>
      </c>
      <c r="B146" s="551">
        <v>5.249003626E9</v>
      </c>
      <c r="C146" s="552" t="s">
        <v>95</v>
      </c>
      <c r="D146" s="553"/>
      <c r="E146" s="552" t="s">
        <v>1608</v>
      </c>
      <c r="H146" s="544"/>
      <c r="I146" s="522"/>
      <c r="J146" s="522"/>
      <c r="K146" s="542"/>
      <c r="L146" s="522"/>
    </row>
    <row r="147" ht="22.5" customHeight="1">
      <c r="A147" s="550" t="s">
        <v>1619</v>
      </c>
      <c r="B147" s="551">
        <v>7.70465104038E11</v>
      </c>
      <c r="C147" s="552" t="s">
        <v>95</v>
      </c>
      <c r="D147" s="553"/>
      <c r="E147" s="552"/>
      <c r="H147" s="544"/>
      <c r="I147" s="522"/>
      <c r="J147" s="522"/>
      <c r="K147" s="542"/>
      <c r="L147" s="522"/>
    </row>
    <row r="148" ht="22.5" customHeight="1">
      <c r="A148" s="550" t="s">
        <v>1620</v>
      </c>
      <c r="B148" s="551">
        <v>7.71919731E9</v>
      </c>
      <c r="C148" s="552" t="s">
        <v>95</v>
      </c>
      <c r="D148" s="553"/>
      <c r="E148" s="552"/>
      <c r="H148" s="544"/>
      <c r="I148" s="522"/>
      <c r="J148" s="522"/>
      <c r="K148" s="542"/>
      <c r="L148" s="522"/>
    </row>
    <row r="149" ht="22.5" customHeight="1">
      <c r="A149" s="550" t="s">
        <v>1621</v>
      </c>
      <c r="B149" s="551">
        <v>5.03008378E9</v>
      </c>
      <c r="C149" s="552" t="s">
        <v>95</v>
      </c>
      <c r="D149" s="553"/>
      <c r="E149" s="552"/>
      <c r="H149" s="544"/>
      <c r="I149" s="522"/>
      <c r="J149" s="522"/>
      <c r="K149" s="542"/>
      <c r="L149" s="522"/>
    </row>
    <row r="150" ht="22.5" customHeight="1">
      <c r="A150" s="550" t="s">
        <v>1622</v>
      </c>
      <c r="B150" s="551">
        <v>7.733272907E9</v>
      </c>
      <c r="C150" s="552" t="s">
        <v>95</v>
      </c>
      <c r="D150" s="553"/>
      <c r="E150" s="552" t="s">
        <v>1454</v>
      </c>
      <c r="H150" s="544"/>
      <c r="I150" s="522"/>
      <c r="J150" s="522"/>
      <c r="K150" s="542"/>
      <c r="L150" s="522"/>
    </row>
    <row r="151" ht="22.5" customHeight="1">
      <c r="A151" s="550" t="s">
        <v>1623</v>
      </c>
      <c r="B151" s="551">
        <v>9.7030509E9</v>
      </c>
      <c r="C151" s="552" t="s">
        <v>95</v>
      </c>
      <c r="D151" s="553"/>
      <c r="E151" s="552" t="s">
        <v>1454</v>
      </c>
      <c r="H151" s="544"/>
      <c r="I151" s="522"/>
      <c r="J151" s="522"/>
      <c r="K151" s="542"/>
      <c r="L151" s="522"/>
    </row>
    <row r="152" ht="22.5" customHeight="1">
      <c r="A152" s="550" t="s">
        <v>1624</v>
      </c>
      <c r="B152" s="551">
        <v>7.701412799E9</v>
      </c>
      <c r="C152" s="552" t="s">
        <v>95</v>
      </c>
      <c r="D152" s="553"/>
      <c r="E152" s="552"/>
      <c r="H152" s="544"/>
      <c r="I152" s="522"/>
      <c r="J152" s="522"/>
      <c r="K152" s="542"/>
      <c r="L152" s="522"/>
    </row>
    <row r="153" ht="22.5" customHeight="1">
      <c r="A153" s="550" t="s">
        <v>1625</v>
      </c>
      <c r="B153" s="551">
        <v>4.40200194E9</v>
      </c>
      <c r="C153" s="552" t="s">
        <v>95</v>
      </c>
      <c r="D153" s="553"/>
      <c r="E153" s="552" t="s">
        <v>1467</v>
      </c>
      <c r="H153" s="544"/>
      <c r="I153" s="522"/>
      <c r="J153" s="522"/>
      <c r="K153" s="542"/>
      <c r="L153" s="522"/>
    </row>
    <row r="154" ht="22.5" customHeight="1">
      <c r="A154" s="550" t="s">
        <v>1626</v>
      </c>
      <c r="B154" s="551">
        <v>7.729328949E9</v>
      </c>
      <c r="C154" s="552" t="s">
        <v>95</v>
      </c>
      <c r="D154" s="553"/>
      <c r="E154" s="552"/>
      <c r="H154" s="544"/>
      <c r="I154" s="522"/>
      <c r="J154" s="522"/>
      <c r="K154" s="542"/>
      <c r="L154" s="522"/>
    </row>
    <row r="155" ht="22.5" customHeight="1">
      <c r="A155" s="550" t="s">
        <v>1627</v>
      </c>
      <c r="B155" s="551"/>
      <c r="C155" s="552" t="s">
        <v>95</v>
      </c>
      <c r="D155" s="553"/>
      <c r="E155" s="552"/>
      <c r="H155" s="544"/>
      <c r="I155" s="522"/>
      <c r="J155" s="522"/>
      <c r="K155" s="542"/>
      <c r="L155" s="522"/>
    </row>
    <row r="156" ht="22.5" customHeight="1">
      <c r="A156" s="550" t="s">
        <v>1628</v>
      </c>
      <c r="B156" s="551">
        <v>5.249174692E9</v>
      </c>
      <c r="C156" s="552" t="s">
        <v>95</v>
      </c>
      <c r="D156" s="553"/>
      <c r="E156" s="552"/>
      <c r="H156" s="544"/>
      <c r="I156" s="522"/>
      <c r="J156" s="522"/>
      <c r="K156" s="542"/>
      <c r="L156" s="522"/>
    </row>
    <row r="157" ht="22.5" customHeight="1">
      <c r="A157" s="550" t="s">
        <v>1629</v>
      </c>
      <c r="B157" s="551">
        <v>5.249129474E9</v>
      </c>
      <c r="C157" s="552" t="s">
        <v>95</v>
      </c>
      <c r="D157" s="553"/>
      <c r="E157" s="552"/>
      <c r="H157" s="544"/>
      <c r="I157" s="522"/>
      <c r="J157" s="522"/>
      <c r="K157" s="542"/>
      <c r="L157" s="522"/>
    </row>
    <row r="158" ht="22.5" customHeight="1">
      <c r="A158" s="550" t="s">
        <v>1630</v>
      </c>
      <c r="B158" s="551">
        <v>3.1220003E9</v>
      </c>
      <c r="C158" s="552" t="s">
        <v>95</v>
      </c>
      <c r="D158" s="553"/>
      <c r="E158" s="552"/>
      <c r="H158" s="544"/>
      <c r="I158" s="522"/>
      <c r="J158" s="522"/>
      <c r="K158" s="542"/>
      <c r="L158" s="522"/>
    </row>
    <row r="159" ht="22.5" customHeight="1">
      <c r="A159" s="550" t="s">
        <v>1631</v>
      </c>
      <c r="B159" s="551">
        <v>6.732154666E9</v>
      </c>
      <c r="C159" s="552" t="s">
        <v>95</v>
      </c>
      <c r="D159" s="553"/>
      <c r="E159" s="552"/>
      <c r="H159" s="544"/>
      <c r="I159" s="522"/>
      <c r="J159" s="522"/>
      <c r="K159" s="542"/>
      <c r="L159" s="522"/>
    </row>
    <row r="160" ht="22.5" customHeight="1">
      <c r="A160" s="550" t="s">
        <v>1632</v>
      </c>
      <c r="B160" s="551">
        <v>5.050029646E9</v>
      </c>
      <c r="C160" s="552" t="s">
        <v>95</v>
      </c>
      <c r="D160" s="553"/>
      <c r="E160" s="552" t="s">
        <v>1467</v>
      </c>
      <c r="H160" s="544"/>
      <c r="I160" s="522"/>
      <c r="J160" s="522"/>
      <c r="K160" s="542"/>
      <c r="L160" s="522"/>
    </row>
    <row r="161" ht="22.5" customHeight="1">
      <c r="A161" s="550" t="s">
        <v>1633</v>
      </c>
      <c r="B161" s="551">
        <v>7.716550872E9</v>
      </c>
      <c r="C161" s="552" t="s">
        <v>95</v>
      </c>
      <c r="D161" s="553"/>
      <c r="E161" s="552"/>
      <c r="H161" s="544"/>
      <c r="I161" s="522"/>
      <c r="J161" s="522"/>
      <c r="K161" s="542"/>
      <c r="L161" s="522"/>
    </row>
    <row r="162" ht="22.5" customHeight="1">
      <c r="A162" s="550" t="s">
        <v>1634</v>
      </c>
      <c r="B162" s="551">
        <v>4.205407549E9</v>
      </c>
      <c r="C162" s="552" t="s">
        <v>95</v>
      </c>
      <c r="D162" s="553"/>
      <c r="E162" s="552" t="s">
        <v>1635</v>
      </c>
      <c r="H162" s="544"/>
      <c r="I162" s="522"/>
      <c r="J162" s="522"/>
      <c r="K162" s="542"/>
      <c r="L162" s="522"/>
    </row>
    <row r="163" ht="22.5" customHeight="1">
      <c r="A163" s="550" t="s">
        <v>1636</v>
      </c>
      <c r="B163" s="551">
        <v>5.027226822E9</v>
      </c>
      <c r="C163" s="552" t="s">
        <v>95</v>
      </c>
      <c r="D163" s="553"/>
      <c r="E163" s="552"/>
      <c r="H163" s="544"/>
      <c r="I163" s="522"/>
      <c r="J163" s="522"/>
      <c r="K163" s="542"/>
      <c r="L163" s="522"/>
    </row>
    <row r="164" ht="22.5" customHeight="1">
      <c r="A164" s="550" t="s">
        <v>1637</v>
      </c>
      <c r="B164" s="551">
        <v>5.00102697E9</v>
      </c>
      <c r="C164" s="552" t="s">
        <v>95</v>
      </c>
      <c r="D164" s="553"/>
      <c r="E164" s="552" t="s">
        <v>1638</v>
      </c>
      <c r="H164" s="544"/>
      <c r="I164" s="522"/>
      <c r="J164" s="522"/>
      <c r="K164" s="542"/>
      <c r="L164" s="522"/>
    </row>
    <row r="165" ht="22.5" customHeight="1">
      <c r="A165" s="550" t="s">
        <v>1639</v>
      </c>
      <c r="B165" s="551">
        <v>7.451378951E9</v>
      </c>
      <c r="C165" s="552" t="s">
        <v>95</v>
      </c>
      <c r="D165" s="553"/>
      <c r="E165" s="552"/>
      <c r="H165" s="544"/>
      <c r="I165" s="522"/>
      <c r="J165" s="522"/>
      <c r="K165" s="542"/>
      <c r="L165" s="522"/>
    </row>
    <row r="166" ht="22.5" customHeight="1">
      <c r="A166" s="550" t="s">
        <v>1640</v>
      </c>
      <c r="B166" s="551">
        <v>6.903001493E9</v>
      </c>
      <c r="C166" s="552" t="s">
        <v>95</v>
      </c>
      <c r="D166" s="553"/>
      <c r="E166" s="552"/>
      <c r="H166" s="544"/>
      <c r="I166" s="522"/>
      <c r="J166" s="522"/>
      <c r="K166" s="542"/>
      <c r="L166" s="522"/>
    </row>
    <row r="167" ht="22.5" customHeight="1">
      <c r="A167" s="550" t="s">
        <v>1641</v>
      </c>
      <c r="B167" s="551">
        <v>5.031135198E9</v>
      </c>
      <c r="C167" s="552" t="s">
        <v>95</v>
      </c>
      <c r="D167" s="553"/>
      <c r="E167" s="552" t="s">
        <v>1454</v>
      </c>
      <c r="H167" s="544"/>
      <c r="I167" s="522"/>
      <c r="J167" s="522"/>
      <c r="K167" s="542"/>
      <c r="L167" s="522"/>
    </row>
    <row r="168" ht="22.5" customHeight="1">
      <c r="A168" s="550" t="s">
        <v>1642</v>
      </c>
      <c r="B168" s="551"/>
      <c r="C168" s="552" t="s">
        <v>95</v>
      </c>
      <c r="D168" s="553"/>
      <c r="E168" s="552"/>
      <c r="H168" s="544"/>
      <c r="I168" s="522"/>
      <c r="J168" s="522"/>
      <c r="K168" s="542"/>
      <c r="L168" s="522"/>
    </row>
    <row r="169" ht="22.5" customHeight="1">
      <c r="A169" s="550" t="s">
        <v>1643</v>
      </c>
      <c r="B169" s="551">
        <v>5.256036414E9</v>
      </c>
      <c r="C169" s="552" t="s">
        <v>95</v>
      </c>
      <c r="D169" s="553"/>
      <c r="E169" s="552"/>
      <c r="H169" s="544"/>
      <c r="I169" s="522"/>
      <c r="J169" s="522"/>
      <c r="K169" s="542"/>
      <c r="L169" s="522"/>
    </row>
    <row r="170" ht="22.5" customHeight="1">
      <c r="A170" s="550" t="s">
        <v>1644</v>
      </c>
      <c r="B170" s="551">
        <v>9.724011275E9</v>
      </c>
      <c r="C170" s="552" t="s">
        <v>95</v>
      </c>
      <c r="D170" s="553"/>
      <c r="E170" s="552"/>
      <c r="H170" s="544"/>
      <c r="I170" s="522"/>
      <c r="J170" s="522"/>
      <c r="K170" s="542"/>
      <c r="L170" s="522"/>
    </row>
    <row r="171" ht="22.5" customHeight="1">
      <c r="A171" s="550" t="s">
        <v>1645</v>
      </c>
      <c r="B171" s="551">
        <v>6.165030576E9</v>
      </c>
      <c r="C171" s="552" t="s">
        <v>95</v>
      </c>
      <c r="D171" s="553"/>
      <c r="E171" s="552" t="s">
        <v>1454</v>
      </c>
      <c r="H171" s="544"/>
      <c r="I171" s="522"/>
      <c r="J171" s="522"/>
      <c r="K171" s="542"/>
      <c r="L171" s="522"/>
    </row>
    <row r="172" ht="22.5" customHeight="1">
      <c r="A172" s="550" t="s">
        <v>1646</v>
      </c>
      <c r="B172" s="551">
        <v>5.259006351E9</v>
      </c>
      <c r="C172" s="552" t="s">
        <v>95</v>
      </c>
      <c r="D172" s="553"/>
      <c r="E172" s="552"/>
      <c r="H172" s="544"/>
      <c r="I172" s="522"/>
      <c r="J172" s="522"/>
      <c r="K172" s="542"/>
      <c r="L172" s="522"/>
    </row>
    <row r="173" ht="22.5" customHeight="1">
      <c r="A173" s="550" t="s">
        <v>1647</v>
      </c>
      <c r="B173" s="551"/>
      <c r="C173" s="552" t="s">
        <v>95</v>
      </c>
      <c r="D173" s="553"/>
      <c r="E173" s="552"/>
      <c r="H173" s="544"/>
      <c r="I173" s="522"/>
      <c r="J173" s="522"/>
      <c r="K173" s="542"/>
      <c r="L173" s="522"/>
    </row>
    <row r="174" ht="22.5" customHeight="1">
      <c r="A174" s="550" t="s">
        <v>1648</v>
      </c>
      <c r="B174" s="551">
        <v>9.704137431E9</v>
      </c>
      <c r="C174" s="552" t="s">
        <v>95</v>
      </c>
      <c r="D174" s="553"/>
      <c r="E174" s="552"/>
      <c r="H174" s="544"/>
      <c r="I174" s="522"/>
      <c r="J174" s="522"/>
      <c r="K174" s="542"/>
      <c r="L174" s="522"/>
    </row>
    <row r="175" ht="22.5" customHeight="1">
      <c r="A175" s="550" t="s">
        <v>1649</v>
      </c>
      <c r="B175" s="551">
        <v>5.406435097E9</v>
      </c>
      <c r="C175" s="552" t="s">
        <v>95</v>
      </c>
      <c r="D175" s="553"/>
      <c r="E175" s="552"/>
      <c r="H175" s="544"/>
      <c r="I175" s="522"/>
      <c r="J175" s="522"/>
      <c r="K175" s="542"/>
      <c r="L175" s="522"/>
    </row>
    <row r="176" ht="22.5" customHeight="1">
      <c r="A176" s="550" t="s">
        <v>1650</v>
      </c>
      <c r="B176" s="551">
        <v>7.72320042E9</v>
      </c>
      <c r="C176" s="552" t="s">
        <v>95</v>
      </c>
      <c r="D176" s="553"/>
      <c r="E176" s="552"/>
      <c r="H176" s="544"/>
      <c r="I176" s="522"/>
      <c r="J176" s="522"/>
      <c r="K176" s="542"/>
      <c r="L176" s="522"/>
    </row>
    <row r="177" ht="22.5" customHeight="1">
      <c r="A177" s="550" t="s">
        <v>1651</v>
      </c>
      <c r="B177" s="551">
        <v>5.948025679E9</v>
      </c>
      <c r="C177" s="552" t="s">
        <v>95</v>
      </c>
      <c r="D177" s="553"/>
      <c r="E177" s="552" t="s">
        <v>1652</v>
      </c>
      <c r="H177" s="544"/>
      <c r="I177" s="522"/>
      <c r="J177" s="522"/>
      <c r="K177" s="542"/>
      <c r="L177" s="522"/>
    </row>
    <row r="178" ht="22.5" customHeight="1">
      <c r="A178" s="550" t="s">
        <v>1653</v>
      </c>
      <c r="B178" s="551">
        <v>6.829153948E9</v>
      </c>
      <c r="C178" s="552" t="s">
        <v>95</v>
      </c>
      <c r="D178" s="553"/>
      <c r="E178" s="552"/>
      <c r="H178" s="544"/>
      <c r="I178" s="522"/>
      <c r="J178" s="522"/>
      <c r="K178" s="542"/>
      <c r="L178" s="522"/>
    </row>
    <row r="179" ht="22.5" customHeight="1">
      <c r="A179" s="550" t="s">
        <v>1654</v>
      </c>
      <c r="B179" s="551">
        <v>7.733415538E9</v>
      </c>
      <c r="C179" s="552" t="s">
        <v>95</v>
      </c>
      <c r="D179" s="553"/>
      <c r="E179" s="552"/>
      <c r="H179" s="544"/>
      <c r="I179" s="522"/>
      <c r="J179" s="522"/>
      <c r="K179" s="542"/>
      <c r="L179" s="522"/>
    </row>
    <row r="180" ht="22.5" customHeight="1">
      <c r="A180" s="550" t="s">
        <v>1655</v>
      </c>
      <c r="B180" s="551">
        <v>9.701044387E9</v>
      </c>
      <c r="C180" s="552" t="s">
        <v>95</v>
      </c>
      <c r="D180" s="553"/>
      <c r="E180" s="552"/>
      <c r="H180" s="544"/>
      <c r="I180" s="522"/>
      <c r="J180" s="522"/>
      <c r="K180" s="542"/>
      <c r="L180" s="522"/>
    </row>
    <row r="181" ht="22.5" customHeight="1">
      <c r="A181" s="550" t="s">
        <v>1656</v>
      </c>
      <c r="B181" s="551">
        <v>4.246023527E9</v>
      </c>
      <c r="C181" s="552" t="s">
        <v>95</v>
      </c>
      <c r="D181" s="553"/>
      <c r="E181" s="552"/>
      <c r="H181" s="544"/>
      <c r="I181" s="522"/>
      <c r="J181" s="522"/>
      <c r="K181" s="542"/>
      <c r="L181" s="522"/>
    </row>
    <row r="182" ht="22.5" customHeight="1">
      <c r="A182" s="550" t="s">
        <v>1657</v>
      </c>
      <c r="B182" s="551">
        <v>3.618003426E9</v>
      </c>
      <c r="C182" s="552" t="s">
        <v>95</v>
      </c>
      <c r="D182" s="553"/>
      <c r="E182" s="552" t="s">
        <v>1652</v>
      </c>
      <c r="H182" s="544"/>
      <c r="I182" s="522"/>
      <c r="J182" s="522"/>
      <c r="K182" s="542"/>
      <c r="L182" s="522"/>
    </row>
    <row r="183" ht="22.5" customHeight="1">
      <c r="A183" s="550" t="s">
        <v>1658</v>
      </c>
      <c r="B183" s="551">
        <v>7.604169595E9</v>
      </c>
      <c r="C183" s="552" t="s">
        <v>95</v>
      </c>
      <c r="D183" s="553"/>
      <c r="E183" s="552"/>
      <c r="H183" s="544"/>
      <c r="I183" s="522"/>
      <c r="J183" s="522"/>
      <c r="K183" s="542"/>
      <c r="L183" s="522"/>
    </row>
    <row r="184" ht="22.5" customHeight="1">
      <c r="A184" s="550" t="s">
        <v>1659</v>
      </c>
      <c r="B184" s="551">
        <v>5.050033392E9</v>
      </c>
      <c r="C184" s="552" t="s">
        <v>95</v>
      </c>
      <c r="D184" s="553"/>
      <c r="E184" s="552"/>
      <c r="H184" s="544"/>
      <c r="I184" s="522"/>
      <c r="J184" s="522"/>
      <c r="K184" s="542"/>
      <c r="L184" s="522"/>
    </row>
    <row r="185" ht="22.5" customHeight="1">
      <c r="A185" s="550" t="s">
        <v>1660</v>
      </c>
      <c r="B185" s="551">
        <v>6.700018861E9</v>
      </c>
      <c r="C185" s="552" t="s">
        <v>95</v>
      </c>
      <c r="D185" s="553"/>
      <c r="E185" s="552"/>
      <c r="H185" s="544"/>
      <c r="I185" s="522"/>
      <c r="J185" s="522"/>
      <c r="K185" s="542"/>
      <c r="L185" s="522"/>
    </row>
    <row r="186" ht="22.5" customHeight="1">
      <c r="A186" s="550" t="s">
        <v>1661</v>
      </c>
      <c r="B186" s="551">
        <v>7.802077515E9</v>
      </c>
      <c r="C186" s="552" t="s">
        <v>95</v>
      </c>
      <c r="D186" s="553"/>
      <c r="E186" s="552"/>
      <c r="H186" s="544"/>
      <c r="I186" s="522"/>
      <c r="J186" s="522"/>
      <c r="K186" s="542"/>
      <c r="L186" s="522"/>
    </row>
    <row r="187" ht="22.5" customHeight="1">
      <c r="A187" s="550" t="s">
        <v>1662</v>
      </c>
      <c r="B187" s="551"/>
      <c r="C187" s="552" t="s">
        <v>95</v>
      </c>
      <c r="D187" s="553"/>
      <c r="E187" s="552"/>
      <c r="H187" s="544"/>
      <c r="I187" s="522"/>
      <c r="J187" s="522"/>
      <c r="K187" s="542"/>
      <c r="L187" s="522"/>
    </row>
    <row r="188" ht="22.5" customHeight="1">
      <c r="A188" s="550" t="s">
        <v>1663</v>
      </c>
      <c r="B188" s="551">
        <v>3.123481412E9</v>
      </c>
      <c r="C188" s="552" t="s">
        <v>95</v>
      </c>
      <c r="D188" s="553"/>
      <c r="E188" s="552"/>
      <c r="H188" s="544"/>
      <c r="I188" s="522"/>
      <c r="J188" s="522"/>
      <c r="K188" s="542"/>
      <c r="L188" s="522"/>
    </row>
    <row r="189" ht="22.5" customHeight="1">
      <c r="A189" s="550" t="s">
        <v>1664</v>
      </c>
      <c r="B189" s="551"/>
      <c r="C189" s="552" t="s">
        <v>95</v>
      </c>
      <c r="D189" s="553"/>
      <c r="E189" s="552" t="s">
        <v>1608</v>
      </c>
      <c r="H189" s="544"/>
      <c r="I189" s="522"/>
      <c r="J189" s="522"/>
      <c r="K189" s="542"/>
      <c r="L189" s="522"/>
    </row>
    <row r="190" ht="22.5" customHeight="1">
      <c r="A190" s="550" t="s">
        <v>1665</v>
      </c>
      <c r="B190" s="551">
        <v>6.950201179E9</v>
      </c>
      <c r="C190" s="552" t="s">
        <v>95</v>
      </c>
      <c r="D190" s="553"/>
      <c r="E190" s="552"/>
      <c r="H190" s="544"/>
      <c r="I190" s="522"/>
      <c r="J190" s="522"/>
      <c r="K190" s="542"/>
      <c r="L190" s="522"/>
    </row>
    <row r="191" ht="22.5" customHeight="1">
      <c r="A191" s="550" t="s">
        <v>1666</v>
      </c>
      <c r="B191" s="551"/>
      <c r="C191" s="552" t="s">
        <v>95</v>
      </c>
      <c r="D191" s="553"/>
      <c r="E191" s="552"/>
      <c r="H191" s="544"/>
      <c r="I191" s="522"/>
      <c r="J191" s="522"/>
      <c r="K191" s="542"/>
      <c r="L191" s="522"/>
    </row>
    <row r="192" ht="22.5" customHeight="1">
      <c r="A192" s="550" t="s">
        <v>1667</v>
      </c>
      <c r="B192" s="551"/>
      <c r="C192" s="552" t="s">
        <v>95</v>
      </c>
      <c r="D192" s="553"/>
      <c r="E192" s="552"/>
      <c r="H192" s="544"/>
      <c r="I192" s="522"/>
      <c r="J192" s="522"/>
      <c r="K192" s="542"/>
      <c r="L192" s="522"/>
    </row>
    <row r="193" ht="22.5" customHeight="1">
      <c r="A193" s="550" t="s">
        <v>1668</v>
      </c>
      <c r="B193" s="551">
        <v>5.836650508E9</v>
      </c>
      <c r="C193" s="552" t="s">
        <v>95</v>
      </c>
      <c r="D193" s="553"/>
      <c r="E193" s="552"/>
      <c r="H193" s="544"/>
      <c r="I193" s="522"/>
      <c r="J193" s="522"/>
      <c r="K193" s="542"/>
      <c r="L193" s="522"/>
    </row>
    <row r="194" ht="22.5" customHeight="1">
      <c r="A194" s="550" t="s">
        <v>1669</v>
      </c>
      <c r="B194" s="551"/>
      <c r="C194" s="552" t="s">
        <v>95</v>
      </c>
      <c r="D194" s="553"/>
      <c r="E194" s="552"/>
      <c r="H194" s="544"/>
      <c r="I194" s="522"/>
      <c r="J194" s="522"/>
      <c r="K194" s="542"/>
      <c r="L194" s="522"/>
    </row>
    <row r="195" ht="22.5" customHeight="1">
      <c r="A195" s="550" t="s">
        <v>1670</v>
      </c>
      <c r="B195" s="551"/>
      <c r="C195" s="552" t="s">
        <v>95</v>
      </c>
      <c r="D195" s="553"/>
      <c r="E195" s="552"/>
      <c r="H195" s="544"/>
      <c r="I195" s="522"/>
      <c r="J195" s="522"/>
      <c r="K195" s="542"/>
      <c r="L195" s="522"/>
    </row>
    <row r="196" ht="22.5" customHeight="1">
      <c r="A196" s="550" t="s">
        <v>1671</v>
      </c>
      <c r="B196" s="551">
        <v>5.249167487E9</v>
      </c>
      <c r="C196" s="552" t="s">
        <v>95</v>
      </c>
      <c r="D196" s="553"/>
      <c r="E196" s="552"/>
      <c r="H196" s="544"/>
      <c r="I196" s="522"/>
      <c r="J196" s="522"/>
      <c r="K196" s="542"/>
      <c r="L196" s="522"/>
    </row>
    <row r="197" ht="22.5" customHeight="1">
      <c r="A197" s="550" t="s">
        <v>1672</v>
      </c>
      <c r="B197" s="551">
        <v>9.706003673E9</v>
      </c>
      <c r="C197" s="552" t="s">
        <v>95</v>
      </c>
      <c r="D197" s="553"/>
      <c r="E197" s="552"/>
      <c r="H197" s="544"/>
      <c r="I197" s="522"/>
      <c r="J197" s="522"/>
      <c r="K197" s="542"/>
      <c r="L197" s="522"/>
    </row>
    <row r="198" ht="22.5" customHeight="1">
      <c r="A198" s="550" t="s">
        <v>1673</v>
      </c>
      <c r="B198" s="551">
        <v>5.025033254E9</v>
      </c>
      <c r="C198" s="552" t="s">
        <v>95</v>
      </c>
      <c r="D198" s="553"/>
      <c r="E198" s="552"/>
      <c r="H198" s="544"/>
      <c r="I198" s="522"/>
      <c r="J198" s="522"/>
      <c r="K198" s="542"/>
      <c r="L198" s="522"/>
    </row>
    <row r="199" ht="22.5" customHeight="1">
      <c r="A199" s="550" t="s">
        <v>1674</v>
      </c>
      <c r="B199" s="551">
        <v>7.10650939E9</v>
      </c>
      <c r="C199" s="552" t="s">
        <v>95</v>
      </c>
      <c r="D199" s="553"/>
      <c r="E199" s="552"/>
      <c r="H199" s="544"/>
      <c r="I199" s="522"/>
      <c r="J199" s="522"/>
      <c r="K199" s="542"/>
      <c r="L199" s="522"/>
    </row>
    <row r="200" ht="22.5" customHeight="1">
      <c r="A200" s="550" t="s">
        <v>1675</v>
      </c>
      <c r="B200" s="551">
        <v>5.037043271E9</v>
      </c>
      <c r="C200" s="552" t="s">
        <v>95</v>
      </c>
      <c r="D200" s="553"/>
      <c r="E200" s="552"/>
      <c r="H200" s="544"/>
      <c r="I200" s="522"/>
      <c r="J200" s="522"/>
      <c r="K200" s="542"/>
      <c r="L200" s="522"/>
    </row>
    <row r="201" ht="22.5" customHeight="1">
      <c r="A201" s="550" t="s">
        <v>361</v>
      </c>
      <c r="B201" s="551">
        <v>9.721084596E9</v>
      </c>
      <c r="C201" s="552" t="s">
        <v>95</v>
      </c>
      <c r="D201" s="553"/>
      <c r="E201" s="552" t="s">
        <v>1454</v>
      </c>
      <c r="H201" s="544"/>
      <c r="I201" s="522"/>
      <c r="J201" s="522"/>
      <c r="K201" s="542"/>
      <c r="L201" s="522"/>
    </row>
    <row r="202" ht="22.5" customHeight="1">
      <c r="A202" s="550" t="s">
        <v>1676</v>
      </c>
      <c r="B202" s="551">
        <v>3.664052001E9</v>
      </c>
      <c r="C202" s="552" t="s">
        <v>95</v>
      </c>
      <c r="D202" s="553"/>
      <c r="E202" s="552" t="s">
        <v>1454</v>
      </c>
      <c r="H202" s="544"/>
      <c r="I202" s="522"/>
      <c r="J202" s="522"/>
      <c r="K202" s="542"/>
      <c r="L202" s="522"/>
    </row>
    <row r="203" ht="22.5" customHeight="1">
      <c r="A203" s="550" t="s">
        <v>1677</v>
      </c>
      <c r="B203" s="551">
        <v>7.733414541E9</v>
      </c>
      <c r="C203" s="552" t="s">
        <v>51</v>
      </c>
      <c r="D203" s="553">
        <v>46203.0</v>
      </c>
      <c r="E203" s="552" t="s">
        <v>1454</v>
      </c>
      <c r="H203" s="544"/>
      <c r="I203" s="522"/>
      <c r="J203" s="522"/>
      <c r="K203" s="542"/>
      <c r="L203" s="522"/>
    </row>
    <row r="204" ht="22.5" customHeight="1">
      <c r="A204" s="550" t="s">
        <v>1129</v>
      </c>
      <c r="B204" s="551">
        <v>7.733518004E9</v>
      </c>
      <c r="C204" s="552" t="s">
        <v>95</v>
      </c>
      <c r="D204" s="553"/>
      <c r="E204" s="552" t="s">
        <v>1678</v>
      </c>
      <c r="H204" s="544"/>
      <c r="I204" s="522"/>
      <c r="J204" s="522"/>
      <c r="K204" s="542"/>
      <c r="L204" s="522"/>
    </row>
    <row r="205" ht="22.5" customHeight="1">
      <c r="A205" s="550" t="s">
        <v>1679</v>
      </c>
      <c r="B205" s="551">
        <v>7.708738849E9</v>
      </c>
      <c r="C205" s="552" t="s">
        <v>1586</v>
      </c>
      <c r="D205" s="553"/>
      <c r="E205" s="552" t="s">
        <v>1454</v>
      </c>
      <c r="H205" s="544"/>
      <c r="I205" s="522"/>
      <c r="J205" s="522"/>
      <c r="K205" s="542"/>
      <c r="L205" s="522"/>
    </row>
    <row r="206" ht="22.5" customHeight="1">
      <c r="A206" s="550" t="s">
        <v>1680</v>
      </c>
      <c r="B206" s="551">
        <v>5.009023611E9</v>
      </c>
      <c r="C206" s="552" t="s">
        <v>1586</v>
      </c>
      <c r="D206" s="553"/>
      <c r="E206" s="552" t="s">
        <v>1454</v>
      </c>
      <c r="H206" s="544"/>
      <c r="I206" s="522"/>
      <c r="J206" s="522"/>
      <c r="K206" s="542"/>
      <c r="L206" s="522"/>
    </row>
    <row r="207" ht="22.5" customHeight="1">
      <c r="A207" s="550" t="s">
        <v>1681</v>
      </c>
      <c r="B207" s="551">
        <v>3.62801306E9</v>
      </c>
      <c r="C207" s="552" t="s">
        <v>95</v>
      </c>
      <c r="D207" s="553"/>
      <c r="E207" s="552" t="s">
        <v>1682</v>
      </c>
      <c r="H207" s="544"/>
      <c r="I207" s="522"/>
      <c r="J207" s="522"/>
      <c r="K207" s="542"/>
      <c r="L207" s="522"/>
    </row>
    <row r="208" ht="22.5" customHeight="1">
      <c r="A208" s="550" t="s">
        <v>1683</v>
      </c>
      <c r="B208" s="551">
        <v>2.630010347E9</v>
      </c>
      <c r="C208" s="552" t="s">
        <v>1193</v>
      </c>
      <c r="D208" s="553">
        <v>46161.0</v>
      </c>
      <c r="E208" s="552" t="s">
        <v>1684</v>
      </c>
      <c r="H208" s="544"/>
      <c r="I208" s="522"/>
      <c r="J208" s="522"/>
      <c r="K208" s="542"/>
      <c r="L208" s="522"/>
    </row>
    <row r="209" ht="22.5" customHeight="1">
      <c r="A209" s="550" t="s">
        <v>1685</v>
      </c>
      <c r="B209" s="551">
        <v>6.453177864E9</v>
      </c>
      <c r="C209" s="552" t="s">
        <v>51</v>
      </c>
      <c r="D209" s="553">
        <v>46162.0</v>
      </c>
      <c r="E209" s="552" t="s">
        <v>1598</v>
      </c>
      <c r="H209" s="544"/>
      <c r="I209" s="522"/>
      <c r="J209" s="522"/>
      <c r="K209" s="542"/>
      <c r="L209" s="522"/>
    </row>
    <row r="210" ht="22.5" customHeight="1">
      <c r="A210" s="550" t="s">
        <v>1686</v>
      </c>
      <c r="B210" s="551">
        <v>4.34700239063E11</v>
      </c>
      <c r="C210" s="552" t="s">
        <v>51</v>
      </c>
      <c r="D210" s="553">
        <v>46162.0</v>
      </c>
      <c r="E210" s="552" t="s">
        <v>1598</v>
      </c>
      <c r="H210" s="544"/>
      <c r="I210" s="522"/>
      <c r="J210" s="522"/>
      <c r="K210" s="542"/>
      <c r="L210" s="522"/>
    </row>
    <row r="211" ht="22.5" customHeight="1">
      <c r="A211" s="550" t="s">
        <v>1687</v>
      </c>
      <c r="B211" s="551">
        <v>7.713485907E9</v>
      </c>
      <c r="C211" s="552" t="s">
        <v>1450</v>
      </c>
      <c r="D211" s="553">
        <v>46202.0</v>
      </c>
      <c r="E211" s="552" t="s">
        <v>1688</v>
      </c>
      <c r="H211" s="544"/>
      <c r="I211" s="522"/>
      <c r="J211" s="522"/>
      <c r="K211" s="542"/>
      <c r="L211" s="522"/>
    </row>
    <row r="212" ht="22.5" customHeight="1">
      <c r="A212" s="550" t="s">
        <v>1689</v>
      </c>
      <c r="B212" s="551">
        <v>7.702177932E9</v>
      </c>
      <c r="C212" s="552" t="s">
        <v>1450</v>
      </c>
      <c r="D212" s="553">
        <v>46202.0</v>
      </c>
      <c r="E212" s="552" t="s">
        <v>1688</v>
      </c>
      <c r="H212" s="544"/>
      <c r="I212" s="522"/>
      <c r="J212" s="522"/>
      <c r="K212" s="542"/>
      <c r="L212" s="522"/>
    </row>
    <row r="213" ht="22.5" customHeight="1">
      <c r="A213" s="550" t="s">
        <v>1690</v>
      </c>
      <c r="B213" s="551">
        <v>7.72370328788E11</v>
      </c>
      <c r="C213" s="552" t="s">
        <v>1193</v>
      </c>
      <c r="D213" s="553">
        <v>46162.0</v>
      </c>
      <c r="E213" s="552" t="s">
        <v>1691</v>
      </c>
      <c r="H213" s="544"/>
      <c r="I213" s="522"/>
      <c r="J213" s="522"/>
      <c r="K213" s="542"/>
      <c r="L213" s="522"/>
    </row>
    <row r="214" ht="22.5" customHeight="1">
      <c r="A214" s="550" t="s">
        <v>1692</v>
      </c>
      <c r="B214" s="551">
        <v>7.709798343E9</v>
      </c>
      <c r="C214" s="552" t="s">
        <v>1586</v>
      </c>
      <c r="D214" s="553"/>
      <c r="E214" s="552" t="s">
        <v>1454</v>
      </c>
      <c r="H214" s="544"/>
      <c r="I214" s="522"/>
      <c r="J214" s="522"/>
      <c r="K214" s="542"/>
      <c r="L214" s="522"/>
    </row>
    <row r="215" ht="22.5" customHeight="1">
      <c r="A215" s="550" t="s">
        <v>1693</v>
      </c>
      <c r="B215" s="551">
        <v>5.047203446E9</v>
      </c>
      <c r="C215" s="552" t="s">
        <v>1586</v>
      </c>
      <c r="D215" s="553"/>
      <c r="E215" s="552" t="s">
        <v>1454</v>
      </c>
      <c r="H215" s="544"/>
      <c r="I215" s="522"/>
      <c r="J215" s="522"/>
      <c r="K215" s="542"/>
      <c r="L215" s="522"/>
    </row>
    <row r="216" ht="22.5" customHeight="1">
      <c r="A216" s="550" t="s">
        <v>1694</v>
      </c>
      <c r="B216" s="551">
        <v>7.719414324E9</v>
      </c>
      <c r="C216" s="552" t="s">
        <v>1450</v>
      </c>
      <c r="D216" s="553">
        <v>46202.0</v>
      </c>
      <c r="E216" s="552" t="s">
        <v>1454</v>
      </c>
      <c r="H216" s="544"/>
      <c r="I216" s="522"/>
      <c r="J216" s="522"/>
      <c r="K216" s="542"/>
      <c r="L216" s="522"/>
    </row>
    <row r="217" ht="22.5" customHeight="1">
      <c r="A217" s="550" t="s">
        <v>1695</v>
      </c>
      <c r="B217" s="551">
        <v>5.83702841E9</v>
      </c>
      <c r="C217" s="552" t="s">
        <v>29</v>
      </c>
      <c r="D217" s="553">
        <v>46163.0</v>
      </c>
      <c r="E217" s="552" t="s">
        <v>1688</v>
      </c>
      <c r="H217" s="544"/>
      <c r="I217" s="522"/>
      <c r="J217" s="522"/>
      <c r="K217" s="542"/>
      <c r="L217" s="522"/>
    </row>
    <row r="218" ht="22.5" customHeight="1">
      <c r="A218" s="550" t="s">
        <v>1696</v>
      </c>
      <c r="B218" s="551">
        <v>9.72810421E9</v>
      </c>
      <c r="C218" s="552" t="s">
        <v>1586</v>
      </c>
      <c r="D218" s="553"/>
      <c r="E218" s="552" t="s">
        <v>1454</v>
      </c>
      <c r="H218" s="544"/>
      <c r="I218" s="522"/>
      <c r="J218" s="522"/>
      <c r="K218" s="542"/>
      <c r="L218" s="522"/>
    </row>
    <row r="219" ht="22.5" customHeight="1">
      <c r="A219" s="550" t="s">
        <v>1697</v>
      </c>
      <c r="B219" s="551">
        <v>5.029258594E9</v>
      </c>
      <c r="C219" s="552" t="s">
        <v>95</v>
      </c>
      <c r="D219" s="553"/>
      <c r="E219" s="552" t="s">
        <v>1454</v>
      </c>
      <c r="H219" s="544"/>
      <c r="I219" s="522"/>
      <c r="J219" s="522"/>
      <c r="K219" s="542"/>
      <c r="L219" s="522"/>
    </row>
    <row r="220" ht="22.5" customHeight="1">
      <c r="A220" s="550" t="s">
        <v>1698</v>
      </c>
      <c r="B220" s="551">
        <v>7.017012254E9</v>
      </c>
      <c r="C220" s="552" t="s">
        <v>95</v>
      </c>
      <c r="D220" s="553"/>
      <c r="E220" s="552" t="s">
        <v>1699</v>
      </c>
      <c r="H220" s="544"/>
      <c r="I220" s="522"/>
      <c r="J220" s="522"/>
      <c r="K220" s="542"/>
      <c r="L220" s="522"/>
    </row>
    <row r="221" ht="22.5" customHeight="1">
      <c r="A221" s="550" t="s">
        <v>1700</v>
      </c>
      <c r="B221" s="551">
        <v>7.706514177E9</v>
      </c>
      <c r="C221" s="552" t="s">
        <v>1193</v>
      </c>
      <c r="D221" s="553">
        <v>46164.0</v>
      </c>
      <c r="E221" s="550" t="s">
        <v>1701</v>
      </c>
      <c r="H221" s="544"/>
      <c r="I221" s="522"/>
      <c r="J221" s="522"/>
      <c r="K221" s="542"/>
      <c r="L221" s="522"/>
    </row>
    <row r="222" ht="22.5" customHeight="1">
      <c r="A222" s="550" t="s">
        <v>1702</v>
      </c>
      <c r="B222" s="551">
        <v>5.001027607E9</v>
      </c>
      <c r="C222" s="552" t="s">
        <v>29</v>
      </c>
      <c r="D222" s="553">
        <v>46164.0</v>
      </c>
      <c r="E222" s="552" t="s">
        <v>1688</v>
      </c>
      <c r="H222" s="544"/>
      <c r="I222" s="522"/>
      <c r="J222" s="522"/>
      <c r="K222" s="542"/>
      <c r="L222" s="522"/>
    </row>
    <row r="223" ht="22.5" customHeight="1">
      <c r="A223" s="550" t="s">
        <v>1703</v>
      </c>
      <c r="B223" s="551">
        <v>3.100028911E9</v>
      </c>
      <c r="C223" s="552" t="s">
        <v>95</v>
      </c>
      <c r="D223" s="553">
        <v>46164.0</v>
      </c>
      <c r="E223" s="552" t="s">
        <v>1699</v>
      </c>
      <c r="H223" s="544"/>
      <c r="I223" s="522"/>
      <c r="J223" s="522"/>
      <c r="K223" s="542"/>
      <c r="L223" s="522"/>
    </row>
    <row r="224" ht="22.5" customHeight="1">
      <c r="A224" s="550" t="s">
        <v>1704</v>
      </c>
      <c r="B224" s="551">
        <v>1.659092774E9</v>
      </c>
      <c r="C224" s="552" t="s">
        <v>1193</v>
      </c>
      <c r="D224" s="553">
        <v>46164.0</v>
      </c>
      <c r="E224" s="552" t="s">
        <v>1705</v>
      </c>
      <c r="H224" s="544"/>
      <c r="I224" s="522"/>
      <c r="J224" s="522"/>
      <c r="K224" s="542"/>
      <c r="L224" s="522"/>
    </row>
    <row r="225" ht="22.5" customHeight="1">
      <c r="A225" s="550" t="s">
        <v>1706</v>
      </c>
      <c r="B225" s="551">
        <v>5.040059666E9</v>
      </c>
      <c r="C225" s="552" t="s">
        <v>29</v>
      </c>
      <c r="D225" s="553">
        <v>46164.0</v>
      </c>
      <c r="E225" s="552" t="s">
        <v>1688</v>
      </c>
      <c r="H225" s="544"/>
      <c r="I225" s="522"/>
      <c r="J225" s="522"/>
      <c r="K225" s="542"/>
      <c r="L225" s="522"/>
    </row>
    <row r="226" ht="22.5" customHeight="1">
      <c r="A226" s="550" t="s">
        <v>1707</v>
      </c>
      <c r="B226" s="551">
        <v>2.34601217E9</v>
      </c>
      <c r="C226" s="552" t="s">
        <v>164</v>
      </c>
      <c r="D226" s="553">
        <v>46164.0</v>
      </c>
      <c r="E226" s="552" t="s">
        <v>1708</v>
      </c>
      <c r="H226" s="544"/>
      <c r="I226" s="522"/>
      <c r="J226" s="522"/>
      <c r="K226" s="542"/>
      <c r="L226" s="522"/>
    </row>
    <row r="227" ht="22.5" customHeight="1">
      <c r="A227" s="550" t="s">
        <v>1709</v>
      </c>
      <c r="B227" s="551">
        <v>6.165079035E9</v>
      </c>
      <c r="C227" s="552" t="s">
        <v>164</v>
      </c>
      <c r="D227" s="553">
        <v>46167.0</v>
      </c>
      <c r="E227" s="552" t="s">
        <v>1467</v>
      </c>
      <c r="H227" s="544"/>
      <c r="I227" s="522"/>
      <c r="J227" s="522"/>
      <c r="K227" s="542"/>
      <c r="L227" s="522"/>
    </row>
    <row r="228" ht="22.5" customHeight="1">
      <c r="A228" s="550" t="s">
        <v>1710</v>
      </c>
      <c r="B228" s="551">
        <v>1.83105711E9</v>
      </c>
      <c r="C228" s="552" t="s">
        <v>29</v>
      </c>
      <c r="D228" s="553">
        <v>46167.0</v>
      </c>
      <c r="E228" s="552" t="s">
        <v>1467</v>
      </c>
      <c r="H228" s="544"/>
      <c r="I228" s="522"/>
      <c r="J228" s="522"/>
      <c r="K228" s="542"/>
      <c r="L228" s="522"/>
    </row>
    <row r="229" ht="22.5" customHeight="1">
      <c r="A229" s="550" t="s">
        <v>1711</v>
      </c>
      <c r="B229" s="551">
        <v>3.249004697E9</v>
      </c>
      <c r="C229" s="552" t="s">
        <v>164</v>
      </c>
      <c r="D229" s="553">
        <v>46167.0</v>
      </c>
      <c r="E229" s="552" t="s">
        <v>1708</v>
      </c>
      <c r="H229" s="544"/>
      <c r="I229" s="522"/>
      <c r="J229" s="522"/>
      <c r="K229" s="542"/>
      <c r="L229" s="522"/>
    </row>
    <row r="230" ht="22.5" customHeight="1">
      <c r="A230" s="550" t="s">
        <v>1712</v>
      </c>
      <c r="B230" s="551">
        <v>5.011038943E9</v>
      </c>
      <c r="C230" s="552" t="s">
        <v>1450</v>
      </c>
      <c r="D230" s="553">
        <v>46202.0</v>
      </c>
      <c r="E230" s="552" t="s">
        <v>1454</v>
      </c>
      <c r="H230" s="544"/>
      <c r="I230" s="522"/>
      <c r="J230" s="522"/>
      <c r="K230" s="542"/>
      <c r="L230" s="522"/>
    </row>
    <row r="231" ht="22.5" customHeight="1">
      <c r="A231" s="550" t="s">
        <v>1713</v>
      </c>
      <c r="B231" s="551">
        <v>7.118818354E9</v>
      </c>
      <c r="C231" s="552" t="s">
        <v>1450</v>
      </c>
      <c r="D231" s="553">
        <v>46202.0</v>
      </c>
      <c r="E231" s="552" t="s">
        <v>1714</v>
      </c>
      <c r="H231" s="544"/>
      <c r="I231" s="522"/>
      <c r="J231" s="522"/>
      <c r="K231" s="542"/>
      <c r="L231" s="522"/>
    </row>
    <row r="232" ht="22.5" customHeight="1">
      <c r="A232" s="550" t="s">
        <v>1715</v>
      </c>
      <c r="B232" s="551">
        <v>5.022060404E9</v>
      </c>
      <c r="C232" s="552" t="s">
        <v>51</v>
      </c>
      <c r="D232" s="553">
        <v>46167.0</v>
      </c>
      <c r="E232" s="552" t="s">
        <v>1716</v>
      </c>
      <c r="H232" s="544"/>
      <c r="I232" s="522"/>
      <c r="J232" s="522"/>
      <c r="K232" s="542"/>
      <c r="L232" s="522"/>
    </row>
    <row r="233" ht="22.5" customHeight="1">
      <c r="A233" s="550" t="s">
        <v>1717</v>
      </c>
      <c r="B233" s="551">
        <v>7.612037899E9</v>
      </c>
      <c r="C233" s="552" t="s">
        <v>51</v>
      </c>
      <c r="D233" s="553">
        <v>46168.0</v>
      </c>
      <c r="E233" s="552" t="s">
        <v>1718</v>
      </c>
      <c r="H233" s="544"/>
      <c r="I233" s="522"/>
      <c r="J233" s="522"/>
      <c r="K233" s="542"/>
      <c r="L233" s="522"/>
    </row>
    <row r="234" ht="22.5" customHeight="1">
      <c r="A234" s="550" t="s">
        <v>1719</v>
      </c>
      <c r="B234" s="551">
        <v>7.805772443E9</v>
      </c>
      <c r="C234" s="552" t="s">
        <v>51</v>
      </c>
      <c r="D234" s="553">
        <v>46168.0</v>
      </c>
      <c r="E234" s="552" t="s">
        <v>1716</v>
      </c>
      <c r="H234" s="544"/>
      <c r="I234" s="522"/>
      <c r="J234" s="522"/>
      <c r="K234" s="542"/>
      <c r="L234" s="522"/>
    </row>
    <row r="235" ht="22.5" customHeight="1">
      <c r="A235" s="550" t="s">
        <v>1720</v>
      </c>
      <c r="B235" s="551">
        <v>5.007104135E9</v>
      </c>
      <c r="C235" s="552" t="s">
        <v>164</v>
      </c>
      <c r="D235" s="553">
        <v>46168.0</v>
      </c>
      <c r="E235" s="552" t="s">
        <v>1467</v>
      </c>
      <c r="H235" s="544"/>
      <c r="I235" s="522"/>
      <c r="J235" s="522"/>
      <c r="K235" s="542"/>
      <c r="L235" s="522"/>
    </row>
    <row r="236" ht="22.5" customHeight="1">
      <c r="A236" s="550" t="s">
        <v>1721</v>
      </c>
      <c r="B236" s="551">
        <v>7.720359276E9</v>
      </c>
      <c r="C236" s="552" t="s">
        <v>95</v>
      </c>
      <c r="D236" s="553">
        <v>46168.0</v>
      </c>
      <c r="E236" s="552" t="s">
        <v>1467</v>
      </c>
      <c r="H236" s="544"/>
      <c r="I236" s="522"/>
      <c r="J236" s="522"/>
      <c r="K236" s="542"/>
      <c r="L236" s="522"/>
    </row>
    <row r="237" ht="22.5" customHeight="1">
      <c r="A237" s="550" t="s">
        <v>1722</v>
      </c>
      <c r="B237" s="551">
        <v>6.324078738E9</v>
      </c>
      <c r="C237" s="552" t="s">
        <v>95</v>
      </c>
      <c r="D237" s="553">
        <v>46169.0</v>
      </c>
      <c r="E237" s="552" t="s">
        <v>1467</v>
      </c>
      <c r="H237" s="544"/>
      <c r="I237" s="522"/>
      <c r="J237" s="522"/>
      <c r="K237" s="542"/>
      <c r="L237" s="522"/>
    </row>
    <row r="238" ht="22.5" customHeight="1">
      <c r="A238" s="550" t="s">
        <v>1723</v>
      </c>
      <c r="B238" s="551">
        <v>7.728127012E9</v>
      </c>
      <c r="C238" s="552" t="s">
        <v>1586</v>
      </c>
      <c r="D238" s="553"/>
      <c r="E238" s="552" t="s">
        <v>1454</v>
      </c>
      <c r="H238" s="544"/>
      <c r="I238" s="522"/>
      <c r="J238" s="522"/>
      <c r="K238" s="542"/>
      <c r="L238" s="522"/>
    </row>
    <row r="239" ht="22.5" customHeight="1">
      <c r="A239" s="550" t="s">
        <v>1724</v>
      </c>
      <c r="B239" s="551">
        <v>7.713321088E9</v>
      </c>
      <c r="C239" s="552" t="s">
        <v>1586</v>
      </c>
      <c r="D239" s="553"/>
      <c r="E239" s="552" t="s">
        <v>1454</v>
      </c>
      <c r="H239" s="544"/>
      <c r="I239" s="522"/>
      <c r="J239" s="522"/>
      <c r="K239" s="542"/>
      <c r="L239" s="522"/>
    </row>
    <row r="240" ht="22.5" customHeight="1">
      <c r="A240" s="550" t="s">
        <v>1725</v>
      </c>
      <c r="B240" s="551">
        <v>6.671286253E9</v>
      </c>
      <c r="C240" s="552" t="s">
        <v>1586</v>
      </c>
      <c r="D240" s="553"/>
      <c r="E240" s="552" t="s">
        <v>1454</v>
      </c>
      <c r="H240" s="544"/>
      <c r="I240" s="522"/>
      <c r="J240" s="522"/>
      <c r="K240" s="542"/>
      <c r="L240" s="522"/>
    </row>
    <row r="241" ht="22.5" customHeight="1">
      <c r="A241" s="550" t="s">
        <v>1726</v>
      </c>
      <c r="B241" s="551">
        <v>9.72112444E9</v>
      </c>
      <c r="C241" s="552" t="s">
        <v>1586</v>
      </c>
      <c r="D241" s="553"/>
      <c r="E241" s="552" t="s">
        <v>1454</v>
      </c>
      <c r="H241" s="544"/>
      <c r="I241" s="522"/>
      <c r="J241" s="522"/>
      <c r="K241" s="542"/>
      <c r="L241" s="522"/>
    </row>
    <row r="242" ht="22.5" customHeight="1">
      <c r="A242" s="550" t="s">
        <v>1727</v>
      </c>
      <c r="B242" s="551">
        <v>7.721427137E9</v>
      </c>
      <c r="C242" s="552" t="s">
        <v>1586</v>
      </c>
      <c r="D242" s="553"/>
      <c r="E242" s="552" t="s">
        <v>1454</v>
      </c>
      <c r="H242" s="544"/>
      <c r="I242" s="522"/>
      <c r="J242" s="522"/>
      <c r="K242" s="542"/>
      <c r="L242" s="522"/>
    </row>
    <row r="243" ht="22.5" customHeight="1">
      <c r="A243" s="550" t="s">
        <v>1728</v>
      </c>
      <c r="B243" s="551">
        <v>7.721634912E9</v>
      </c>
      <c r="C243" s="552" t="s">
        <v>1586</v>
      </c>
      <c r="D243" s="553"/>
      <c r="E243" s="552" t="s">
        <v>1454</v>
      </c>
      <c r="H243" s="544"/>
      <c r="I243" s="522"/>
      <c r="J243" s="522"/>
      <c r="K243" s="542"/>
      <c r="L243" s="522"/>
    </row>
    <row r="244" ht="22.5" customHeight="1">
      <c r="A244" s="550" t="s">
        <v>1729</v>
      </c>
      <c r="B244" s="551">
        <v>7.707466462E9</v>
      </c>
      <c r="C244" s="552" t="s">
        <v>29</v>
      </c>
      <c r="D244" s="553">
        <v>46170.0</v>
      </c>
      <c r="E244" s="552" t="s">
        <v>1467</v>
      </c>
      <c r="H244" s="544"/>
      <c r="I244" s="522"/>
      <c r="J244" s="522"/>
      <c r="K244" s="542"/>
      <c r="L244" s="522"/>
    </row>
    <row r="245" ht="22.5" customHeight="1">
      <c r="A245" s="550" t="s">
        <v>1730</v>
      </c>
      <c r="B245" s="551"/>
      <c r="C245" s="552" t="s">
        <v>1586</v>
      </c>
      <c r="D245" s="553"/>
      <c r="E245" s="552" t="s">
        <v>1454</v>
      </c>
      <c r="H245" s="544"/>
      <c r="I245" s="522"/>
      <c r="J245" s="522"/>
      <c r="K245" s="542"/>
      <c r="L245" s="522"/>
    </row>
    <row r="246" ht="22.5" customHeight="1">
      <c r="A246" s="550" t="s">
        <v>1731</v>
      </c>
      <c r="B246" s="551">
        <v>6.732154666E9</v>
      </c>
      <c r="C246" s="552" t="s">
        <v>164</v>
      </c>
      <c r="D246" s="553"/>
      <c r="E246" s="552" t="s">
        <v>1708</v>
      </c>
      <c r="H246" s="544"/>
      <c r="I246" s="522"/>
      <c r="J246" s="522"/>
      <c r="K246" s="542"/>
      <c r="L246" s="522"/>
    </row>
    <row r="247" ht="22.5" customHeight="1">
      <c r="A247" s="550" t="s">
        <v>1732</v>
      </c>
      <c r="B247" s="551">
        <v>7.719860791E9</v>
      </c>
      <c r="C247" s="552" t="s">
        <v>1586</v>
      </c>
      <c r="D247" s="553"/>
      <c r="E247" s="552" t="s">
        <v>1454</v>
      </c>
      <c r="H247" s="544"/>
      <c r="I247" s="522"/>
      <c r="J247" s="522"/>
      <c r="K247" s="542"/>
      <c r="L247" s="522"/>
    </row>
    <row r="248" ht="22.5" customHeight="1">
      <c r="A248" s="550" t="s">
        <v>1733</v>
      </c>
      <c r="B248" s="551">
        <v>5.948025679E9</v>
      </c>
      <c r="C248" s="552" t="s">
        <v>51</v>
      </c>
      <c r="D248" s="553">
        <v>46170.0</v>
      </c>
      <c r="E248" s="552" t="s">
        <v>1708</v>
      </c>
      <c r="H248" s="544"/>
      <c r="I248" s="522"/>
      <c r="J248" s="522"/>
      <c r="K248" s="542"/>
      <c r="L248" s="522"/>
    </row>
    <row r="249" ht="22.5" customHeight="1">
      <c r="A249" s="550" t="s">
        <v>1734</v>
      </c>
      <c r="B249" s="551">
        <v>7.719794436E9</v>
      </c>
      <c r="C249" s="552" t="s">
        <v>51</v>
      </c>
      <c r="D249" s="553">
        <v>46171.0</v>
      </c>
      <c r="E249" s="552" t="s">
        <v>1688</v>
      </c>
      <c r="H249" s="544"/>
      <c r="I249" s="522"/>
      <c r="J249" s="522"/>
      <c r="K249" s="542"/>
      <c r="L249" s="522"/>
    </row>
    <row r="250" ht="22.5" customHeight="1">
      <c r="A250" s="550" t="s">
        <v>1735</v>
      </c>
      <c r="B250" s="551">
        <v>5.834013493E9</v>
      </c>
      <c r="C250" s="552" t="s">
        <v>1450</v>
      </c>
      <c r="D250" s="553">
        <v>46202.0</v>
      </c>
      <c r="E250" s="552" t="s">
        <v>1688</v>
      </c>
      <c r="H250" s="544"/>
      <c r="I250" s="522"/>
      <c r="J250" s="522"/>
      <c r="K250" s="542"/>
      <c r="L250" s="522"/>
    </row>
    <row r="251" ht="22.5" customHeight="1">
      <c r="A251" s="550" t="s">
        <v>1736</v>
      </c>
      <c r="B251" s="551">
        <v>5.027242856E9</v>
      </c>
      <c r="C251" s="552" t="s">
        <v>1450</v>
      </c>
      <c r="D251" s="553">
        <v>46202.0</v>
      </c>
      <c r="E251" s="552" t="s">
        <v>1737</v>
      </c>
      <c r="H251" s="544"/>
      <c r="I251" s="522"/>
      <c r="J251" s="522"/>
      <c r="K251" s="542"/>
      <c r="L251" s="522"/>
    </row>
    <row r="252" ht="22.5" customHeight="1">
      <c r="A252" s="550" t="s">
        <v>1738</v>
      </c>
      <c r="B252" s="551">
        <v>7.736324046E9</v>
      </c>
      <c r="C252" s="552" t="s">
        <v>1586</v>
      </c>
      <c r="D252" s="553"/>
      <c r="E252" s="552" t="s">
        <v>1454</v>
      </c>
      <c r="H252" s="544"/>
      <c r="I252" s="522"/>
      <c r="J252" s="522"/>
      <c r="K252" s="542"/>
      <c r="L252" s="522"/>
    </row>
    <row r="253" ht="22.5" customHeight="1">
      <c r="A253" s="550" t="s">
        <v>1739</v>
      </c>
      <c r="B253" s="551">
        <v>6.90102732E9</v>
      </c>
      <c r="C253" s="552" t="s">
        <v>29</v>
      </c>
      <c r="D253" s="553"/>
      <c r="E253" s="552" t="s">
        <v>1740</v>
      </c>
      <c r="H253" s="544"/>
      <c r="I253" s="522"/>
      <c r="J253" s="522"/>
      <c r="K253" s="542"/>
      <c r="L253" s="522"/>
    </row>
    <row r="254" ht="22.5" customHeight="1">
      <c r="A254" s="550" t="s">
        <v>1741</v>
      </c>
      <c r="B254" s="551">
        <v>4.02504431E9</v>
      </c>
      <c r="C254" s="552" t="s">
        <v>29</v>
      </c>
      <c r="D254" s="553"/>
      <c r="E254" s="552" t="s">
        <v>1740</v>
      </c>
      <c r="H254" s="544"/>
      <c r="I254" s="522"/>
      <c r="J254" s="522"/>
      <c r="K254" s="542"/>
      <c r="L254" s="522"/>
    </row>
    <row r="255" ht="22.5" customHeight="1">
      <c r="A255" s="550" t="s">
        <v>1742</v>
      </c>
      <c r="B255" s="551">
        <v>9.715345793E9</v>
      </c>
      <c r="C255" s="552" t="s">
        <v>1193</v>
      </c>
      <c r="D255" s="553">
        <v>46174.0</v>
      </c>
      <c r="E255" s="552" t="s">
        <v>1743</v>
      </c>
      <c r="H255" s="544"/>
      <c r="I255" s="522"/>
      <c r="J255" s="522"/>
      <c r="K255" s="542"/>
      <c r="L255" s="522"/>
    </row>
    <row r="256" ht="22.5" customHeight="1">
      <c r="A256" s="550" t="s">
        <v>1744</v>
      </c>
      <c r="B256" s="551">
        <v>9.709050287E9</v>
      </c>
      <c r="C256" s="552" t="s">
        <v>1193</v>
      </c>
      <c r="D256" s="553">
        <v>46174.0</v>
      </c>
      <c r="E256" s="552" t="s">
        <v>1743</v>
      </c>
      <c r="H256" s="544"/>
      <c r="I256" s="522"/>
      <c r="J256" s="522"/>
      <c r="K256" s="542"/>
      <c r="L256" s="522"/>
    </row>
    <row r="257" ht="22.5" customHeight="1">
      <c r="A257" s="550" t="s">
        <v>1745</v>
      </c>
      <c r="B257" s="551">
        <v>5.905068228E9</v>
      </c>
      <c r="C257" s="552" t="s">
        <v>1193</v>
      </c>
      <c r="D257" s="553">
        <v>46175.0</v>
      </c>
      <c r="E257" s="552" t="s">
        <v>1743</v>
      </c>
      <c r="H257" s="544"/>
      <c r="I257" s="522"/>
      <c r="J257" s="522"/>
      <c r="K257" s="542"/>
      <c r="L257" s="522"/>
    </row>
    <row r="258" ht="22.5" customHeight="1">
      <c r="A258" s="550" t="s">
        <v>1746</v>
      </c>
      <c r="B258" s="551">
        <v>7.80623975E9</v>
      </c>
      <c r="C258" s="552" t="s">
        <v>1193</v>
      </c>
      <c r="D258" s="553">
        <v>46175.0</v>
      </c>
      <c r="E258" s="552" t="s">
        <v>1747</v>
      </c>
      <c r="H258" s="544"/>
      <c r="I258" s="522"/>
      <c r="J258" s="522"/>
      <c r="K258" s="542"/>
      <c r="L258" s="522"/>
    </row>
    <row r="259" ht="22.5" customHeight="1">
      <c r="A259" s="550" t="s">
        <v>1748</v>
      </c>
      <c r="B259" s="551">
        <v>5.043019372E9</v>
      </c>
      <c r="C259" s="552" t="s">
        <v>29</v>
      </c>
      <c r="D259" s="553">
        <v>46175.0</v>
      </c>
      <c r="E259" s="552" t="s">
        <v>1572</v>
      </c>
      <c r="H259" s="544"/>
      <c r="I259" s="522"/>
      <c r="J259" s="522"/>
      <c r="K259" s="542"/>
      <c r="L259" s="522"/>
    </row>
    <row r="260" ht="22.5" customHeight="1">
      <c r="A260" s="550" t="s">
        <v>1749</v>
      </c>
      <c r="B260" s="551">
        <v>5.029287147E9</v>
      </c>
      <c r="C260" s="552" t="s">
        <v>29</v>
      </c>
      <c r="D260" s="553">
        <v>46175.0</v>
      </c>
      <c r="E260" s="552" t="s">
        <v>1572</v>
      </c>
      <c r="H260" s="544"/>
      <c r="I260" s="522"/>
      <c r="J260" s="522"/>
      <c r="K260" s="542"/>
      <c r="L260" s="522"/>
    </row>
    <row r="261" ht="22.5" customHeight="1">
      <c r="A261" s="550" t="s">
        <v>1750</v>
      </c>
      <c r="B261" s="551">
        <v>7.7243555239E11</v>
      </c>
      <c r="C261" s="552" t="s">
        <v>1193</v>
      </c>
      <c r="D261" s="553">
        <v>46175.0</v>
      </c>
      <c r="E261" s="552" t="s">
        <v>1743</v>
      </c>
      <c r="H261" s="544"/>
      <c r="I261" s="522"/>
      <c r="J261" s="522"/>
      <c r="K261" s="542"/>
      <c r="L261" s="522"/>
    </row>
    <row r="262" ht="22.5" customHeight="1">
      <c r="A262" s="550" t="s">
        <v>1751</v>
      </c>
      <c r="B262" s="551">
        <v>4.632301433E9</v>
      </c>
      <c r="C262" s="552" t="s">
        <v>1193</v>
      </c>
      <c r="D262" s="553">
        <v>46175.0</v>
      </c>
      <c r="E262" s="552" t="s">
        <v>1743</v>
      </c>
      <c r="H262" s="544"/>
      <c r="I262" s="522"/>
      <c r="J262" s="522"/>
      <c r="K262" s="542"/>
      <c r="L262" s="522"/>
    </row>
    <row r="263" ht="22.5" customHeight="1">
      <c r="A263" s="550" t="s">
        <v>1752</v>
      </c>
      <c r="B263" s="551">
        <v>5.03234907E9</v>
      </c>
      <c r="C263" s="552" t="s">
        <v>1193</v>
      </c>
      <c r="D263" s="553">
        <v>46175.0</v>
      </c>
      <c r="E263" s="552" t="s">
        <v>1743</v>
      </c>
      <c r="H263" s="544"/>
      <c r="I263" s="522"/>
      <c r="J263" s="522"/>
      <c r="K263" s="542"/>
      <c r="L263" s="522"/>
    </row>
    <row r="264" ht="22.5" customHeight="1">
      <c r="A264" s="550" t="s">
        <v>1753</v>
      </c>
      <c r="B264" s="551">
        <v>5.009050904E9</v>
      </c>
      <c r="C264" s="552" t="s">
        <v>1193</v>
      </c>
      <c r="D264" s="553">
        <v>46175.0</v>
      </c>
      <c r="E264" s="552" t="s">
        <v>1572</v>
      </c>
      <c r="H264" s="544"/>
      <c r="I264" s="522"/>
      <c r="J264" s="522"/>
      <c r="K264" s="542"/>
      <c r="L264" s="522"/>
    </row>
    <row r="265" ht="22.5" customHeight="1">
      <c r="A265" s="550" t="s">
        <v>1754</v>
      </c>
      <c r="B265" s="551">
        <v>9.718146041E9</v>
      </c>
      <c r="C265" s="552" t="s">
        <v>1755</v>
      </c>
      <c r="D265" s="553">
        <v>46202.0</v>
      </c>
      <c r="E265" s="552" t="s">
        <v>1756</v>
      </c>
      <c r="H265" s="544"/>
      <c r="I265" s="522"/>
      <c r="J265" s="522"/>
      <c r="K265" s="542"/>
      <c r="L265" s="522"/>
    </row>
    <row r="266" ht="22.5" customHeight="1">
      <c r="A266" s="550" t="s">
        <v>1757</v>
      </c>
      <c r="B266" s="551">
        <v>5.024242632E9</v>
      </c>
      <c r="C266" s="552" t="s">
        <v>1586</v>
      </c>
      <c r="D266" s="553"/>
      <c r="E266" s="552" t="s">
        <v>1758</v>
      </c>
      <c r="H266" s="544"/>
      <c r="I266" s="522"/>
      <c r="J266" s="522"/>
      <c r="K266" s="542"/>
      <c r="L266" s="522"/>
    </row>
    <row r="267" ht="22.5" customHeight="1">
      <c r="A267" s="550" t="s">
        <v>1759</v>
      </c>
      <c r="B267" s="551">
        <v>5.029061809E9</v>
      </c>
      <c r="C267" s="552" t="s">
        <v>1586</v>
      </c>
      <c r="D267" s="553"/>
      <c r="E267" s="552" t="s">
        <v>1758</v>
      </c>
      <c r="H267" s="544"/>
      <c r="I267" s="522"/>
      <c r="J267" s="522"/>
      <c r="K267" s="542"/>
      <c r="L267" s="522"/>
    </row>
    <row r="268" ht="22.5" customHeight="1">
      <c r="A268" s="550" t="s">
        <v>1760</v>
      </c>
      <c r="B268" s="551">
        <v>7.71577873E9</v>
      </c>
      <c r="C268" s="552" t="s">
        <v>1586</v>
      </c>
      <c r="D268" s="553"/>
      <c r="E268" s="552" t="s">
        <v>1454</v>
      </c>
      <c r="H268" s="544"/>
      <c r="I268" s="522"/>
      <c r="J268" s="522"/>
      <c r="K268" s="542"/>
      <c r="L268" s="522"/>
    </row>
    <row r="269" ht="22.5" customHeight="1">
      <c r="A269" s="550" t="s">
        <v>1761</v>
      </c>
      <c r="B269" s="551">
        <v>7.702048461E9</v>
      </c>
      <c r="C269" s="552" t="s">
        <v>164</v>
      </c>
      <c r="D269" s="553"/>
      <c r="E269" s="552" t="s">
        <v>1467</v>
      </c>
      <c r="H269" s="544"/>
      <c r="I269" s="522"/>
      <c r="J269" s="522"/>
      <c r="K269" s="542"/>
      <c r="L269" s="522"/>
    </row>
    <row r="270" ht="22.5" customHeight="1">
      <c r="A270" s="550" t="s">
        <v>1762</v>
      </c>
      <c r="B270" s="551">
        <v>4.025457967E9</v>
      </c>
      <c r="C270" s="552" t="s">
        <v>29</v>
      </c>
      <c r="D270" s="553"/>
      <c r="E270" s="552" t="s">
        <v>1467</v>
      </c>
      <c r="H270" s="544"/>
      <c r="I270" s="522"/>
      <c r="J270" s="522"/>
      <c r="K270" s="542"/>
      <c r="L270" s="522"/>
    </row>
    <row r="271" ht="22.5" customHeight="1">
      <c r="A271" s="550" t="s">
        <v>1763</v>
      </c>
      <c r="B271" s="551">
        <v>9.718246536E9</v>
      </c>
      <c r="C271" s="552" t="s">
        <v>51</v>
      </c>
      <c r="D271" s="553">
        <v>46178.0</v>
      </c>
      <c r="E271" s="552" t="s">
        <v>1764</v>
      </c>
      <c r="H271" s="544"/>
      <c r="I271" s="522"/>
      <c r="J271" s="522"/>
      <c r="K271" s="542"/>
      <c r="L271" s="522"/>
    </row>
    <row r="272" ht="22.5" customHeight="1">
      <c r="A272" s="550" t="s">
        <v>1765</v>
      </c>
      <c r="B272" s="551">
        <v>5.61408416E9</v>
      </c>
      <c r="C272" s="552" t="s">
        <v>51</v>
      </c>
      <c r="D272" s="553">
        <v>46181.0</v>
      </c>
      <c r="E272" s="552" t="s">
        <v>1737</v>
      </c>
      <c r="H272" s="544"/>
      <c r="I272" s="522"/>
      <c r="J272" s="522"/>
      <c r="K272" s="542"/>
      <c r="L272" s="522"/>
    </row>
    <row r="273" ht="22.5" customHeight="1">
      <c r="A273" s="550" t="s">
        <v>1766</v>
      </c>
      <c r="B273" s="551">
        <v>5.074115213E9</v>
      </c>
      <c r="C273" s="552" t="s">
        <v>164</v>
      </c>
      <c r="D273" s="553">
        <v>46182.0</v>
      </c>
      <c r="E273" s="552" t="s">
        <v>1767</v>
      </c>
      <c r="H273" s="544"/>
      <c r="I273" s="522"/>
      <c r="J273" s="522"/>
      <c r="K273" s="542"/>
      <c r="L273" s="522"/>
    </row>
    <row r="274" ht="22.5" customHeight="1">
      <c r="A274" s="550" t="s">
        <v>1768</v>
      </c>
      <c r="B274" s="551">
        <v>7.7189823E9</v>
      </c>
      <c r="C274" s="552" t="s">
        <v>1193</v>
      </c>
      <c r="D274" s="553">
        <v>46182.0</v>
      </c>
      <c r="E274" s="550" t="s">
        <v>1737</v>
      </c>
      <c r="H274" s="544"/>
      <c r="I274" s="522"/>
      <c r="J274" s="522"/>
      <c r="K274" s="542"/>
      <c r="L274" s="522"/>
    </row>
    <row r="275" ht="22.5" customHeight="1">
      <c r="A275" s="550" t="s">
        <v>1769</v>
      </c>
      <c r="B275" s="551">
        <v>7.733154124E9</v>
      </c>
      <c r="C275" s="552" t="s">
        <v>1193</v>
      </c>
      <c r="D275" s="553">
        <v>46183.0</v>
      </c>
      <c r="E275" s="550" t="s">
        <v>1770</v>
      </c>
      <c r="H275" s="544"/>
      <c r="I275" s="522"/>
      <c r="J275" s="522"/>
      <c r="K275" s="542"/>
      <c r="L275" s="522"/>
    </row>
    <row r="276" ht="22.5" customHeight="1">
      <c r="A276" s="550" t="s">
        <v>1771</v>
      </c>
      <c r="B276" s="551">
        <v>7.734344294E9</v>
      </c>
      <c r="C276" s="552" t="s">
        <v>1193</v>
      </c>
      <c r="D276" s="553">
        <v>46183.0</v>
      </c>
      <c r="E276" s="550" t="s">
        <v>1772</v>
      </c>
      <c r="H276" s="544"/>
      <c r="I276" s="522"/>
      <c r="J276" s="522"/>
      <c r="K276" s="542"/>
      <c r="L276" s="522"/>
    </row>
    <row r="277" ht="22.5" customHeight="1">
      <c r="A277" s="550" t="s">
        <v>1773</v>
      </c>
      <c r="B277" s="551">
        <v>5.019027037E9</v>
      </c>
      <c r="C277" s="552" t="s">
        <v>1193</v>
      </c>
      <c r="D277" s="553">
        <v>46183.0</v>
      </c>
      <c r="E277" s="550" t="s">
        <v>1774</v>
      </c>
      <c r="H277" s="544"/>
      <c r="I277" s="522"/>
      <c r="J277" s="522"/>
      <c r="K277" s="542"/>
      <c r="L277" s="522"/>
    </row>
    <row r="278" ht="22.5" customHeight="1">
      <c r="A278" s="550" t="s">
        <v>1775</v>
      </c>
      <c r="B278" s="562">
        <v>7.718807481E9</v>
      </c>
      <c r="C278" s="552" t="s">
        <v>164</v>
      </c>
      <c r="D278" s="553">
        <v>46183.0</v>
      </c>
      <c r="E278" s="550" t="s">
        <v>1770</v>
      </c>
      <c r="H278" s="544"/>
      <c r="I278" s="522"/>
      <c r="J278" s="522"/>
      <c r="K278" s="542"/>
      <c r="L278" s="522"/>
    </row>
    <row r="279" ht="22.5" customHeight="1">
      <c r="A279" s="550" t="s">
        <v>1776</v>
      </c>
      <c r="B279" s="563">
        <v>5.02713716E9</v>
      </c>
      <c r="C279" s="552" t="s">
        <v>164</v>
      </c>
      <c r="D279" s="553">
        <v>46184.0</v>
      </c>
      <c r="E279" s="550" t="s">
        <v>1770</v>
      </c>
      <c r="H279" s="544"/>
      <c r="I279" s="522"/>
      <c r="J279" s="522"/>
      <c r="K279" s="542"/>
      <c r="L279" s="522"/>
    </row>
    <row r="280" ht="22.5" customHeight="1">
      <c r="A280" s="564" t="s">
        <v>1777</v>
      </c>
      <c r="B280" s="565">
        <v>7.743176818E9</v>
      </c>
      <c r="C280" s="552" t="s">
        <v>51</v>
      </c>
      <c r="D280" s="553">
        <v>46185.0</v>
      </c>
      <c r="E280" s="550" t="s">
        <v>1772</v>
      </c>
      <c r="H280" s="544"/>
      <c r="I280" s="522"/>
      <c r="J280" s="522"/>
      <c r="K280" s="542"/>
      <c r="L280" s="522"/>
    </row>
    <row r="281" ht="22.5" customHeight="1">
      <c r="A281" s="566" t="s">
        <v>1778</v>
      </c>
      <c r="B281" s="567">
        <v>3.321034423E9</v>
      </c>
      <c r="C281" s="552" t="s">
        <v>1193</v>
      </c>
      <c r="D281" s="553">
        <v>46185.0</v>
      </c>
      <c r="E281" s="550" t="s">
        <v>1779</v>
      </c>
      <c r="H281" s="544"/>
      <c r="I281" s="522"/>
      <c r="J281" s="522"/>
      <c r="K281" s="542"/>
      <c r="L281" s="522"/>
    </row>
    <row r="282" ht="22.5" customHeight="1">
      <c r="A282" s="566" t="s">
        <v>1780</v>
      </c>
      <c r="B282" s="567">
        <v>7.73333313E9</v>
      </c>
      <c r="C282" s="552" t="s">
        <v>1193</v>
      </c>
      <c r="D282" s="553">
        <v>46185.0</v>
      </c>
      <c r="E282" s="550" t="s">
        <v>1770</v>
      </c>
      <c r="H282" s="544"/>
      <c r="I282" s="522"/>
      <c r="J282" s="522"/>
      <c r="K282" s="542"/>
      <c r="L282" s="522"/>
    </row>
    <row r="283" ht="22.5" customHeight="1">
      <c r="A283" s="566" t="s">
        <v>1781</v>
      </c>
      <c r="B283" s="568">
        <v>4.345149792E9</v>
      </c>
      <c r="C283" s="552" t="s">
        <v>51</v>
      </c>
      <c r="D283" s="553">
        <v>46188.0</v>
      </c>
      <c r="E283" s="550" t="s">
        <v>1772</v>
      </c>
      <c r="H283" s="544"/>
      <c r="I283" s="522"/>
      <c r="J283" s="522"/>
      <c r="K283" s="542"/>
      <c r="L283" s="522"/>
    </row>
    <row r="284" ht="22.5" customHeight="1">
      <c r="A284" s="569" t="s">
        <v>1782</v>
      </c>
      <c r="B284" s="570">
        <v>3.123158515E9</v>
      </c>
      <c r="C284" s="552" t="s">
        <v>164</v>
      </c>
      <c r="D284" s="553">
        <v>46188.0</v>
      </c>
      <c r="E284" s="550" t="s">
        <v>1783</v>
      </c>
      <c r="H284" s="544"/>
      <c r="I284" s="522"/>
      <c r="J284" s="522"/>
      <c r="K284" s="542"/>
      <c r="L284" s="522"/>
    </row>
    <row r="285" ht="22.5" customHeight="1">
      <c r="A285" s="571" t="s">
        <v>1784</v>
      </c>
      <c r="B285" s="572">
        <v>5.00903255E9</v>
      </c>
      <c r="C285" s="552" t="s">
        <v>67</v>
      </c>
      <c r="D285" s="553">
        <v>46113.0</v>
      </c>
      <c r="E285" s="550" t="s">
        <v>1737</v>
      </c>
      <c r="H285" s="544"/>
      <c r="I285" s="522"/>
      <c r="J285" s="522"/>
      <c r="K285" s="542"/>
      <c r="L285" s="522"/>
    </row>
    <row r="286" ht="22.5" customHeight="1">
      <c r="A286" s="571" t="s">
        <v>1785</v>
      </c>
      <c r="B286" s="572">
        <v>7.707759733E9</v>
      </c>
      <c r="C286" s="552" t="s">
        <v>67</v>
      </c>
      <c r="D286" s="553">
        <v>46143.0</v>
      </c>
      <c r="E286" s="550" t="s">
        <v>1737</v>
      </c>
      <c r="H286" s="544"/>
      <c r="I286" s="522"/>
      <c r="J286" s="522"/>
      <c r="K286" s="542"/>
      <c r="L286" s="522"/>
    </row>
    <row r="287" ht="22.5" customHeight="1">
      <c r="A287" s="571" t="s">
        <v>1786</v>
      </c>
      <c r="B287" s="572">
        <v>5.047264713E9</v>
      </c>
      <c r="C287" s="552" t="s">
        <v>67</v>
      </c>
      <c r="D287" s="553">
        <v>46143.0</v>
      </c>
      <c r="E287" s="550" t="s">
        <v>1737</v>
      </c>
      <c r="H287" s="544"/>
      <c r="I287" s="522"/>
      <c r="J287" s="522"/>
      <c r="K287" s="542"/>
      <c r="L287" s="522"/>
    </row>
    <row r="288" ht="22.5" customHeight="1">
      <c r="A288" s="571" t="s">
        <v>1787</v>
      </c>
      <c r="B288" s="572">
        <v>7.751140283E9</v>
      </c>
      <c r="C288" s="552" t="s">
        <v>1193</v>
      </c>
      <c r="D288" s="553">
        <v>46189.0</v>
      </c>
      <c r="E288" s="550" t="s">
        <v>1774</v>
      </c>
      <c r="H288" s="544"/>
      <c r="I288" s="522"/>
      <c r="J288" s="522"/>
      <c r="K288" s="542"/>
      <c r="L288" s="522"/>
    </row>
    <row r="289" ht="22.5" customHeight="1">
      <c r="A289" s="573" t="s">
        <v>1788</v>
      </c>
      <c r="B289" s="574">
        <v>5.70300496E9</v>
      </c>
      <c r="C289" s="552" t="s">
        <v>164</v>
      </c>
      <c r="D289" s="553">
        <v>46206.0</v>
      </c>
      <c r="E289" s="550" t="s">
        <v>1789</v>
      </c>
      <c r="H289" s="544"/>
      <c r="I289" s="522"/>
      <c r="J289" s="522"/>
      <c r="K289" s="542"/>
      <c r="L289" s="522"/>
    </row>
    <row r="290" ht="22.5" customHeight="1">
      <c r="A290" s="575" t="s">
        <v>1790</v>
      </c>
      <c r="B290" s="576"/>
      <c r="C290" s="552" t="s">
        <v>1586</v>
      </c>
      <c r="D290" s="553"/>
      <c r="E290" s="550" t="s">
        <v>1737</v>
      </c>
      <c r="H290" s="544"/>
      <c r="I290" s="522"/>
      <c r="J290" s="522"/>
      <c r="K290" s="542"/>
      <c r="L290" s="522"/>
    </row>
    <row r="291" ht="22.5" customHeight="1">
      <c r="A291" s="577" t="s">
        <v>1791</v>
      </c>
      <c r="B291" s="578">
        <v>7.806576427E9</v>
      </c>
      <c r="C291" s="552" t="s">
        <v>164</v>
      </c>
      <c r="D291" s="553">
        <v>46192.0</v>
      </c>
      <c r="E291" s="550" t="s">
        <v>1767</v>
      </c>
      <c r="H291" s="544"/>
      <c r="I291" s="522"/>
      <c r="J291" s="522"/>
      <c r="K291" s="542"/>
      <c r="L291" s="522"/>
    </row>
    <row r="292" ht="22.5" customHeight="1">
      <c r="A292" s="579" t="s">
        <v>1792</v>
      </c>
      <c r="B292" s="562">
        <v>6.500027731E9</v>
      </c>
      <c r="C292" s="552" t="s">
        <v>164</v>
      </c>
      <c r="D292" s="553">
        <v>46192.0</v>
      </c>
      <c r="E292" s="550" t="s">
        <v>1767</v>
      </c>
      <c r="H292" s="544"/>
      <c r="I292" s="522"/>
      <c r="J292" s="522"/>
      <c r="K292" s="542"/>
      <c r="L292" s="522"/>
    </row>
    <row r="293" ht="22.5" customHeight="1">
      <c r="A293" s="580" t="s">
        <v>1793</v>
      </c>
      <c r="B293" s="581">
        <v>7.106040119E9</v>
      </c>
      <c r="C293" s="552" t="s">
        <v>1193</v>
      </c>
      <c r="D293" s="553">
        <v>46192.0</v>
      </c>
      <c r="E293" s="550" t="s">
        <v>1794</v>
      </c>
      <c r="H293" s="544"/>
      <c r="I293" s="522"/>
      <c r="J293" s="522"/>
      <c r="K293" s="542"/>
      <c r="L293" s="522"/>
    </row>
    <row r="294" ht="22.5" customHeight="1">
      <c r="A294" s="580" t="s">
        <v>1795</v>
      </c>
      <c r="B294" s="581">
        <v>3.66215926E9</v>
      </c>
      <c r="C294" s="552" t="s">
        <v>1193</v>
      </c>
      <c r="D294" s="553">
        <v>46193.0</v>
      </c>
      <c r="E294" s="550" t="s">
        <v>1794</v>
      </c>
      <c r="H294" s="544"/>
      <c r="I294" s="522"/>
      <c r="J294" s="522"/>
      <c r="K294" s="542"/>
      <c r="L294" s="522"/>
    </row>
    <row r="295" ht="22.5" customHeight="1">
      <c r="A295" s="580" t="s">
        <v>1796</v>
      </c>
      <c r="B295" s="581">
        <v>7.70421737E9</v>
      </c>
      <c r="C295" s="552" t="s">
        <v>95</v>
      </c>
      <c r="D295" s="553"/>
      <c r="E295" s="550" t="s">
        <v>1467</v>
      </c>
      <c r="H295" s="544"/>
      <c r="I295" s="522"/>
      <c r="J295" s="522"/>
      <c r="K295" s="542"/>
      <c r="L295" s="522"/>
    </row>
    <row r="296" ht="22.5" customHeight="1">
      <c r="A296" s="580" t="s">
        <v>1797</v>
      </c>
      <c r="B296" s="581">
        <v>7.728278043E9</v>
      </c>
      <c r="C296" s="552" t="s">
        <v>95</v>
      </c>
      <c r="D296" s="553"/>
      <c r="E296" s="550" t="s">
        <v>1798</v>
      </c>
      <c r="H296" s="544"/>
      <c r="I296" s="522"/>
      <c r="J296" s="522"/>
      <c r="K296" s="542"/>
      <c r="L296" s="522"/>
    </row>
    <row r="297" ht="22.5" customHeight="1">
      <c r="A297" s="580" t="s">
        <v>1799</v>
      </c>
      <c r="B297" s="581">
        <v>7.72442138E9</v>
      </c>
      <c r="C297" s="552" t="s">
        <v>1450</v>
      </c>
      <c r="D297" s="553">
        <v>46195.0</v>
      </c>
      <c r="E297" s="550" t="s">
        <v>1800</v>
      </c>
      <c r="H297" s="544"/>
      <c r="I297" s="522"/>
      <c r="J297" s="522"/>
      <c r="K297" s="542"/>
      <c r="L297" s="522"/>
    </row>
    <row r="298" ht="24.0" customHeight="1">
      <c r="A298" s="580" t="s">
        <v>1801</v>
      </c>
      <c r="B298" s="581">
        <v>5.72001561E9</v>
      </c>
      <c r="C298" s="552" t="s">
        <v>1802</v>
      </c>
      <c r="D298" s="553">
        <v>46196.0</v>
      </c>
      <c r="E298" s="550" t="s">
        <v>1467</v>
      </c>
      <c r="H298" s="544"/>
      <c r="I298" s="522"/>
      <c r="J298" s="522"/>
      <c r="K298" s="542"/>
      <c r="L298" s="522"/>
    </row>
    <row r="299" ht="22.5" customHeight="1">
      <c r="A299" s="580" t="s">
        <v>1803</v>
      </c>
      <c r="B299" s="581">
        <v>7.702764909E9</v>
      </c>
      <c r="C299" s="552" t="s">
        <v>1193</v>
      </c>
      <c r="D299" s="553">
        <v>46196.0</v>
      </c>
      <c r="E299" s="550" t="s">
        <v>1783</v>
      </c>
      <c r="H299" s="544"/>
      <c r="I299" s="522"/>
      <c r="J299" s="522"/>
      <c r="K299" s="542"/>
      <c r="L299" s="522"/>
    </row>
    <row r="300" ht="22.5" customHeight="1">
      <c r="A300" s="580" t="s">
        <v>1804</v>
      </c>
      <c r="B300" s="581">
        <v>7.705040943E9</v>
      </c>
      <c r="C300" s="552" t="s">
        <v>95</v>
      </c>
      <c r="D300" s="553">
        <v>46196.0</v>
      </c>
      <c r="E300" s="550" t="s">
        <v>1783</v>
      </c>
      <c r="H300" s="544"/>
      <c r="I300" s="522"/>
      <c r="J300" s="522"/>
      <c r="K300" s="542"/>
      <c r="L300" s="522"/>
    </row>
    <row r="301" ht="22.5" customHeight="1">
      <c r="A301" s="580" t="s">
        <v>1805</v>
      </c>
      <c r="B301" s="581">
        <v>7.715918994E9</v>
      </c>
      <c r="C301" s="552" t="s">
        <v>95</v>
      </c>
      <c r="D301" s="553">
        <v>46198.0</v>
      </c>
      <c r="E301" s="550" t="s">
        <v>1783</v>
      </c>
      <c r="H301" s="544"/>
      <c r="I301" s="522"/>
      <c r="J301" s="522"/>
      <c r="K301" s="542"/>
      <c r="L301" s="522"/>
    </row>
    <row r="302" ht="22.5" customHeight="1">
      <c r="A302" s="580" t="s">
        <v>1806</v>
      </c>
      <c r="B302" s="581">
        <v>7.70754874E9</v>
      </c>
      <c r="C302" s="552" t="s">
        <v>1193</v>
      </c>
      <c r="D302" s="553">
        <v>46198.0</v>
      </c>
      <c r="E302" s="550" t="s">
        <v>1783</v>
      </c>
      <c r="H302" s="544"/>
      <c r="I302" s="522"/>
      <c r="J302" s="522"/>
      <c r="K302" s="542"/>
      <c r="L302" s="522"/>
    </row>
    <row r="303" ht="22.5" customHeight="1">
      <c r="A303" s="580" t="s">
        <v>1807</v>
      </c>
      <c r="B303" s="582">
        <v>7.802559685E9</v>
      </c>
      <c r="C303" s="552" t="s">
        <v>164</v>
      </c>
      <c r="D303" s="553">
        <v>46199.0</v>
      </c>
      <c r="E303" s="550" t="s">
        <v>1808</v>
      </c>
      <c r="H303" s="544"/>
      <c r="I303" s="522"/>
      <c r="J303" s="522"/>
      <c r="K303" s="542"/>
      <c r="L303" s="522"/>
    </row>
    <row r="304" ht="22.5" customHeight="1">
      <c r="A304" s="580" t="s">
        <v>1809</v>
      </c>
      <c r="B304" s="581">
        <v>7.71503436E9</v>
      </c>
      <c r="C304" s="552" t="s">
        <v>51</v>
      </c>
      <c r="D304" s="553">
        <v>46202.0</v>
      </c>
      <c r="E304" s="550" t="s">
        <v>1772</v>
      </c>
      <c r="H304" s="544"/>
      <c r="I304" s="522"/>
      <c r="J304" s="522"/>
      <c r="K304" s="542"/>
      <c r="L304" s="522"/>
    </row>
    <row r="305" ht="22.5" customHeight="1">
      <c r="A305" s="580" t="s">
        <v>1810</v>
      </c>
      <c r="B305" s="581">
        <v>2.543183801E9</v>
      </c>
      <c r="C305" s="552" t="s">
        <v>51</v>
      </c>
      <c r="D305" s="553">
        <v>46202.0</v>
      </c>
      <c r="E305" s="550" t="s">
        <v>1772</v>
      </c>
      <c r="H305" s="544"/>
      <c r="I305" s="522"/>
      <c r="J305" s="522"/>
      <c r="K305" s="542"/>
      <c r="L305" s="522"/>
    </row>
    <row r="306" ht="22.5" customHeight="1">
      <c r="A306" s="580" t="s">
        <v>1811</v>
      </c>
      <c r="B306" s="581">
        <v>7.816085379E9</v>
      </c>
      <c r="C306" s="552" t="s">
        <v>51</v>
      </c>
      <c r="D306" s="553">
        <v>46202.0</v>
      </c>
      <c r="E306" s="550" t="s">
        <v>1772</v>
      </c>
      <c r="H306" s="544"/>
      <c r="I306" s="522"/>
      <c r="J306" s="522"/>
      <c r="K306" s="542"/>
      <c r="L306" s="522"/>
    </row>
    <row r="307" ht="22.5" customHeight="1">
      <c r="A307" s="580" t="s">
        <v>1812</v>
      </c>
      <c r="B307" s="581">
        <v>6.725032956E9</v>
      </c>
      <c r="C307" s="552" t="s">
        <v>1193</v>
      </c>
      <c r="D307" s="553">
        <v>46202.0</v>
      </c>
      <c r="E307" s="550" t="s">
        <v>1772</v>
      </c>
      <c r="H307" s="544"/>
      <c r="I307" s="522"/>
      <c r="J307" s="522"/>
      <c r="K307" s="542"/>
      <c r="L307" s="522"/>
    </row>
    <row r="308" ht="22.5" customHeight="1">
      <c r="A308" s="580" t="s">
        <v>1813</v>
      </c>
      <c r="B308" s="581">
        <v>7.743123319E9</v>
      </c>
      <c r="C308" s="552" t="s">
        <v>1193</v>
      </c>
      <c r="D308" s="553">
        <v>46202.0</v>
      </c>
      <c r="E308" s="550" t="s">
        <v>1772</v>
      </c>
      <c r="H308" s="544"/>
      <c r="I308" s="522"/>
      <c r="J308" s="522"/>
      <c r="K308" s="542"/>
      <c r="L308" s="522"/>
    </row>
    <row r="309" ht="22.5" customHeight="1">
      <c r="A309" s="580" t="s">
        <v>1814</v>
      </c>
      <c r="B309" s="581">
        <v>6.012008502E9</v>
      </c>
      <c r="C309" s="552" t="s">
        <v>1193</v>
      </c>
      <c r="D309" s="553">
        <v>46202.0</v>
      </c>
      <c r="E309" s="550" t="s">
        <v>1772</v>
      </c>
      <c r="H309" s="544"/>
      <c r="I309" s="522"/>
      <c r="J309" s="522"/>
      <c r="K309" s="542"/>
      <c r="L309" s="522"/>
    </row>
    <row r="310" ht="22.5" customHeight="1">
      <c r="A310" s="580" t="s">
        <v>1815</v>
      </c>
      <c r="B310" s="581">
        <v>7.810349385E9</v>
      </c>
      <c r="C310" s="552" t="s">
        <v>51</v>
      </c>
      <c r="D310" s="553">
        <v>46202.0</v>
      </c>
      <c r="E310" s="550" t="s">
        <v>1816</v>
      </c>
      <c r="H310" s="544"/>
      <c r="I310" s="522"/>
      <c r="J310" s="522"/>
      <c r="K310" s="542"/>
      <c r="L310" s="522"/>
    </row>
    <row r="311" ht="22.5" customHeight="1">
      <c r="A311" s="580" t="s">
        <v>1817</v>
      </c>
      <c r="B311" s="581">
        <v>7.72400076E9</v>
      </c>
      <c r="C311" s="552" t="s">
        <v>1193</v>
      </c>
      <c r="D311" s="553">
        <v>46202.0</v>
      </c>
      <c r="E311" s="550" t="s">
        <v>1772</v>
      </c>
      <c r="H311" s="544"/>
      <c r="I311" s="522"/>
      <c r="J311" s="522"/>
      <c r="K311" s="542"/>
      <c r="L311" s="522"/>
    </row>
    <row r="312" ht="22.5" customHeight="1">
      <c r="A312" s="580" t="s">
        <v>1818</v>
      </c>
      <c r="B312" s="581">
        <v>7.704209474E9</v>
      </c>
      <c r="C312" s="552" t="s">
        <v>1802</v>
      </c>
      <c r="D312" s="553">
        <v>46202.0</v>
      </c>
      <c r="E312" s="550" t="s">
        <v>1772</v>
      </c>
      <c r="H312" s="544"/>
      <c r="I312" s="522"/>
      <c r="J312" s="522"/>
      <c r="K312" s="542"/>
      <c r="L312" s="522"/>
    </row>
    <row r="313" ht="22.5" customHeight="1">
      <c r="A313" s="580" t="s">
        <v>1819</v>
      </c>
      <c r="B313" s="581">
        <v>7.728611424E9</v>
      </c>
      <c r="C313" s="552" t="s">
        <v>1450</v>
      </c>
      <c r="D313" s="553">
        <v>46202.0</v>
      </c>
      <c r="E313" s="550" t="s">
        <v>1820</v>
      </c>
      <c r="H313" s="544"/>
      <c r="I313" s="522"/>
      <c r="J313" s="522"/>
      <c r="K313" s="542"/>
      <c r="L313" s="522"/>
    </row>
    <row r="314" ht="22.5" customHeight="1">
      <c r="A314" s="583" t="s">
        <v>1292</v>
      </c>
      <c r="B314" s="581">
        <v>7.838315139E9</v>
      </c>
      <c r="C314" s="552" t="s">
        <v>51</v>
      </c>
      <c r="D314" s="553">
        <v>46203.0</v>
      </c>
      <c r="E314" s="550" t="s">
        <v>1772</v>
      </c>
      <c r="H314" s="544"/>
      <c r="I314" s="522"/>
      <c r="J314" s="522"/>
      <c r="K314" s="542"/>
      <c r="L314" s="522"/>
    </row>
    <row r="315" ht="22.5" customHeight="1">
      <c r="A315" s="580" t="s">
        <v>1821</v>
      </c>
      <c r="B315" s="581">
        <v>2.462053709E9</v>
      </c>
      <c r="C315" s="552" t="s">
        <v>51</v>
      </c>
      <c r="D315" s="553">
        <v>46204.0</v>
      </c>
      <c r="E315" s="550" t="s">
        <v>1772</v>
      </c>
      <c r="H315" s="544"/>
      <c r="I315" s="522"/>
      <c r="J315" s="522"/>
      <c r="K315" s="542"/>
      <c r="L315" s="522"/>
    </row>
    <row r="316" ht="22.5" customHeight="1">
      <c r="A316" s="580" t="s">
        <v>1822</v>
      </c>
      <c r="B316" s="581">
        <v>7.706297331E9</v>
      </c>
      <c r="C316" s="552" t="s">
        <v>51</v>
      </c>
      <c r="D316" s="553">
        <v>46204.0</v>
      </c>
      <c r="E316" s="550" t="s">
        <v>1772</v>
      </c>
      <c r="H316" s="544"/>
      <c r="I316" s="522"/>
      <c r="J316" s="522"/>
      <c r="K316" s="542"/>
      <c r="L316" s="522"/>
    </row>
    <row r="317" ht="22.5" customHeight="1">
      <c r="A317" s="580" t="s">
        <v>1823</v>
      </c>
      <c r="B317" s="581">
        <v>7.713076301E9</v>
      </c>
      <c r="C317" s="552" t="s">
        <v>1193</v>
      </c>
      <c r="D317" s="553">
        <v>46205.0</v>
      </c>
      <c r="E317" s="550" t="s">
        <v>1824</v>
      </c>
      <c r="H317" s="544"/>
      <c r="I317" s="522"/>
      <c r="J317" s="522"/>
      <c r="K317" s="542"/>
      <c r="L317" s="522"/>
    </row>
    <row r="318" ht="22.5" customHeight="1">
      <c r="A318" s="584" t="s">
        <v>1825</v>
      </c>
      <c r="B318" s="585">
        <v>5.040153972E9</v>
      </c>
      <c r="C318" s="552" t="s">
        <v>164</v>
      </c>
      <c r="D318" s="553">
        <v>46205.0</v>
      </c>
      <c r="E318" s="550" t="s">
        <v>1808</v>
      </c>
      <c r="H318" s="544"/>
      <c r="I318" s="522"/>
      <c r="J318" s="522"/>
      <c r="K318" s="542"/>
      <c r="L318" s="522"/>
    </row>
    <row r="319" ht="22.5" customHeight="1">
      <c r="A319" s="580" t="s">
        <v>1826</v>
      </c>
      <c r="B319" s="581">
        <v>7.327067461E9</v>
      </c>
      <c r="C319" s="552" t="s">
        <v>1193</v>
      </c>
      <c r="D319" s="553">
        <v>46206.0</v>
      </c>
      <c r="E319" s="550" t="s">
        <v>1824</v>
      </c>
      <c r="H319" s="544"/>
      <c r="I319" s="522"/>
      <c r="J319" s="522"/>
      <c r="K319" s="542"/>
      <c r="L319" s="522"/>
    </row>
    <row r="320" ht="22.5" customHeight="1">
      <c r="A320" s="580" t="s">
        <v>1827</v>
      </c>
      <c r="B320" s="581">
        <v>5.047150635E9</v>
      </c>
      <c r="C320" s="552" t="s">
        <v>1193</v>
      </c>
      <c r="D320" s="553">
        <v>46206.0</v>
      </c>
      <c r="E320" s="550" t="s">
        <v>1828</v>
      </c>
      <c r="H320" s="544"/>
      <c r="I320" s="522"/>
      <c r="J320" s="522"/>
      <c r="K320" s="542"/>
      <c r="L320" s="522"/>
    </row>
    <row r="321" ht="22.5" customHeight="1">
      <c r="A321" s="580" t="s">
        <v>1829</v>
      </c>
      <c r="B321" s="581">
        <v>6.82708704703E11</v>
      </c>
      <c r="C321" s="552" t="s">
        <v>51</v>
      </c>
      <c r="D321" s="553">
        <v>46209.0</v>
      </c>
      <c r="E321" s="550" t="s">
        <v>1688</v>
      </c>
      <c r="H321" s="544"/>
      <c r="I321" s="522"/>
      <c r="J321" s="522"/>
      <c r="K321" s="542"/>
      <c r="L321" s="522"/>
    </row>
    <row r="322" ht="22.5" customHeight="1">
      <c r="A322" s="580" t="s">
        <v>1830</v>
      </c>
      <c r="B322" s="581">
        <v>5.02408572E9</v>
      </c>
      <c r="C322" s="552" t="s">
        <v>51</v>
      </c>
      <c r="D322" s="553">
        <v>46209.0</v>
      </c>
      <c r="E322" s="550" t="s">
        <v>1688</v>
      </c>
      <c r="H322" s="544"/>
      <c r="I322" s="522"/>
      <c r="J322" s="522"/>
      <c r="K322" s="542"/>
      <c r="L322" s="522"/>
    </row>
    <row r="323" ht="22.5" customHeight="1">
      <c r="A323" s="580" t="s">
        <v>1831</v>
      </c>
      <c r="B323" s="586">
        <v>7.810900877E9</v>
      </c>
      <c r="C323" s="552" t="s">
        <v>164</v>
      </c>
      <c r="D323" s="553">
        <v>46209.0</v>
      </c>
      <c r="E323" s="550" t="s">
        <v>1808</v>
      </c>
      <c r="H323" s="544"/>
      <c r="I323" s="522"/>
      <c r="J323" s="522"/>
      <c r="K323" s="542"/>
      <c r="L323" s="522"/>
    </row>
    <row r="324" ht="22.5" customHeight="1">
      <c r="A324" s="587" t="s">
        <v>1832</v>
      </c>
      <c r="B324" s="581">
        <v>5.048048779E9</v>
      </c>
      <c r="C324" s="552" t="s">
        <v>51</v>
      </c>
      <c r="D324" s="553">
        <v>46210.0</v>
      </c>
      <c r="E324" s="550" t="s">
        <v>1833</v>
      </c>
      <c r="H324" s="544"/>
      <c r="I324" s="522"/>
      <c r="J324" s="522"/>
      <c r="K324" s="542"/>
      <c r="L324" s="522"/>
    </row>
    <row r="325" ht="22.5" customHeight="1">
      <c r="A325" s="588" t="s">
        <v>1834</v>
      </c>
      <c r="B325" s="589">
        <v>1.837008416E9</v>
      </c>
      <c r="C325" s="552" t="s">
        <v>164</v>
      </c>
      <c r="D325" s="553">
        <v>46210.0</v>
      </c>
      <c r="E325" s="550" t="s">
        <v>1835</v>
      </c>
      <c r="H325" s="544"/>
      <c r="I325" s="522"/>
      <c r="J325" s="522"/>
      <c r="K325" s="542"/>
      <c r="L325" s="522"/>
    </row>
    <row r="326" ht="22.5" customHeight="1">
      <c r="A326" s="580" t="s">
        <v>1836</v>
      </c>
      <c r="B326" s="581">
        <v>4.705007186E9</v>
      </c>
      <c r="C326" s="552" t="s">
        <v>1193</v>
      </c>
      <c r="D326" s="553">
        <v>46210.0</v>
      </c>
      <c r="E326" s="550" t="s">
        <v>1808</v>
      </c>
      <c r="H326" s="544"/>
      <c r="I326" s="522"/>
      <c r="J326" s="522"/>
      <c r="K326" s="542"/>
      <c r="L326" s="522"/>
    </row>
    <row r="327" ht="22.5" customHeight="1">
      <c r="A327" s="580" t="s">
        <v>1837</v>
      </c>
      <c r="B327" s="581">
        <v>7.814631135E9</v>
      </c>
      <c r="C327" s="552" t="s">
        <v>1193</v>
      </c>
      <c r="D327" s="553">
        <v>46210.0</v>
      </c>
      <c r="E327" s="550" t="s">
        <v>1808</v>
      </c>
      <c r="H327" s="544"/>
      <c r="I327" s="522"/>
      <c r="J327" s="522"/>
      <c r="K327" s="542"/>
      <c r="L327" s="522"/>
    </row>
    <row r="328" ht="22.5" customHeight="1">
      <c r="A328" s="580" t="s">
        <v>1838</v>
      </c>
      <c r="B328" s="581">
        <v>7.728429454E9</v>
      </c>
      <c r="C328" s="552" t="s">
        <v>1193</v>
      </c>
      <c r="D328" s="553">
        <v>46211.0</v>
      </c>
      <c r="E328" s="550" t="s">
        <v>1808</v>
      </c>
      <c r="H328" s="544"/>
      <c r="I328" s="522"/>
      <c r="J328" s="522"/>
      <c r="K328" s="542"/>
      <c r="L328" s="522"/>
    </row>
    <row r="329" ht="22.5" customHeight="1">
      <c r="A329" s="580" t="s">
        <v>1839</v>
      </c>
      <c r="B329" s="585">
        <v>1.831089218E9</v>
      </c>
      <c r="C329" s="552" t="s">
        <v>164</v>
      </c>
      <c r="D329" s="553">
        <v>46211.0</v>
      </c>
      <c r="E329" s="550" t="s">
        <v>1840</v>
      </c>
      <c r="H329" s="544"/>
      <c r="I329" s="522"/>
      <c r="J329" s="522"/>
      <c r="K329" s="542"/>
      <c r="L329" s="522"/>
    </row>
    <row r="330" ht="22.5" customHeight="1">
      <c r="A330" s="580" t="s">
        <v>1841</v>
      </c>
      <c r="B330" s="585">
        <v>7.802077515E9</v>
      </c>
      <c r="C330" s="552" t="s">
        <v>51</v>
      </c>
      <c r="D330" s="553">
        <v>46211.0</v>
      </c>
      <c r="E330" s="550" t="s">
        <v>1842</v>
      </c>
      <c r="H330" s="544"/>
      <c r="I330" s="522"/>
      <c r="J330" s="522"/>
      <c r="K330" s="542"/>
      <c r="L330" s="522"/>
    </row>
    <row r="331" ht="22.5" customHeight="1">
      <c r="A331" s="580" t="s">
        <v>1843</v>
      </c>
      <c r="B331" s="590">
        <v>3.0619398202E10</v>
      </c>
      <c r="C331" s="552" t="s">
        <v>51</v>
      </c>
      <c r="D331" s="553">
        <v>46211.0</v>
      </c>
      <c r="E331" s="550" t="s">
        <v>1688</v>
      </c>
      <c r="H331" s="544"/>
      <c r="I331" s="522"/>
      <c r="J331" s="522"/>
      <c r="K331" s="542"/>
      <c r="L331" s="522"/>
    </row>
    <row r="332" ht="22.5" customHeight="1">
      <c r="A332" s="580" t="s">
        <v>1844</v>
      </c>
      <c r="B332" s="590">
        <v>3.663127215E9</v>
      </c>
      <c r="C332" s="552" t="s">
        <v>51</v>
      </c>
      <c r="D332" s="553">
        <v>46213.0</v>
      </c>
      <c r="E332" s="550" t="s">
        <v>1845</v>
      </c>
      <c r="H332" s="544"/>
      <c r="I332" s="522"/>
      <c r="J332" s="522"/>
      <c r="K332" s="542"/>
      <c r="L332" s="522"/>
    </row>
    <row r="333" ht="22.5" customHeight="1">
      <c r="A333" s="580" t="s">
        <v>1846</v>
      </c>
      <c r="B333" s="590">
        <v>5.005077045E9</v>
      </c>
      <c r="C333" s="552" t="s">
        <v>51</v>
      </c>
      <c r="D333" s="553">
        <v>46213.0</v>
      </c>
      <c r="E333" s="550" t="s">
        <v>1847</v>
      </c>
      <c r="H333" s="544"/>
      <c r="I333" s="522"/>
      <c r="J333" s="522"/>
      <c r="K333" s="542"/>
      <c r="L333" s="522"/>
    </row>
    <row r="334" ht="22.5" customHeight="1">
      <c r="A334" s="580" t="s">
        <v>1848</v>
      </c>
      <c r="B334" s="591">
        <v>9.703019185E9</v>
      </c>
      <c r="C334" s="552" t="s">
        <v>1450</v>
      </c>
      <c r="D334" s="553">
        <v>46213.0</v>
      </c>
      <c r="E334" s="550" t="s">
        <v>1737</v>
      </c>
      <c r="H334" s="544"/>
      <c r="I334" s="522"/>
      <c r="J334" s="522"/>
      <c r="K334" s="542"/>
      <c r="L334" s="522"/>
    </row>
    <row r="335">
      <c r="A335" s="592"/>
      <c r="B335" s="593"/>
      <c r="C335" s="122"/>
      <c r="D335" s="594"/>
      <c r="E335" s="595"/>
      <c r="H335" s="544"/>
      <c r="I335" s="522"/>
      <c r="J335" s="522"/>
      <c r="K335" s="542"/>
      <c r="L335" s="522"/>
    </row>
    <row r="336">
      <c r="A336" s="592"/>
      <c r="B336" s="593"/>
      <c r="C336" s="122"/>
      <c r="D336" s="594"/>
      <c r="E336" s="595"/>
      <c r="H336" s="544"/>
      <c r="I336" s="522"/>
      <c r="J336" s="522"/>
      <c r="K336" s="542"/>
      <c r="L336" s="522"/>
    </row>
    <row r="337">
      <c r="A337" s="592"/>
      <c r="B337" s="593"/>
      <c r="C337" s="122"/>
      <c r="D337" s="594"/>
      <c r="E337" s="595"/>
      <c r="H337" s="544"/>
      <c r="I337" s="522"/>
      <c r="J337" s="522"/>
      <c r="K337" s="542"/>
      <c r="L337" s="522"/>
    </row>
    <row r="338">
      <c r="A338" s="592"/>
      <c r="B338" s="593"/>
      <c r="C338" s="122"/>
      <c r="D338" s="594"/>
      <c r="E338" s="595"/>
      <c r="H338" s="544"/>
      <c r="I338" s="522"/>
      <c r="J338" s="522"/>
      <c r="K338" s="542"/>
      <c r="L338" s="522"/>
    </row>
    <row r="339">
      <c r="A339" s="592"/>
      <c r="B339" s="593"/>
      <c r="C339" s="122"/>
      <c r="D339" s="594"/>
      <c r="E339" s="595"/>
      <c r="H339" s="544"/>
      <c r="I339" s="522"/>
      <c r="J339" s="522"/>
      <c r="K339" s="542"/>
      <c r="L339" s="522"/>
    </row>
    <row r="340">
      <c r="A340" s="592"/>
      <c r="B340" s="593"/>
      <c r="C340" s="122"/>
      <c r="D340" s="594"/>
      <c r="E340" s="595"/>
      <c r="H340" s="544"/>
      <c r="I340" s="522"/>
      <c r="J340" s="522"/>
      <c r="K340" s="542"/>
      <c r="L340" s="522"/>
    </row>
    <row r="341">
      <c r="A341" s="592"/>
      <c r="B341" s="593"/>
      <c r="C341" s="122"/>
      <c r="D341" s="594"/>
      <c r="E341" s="595"/>
      <c r="H341" s="544"/>
      <c r="I341" s="522"/>
      <c r="J341" s="522"/>
      <c r="K341" s="542"/>
      <c r="L341" s="522"/>
    </row>
    <row r="342">
      <c r="A342" s="592"/>
      <c r="B342" s="593"/>
      <c r="C342" s="122"/>
      <c r="D342" s="594"/>
      <c r="E342" s="595"/>
      <c r="H342" s="544"/>
      <c r="I342" s="522"/>
      <c r="J342" s="522"/>
      <c r="K342" s="542"/>
      <c r="L342" s="522"/>
    </row>
    <row r="343">
      <c r="A343" s="592"/>
      <c r="B343" s="593"/>
      <c r="C343" s="122"/>
      <c r="D343" s="594"/>
      <c r="E343" s="595"/>
      <c r="H343" s="544"/>
      <c r="I343" s="522"/>
      <c r="J343" s="522"/>
      <c r="K343" s="542"/>
      <c r="L343" s="522"/>
    </row>
    <row r="344">
      <c r="A344" s="592"/>
      <c r="B344" s="593"/>
      <c r="C344" s="122"/>
      <c r="D344" s="594"/>
      <c r="E344" s="595"/>
      <c r="H344" s="544"/>
      <c r="I344" s="522"/>
      <c r="J344" s="522"/>
      <c r="K344" s="542"/>
      <c r="L344" s="522"/>
    </row>
    <row r="345">
      <c r="A345" s="592"/>
      <c r="B345" s="593"/>
      <c r="C345" s="122"/>
      <c r="D345" s="594"/>
      <c r="E345" s="595"/>
      <c r="H345" s="544"/>
      <c r="I345" s="522"/>
      <c r="J345" s="522"/>
      <c r="K345" s="542"/>
      <c r="L345" s="522"/>
    </row>
    <row r="346">
      <c r="A346" s="592"/>
      <c r="B346" s="593"/>
      <c r="C346" s="122"/>
      <c r="D346" s="594"/>
      <c r="E346" s="595"/>
      <c r="H346" s="544"/>
      <c r="I346" s="522"/>
      <c r="J346" s="522"/>
      <c r="K346" s="542"/>
      <c r="L346" s="522"/>
    </row>
    <row r="347">
      <c r="A347" s="592"/>
      <c r="B347" s="593"/>
      <c r="C347" s="122"/>
      <c r="D347" s="594"/>
      <c r="E347" s="595"/>
      <c r="H347" s="544"/>
      <c r="I347" s="522"/>
      <c r="J347" s="522"/>
      <c r="K347" s="542"/>
      <c r="L347" s="522"/>
    </row>
    <row r="348">
      <c r="A348" s="592"/>
      <c r="B348" s="593"/>
      <c r="C348" s="122"/>
      <c r="D348" s="594"/>
      <c r="E348" s="595"/>
      <c r="H348" s="544"/>
      <c r="I348" s="522"/>
      <c r="J348" s="522"/>
      <c r="K348" s="542"/>
      <c r="L348" s="522"/>
    </row>
    <row r="349">
      <c r="A349" s="592"/>
      <c r="B349" s="593"/>
      <c r="C349" s="122"/>
      <c r="D349" s="594"/>
      <c r="E349" s="595"/>
      <c r="H349" s="544"/>
      <c r="I349" s="522"/>
      <c r="J349" s="522"/>
      <c r="K349" s="542"/>
      <c r="L349" s="522"/>
    </row>
    <row r="350">
      <c r="A350" s="592"/>
      <c r="B350" s="593"/>
      <c r="C350" s="122"/>
      <c r="D350" s="594"/>
      <c r="E350" s="595"/>
      <c r="H350" s="544"/>
      <c r="I350" s="522"/>
      <c r="J350" s="522"/>
      <c r="K350" s="542"/>
      <c r="L350" s="522"/>
    </row>
    <row r="351">
      <c r="A351" s="592"/>
      <c r="B351" s="593"/>
      <c r="C351" s="122"/>
      <c r="D351" s="594"/>
      <c r="E351" s="595"/>
      <c r="H351" s="544"/>
      <c r="I351" s="522"/>
      <c r="J351" s="522"/>
      <c r="K351" s="542"/>
      <c r="L351" s="522"/>
    </row>
    <row r="352">
      <c r="A352" s="592"/>
      <c r="B352" s="593"/>
      <c r="C352" s="122"/>
      <c r="D352" s="594"/>
      <c r="E352" s="595"/>
      <c r="H352" s="544"/>
      <c r="I352" s="522"/>
      <c r="J352" s="522"/>
      <c r="K352" s="542"/>
      <c r="L352" s="522"/>
    </row>
    <row r="353">
      <c r="A353" s="592"/>
      <c r="B353" s="593"/>
      <c r="C353" s="122"/>
      <c r="D353" s="594"/>
      <c r="E353" s="595"/>
      <c r="H353" s="544"/>
      <c r="I353" s="522"/>
      <c r="J353" s="522"/>
      <c r="K353" s="542"/>
      <c r="L353" s="522"/>
    </row>
    <row r="354">
      <c r="A354" s="592"/>
      <c r="B354" s="593"/>
      <c r="C354" s="122"/>
      <c r="D354" s="594"/>
      <c r="E354" s="595"/>
      <c r="H354" s="544"/>
      <c r="I354" s="522"/>
      <c r="J354" s="522"/>
      <c r="K354" s="542"/>
      <c r="L354" s="522"/>
    </row>
    <row r="355">
      <c r="A355" s="592"/>
      <c r="B355" s="593"/>
      <c r="C355" s="122"/>
      <c r="D355" s="594"/>
      <c r="E355" s="595"/>
      <c r="H355" s="544"/>
      <c r="I355" s="522"/>
      <c r="J355" s="522"/>
      <c r="K355" s="542"/>
      <c r="L355" s="522"/>
    </row>
    <row r="356">
      <c r="A356" s="592"/>
      <c r="B356" s="593"/>
      <c r="C356" s="122"/>
      <c r="D356" s="594"/>
      <c r="E356" s="595"/>
      <c r="H356" s="544"/>
      <c r="I356" s="522"/>
      <c r="J356" s="522"/>
      <c r="K356" s="542"/>
      <c r="L356" s="522"/>
    </row>
    <row r="357">
      <c r="A357" s="592"/>
      <c r="B357" s="593"/>
      <c r="C357" s="122"/>
      <c r="D357" s="594"/>
      <c r="E357" s="595"/>
      <c r="H357" s="544"/>
      <c r="I357" s="522"/>
      <c r="J357" s="522"/>
      <c r="K357" s="542"/>
      <c r="L357" s="522"/>
    </row>
    <row r="358">
      <c r="A358" s="592"/>
      <c r="B358" s="593"/>
      <c r="C358" s="122"/>
      <c r="D358" s="594"/>
      <c r="E358" s="595"/>
      <c r="H358" s="544"/>
      <c r="I358" s="522"/>
      <c r="J358" s="522"/>
      <c r="K358" s="542"/>
      <c r="L358" s="522"/>
    </row>
    <row r="359">
      <c r="A359" s="592"/>
      <c r="B359" s="593"/>
      <c r="C359" s="122"/>
      <c r="D359" s="594"/>
      <c r="E359" s="595"/>
      <c r="H359" s="544"/>
      <c r="I359" s="522"/>
      <c r="J359" s="522"/>
      <c r="K359" s="542"/>
      <c r="L359" s="522"/>
    </row>
    <row r="360">
      <c r="A360" s="592"/>
      <c r="B360" s="593"/>
      <c r="C360" s="122"/>
      <c r="D360" s="594"/>
      <c r="E360" s="595"/>
      <c r="H360" s="544"/>
      <c r="I360" s="522"/>
      <c r="J360" s="522"/>
      <c r="K360" s="542"/>
      <c r="L360" s="522"/>
    </row>
    <row r="361">
      <c r="A361" s="592"/>
      <c r="B361" s="593"/>
      <c r="C361" s="122"/>
      <c r="D361" s="594"/>
      <c r="E361" s="595"/>
      <c r="H361" s="544"/>
      <c r="I361" s="522"/>
      <c r="J361" s="522"/>
      <c r="K361" s="542"/>
      <c r="L361" s="522"/>
    </row>
    <row r="362">
      <c r="A362" s="592"/>
      <c r="B362" s="593"/>
      <c r="C362" s="122"/>
      <c r="D362" s="594"/>
      <c r="E362" s="595"/>
      <c r="H362" s="544"/>
      <c r="I362" s="522"/>
      <c r="J362" s="522"/>
      <c r="K362" s="542"/>
      <c r="L362" s="522"/>
    </row>
    <row r="363">
      <c r="A363" s="592"/>
      <c r="B363" s="593"/>
      <c r="C363" s="122"/>
      <c r="D363" s="594"/>
      <c r="E363" s="595"/>
      <c r="H363" s="544"/>
      <c r="I363" s="522"/>
      <c r="J363" s="522"/>
      <c r="K363" s="542"/>
      <c r="L363" s="522"/>
    </row>
    <row r="364">
      <c r="A364" s="592"/>
      <c r="B364" s="593"/>
      <c r="C364" s="122"/>
      <c r="D364" s="594"/>
      <c r="E364" s="595"/>
      <c r="H364" s="544"/>
      <c r="I364" s="522"/>
      <c r="J364" s="522"/>
      <c r="K364" s="542"/>
      <c r="L364" s="522"/>
    </row>
    <row r="365">
      <c r="A365" s="592"/>
      <c r="B365" s="593"/>
      <c r="C365" s="122"/>
      <c r="D365" s="594"/>
      <c r="E365" s="595"/>
      <c r="H365" s="544"/>
      <c r="I365" s="522"/>
      <c r="J365" s="522"/>
      <c r="K365" s="542"/>
      <c r="L365" s="522"/>
    </row>
    <row r="366">
      <c r="A366" s="592"/>
      <c r="B366" s="593"/>
      <c r="C366" s="122"/>
      <c r="D366" s="594"/>
      <c r="E366" s="595"/>
      <c r="H366" s="544"/>
      <c r="I366" s="522"/>
      <c r="J366" s="522"/>
      <c r="K366" s="542"/>
      <c r="L366" s="522"/>
    </row>
    <row r="367">
      <c r="A367" s="592"/>
      <c r="B367" s="593"/>
      <c r="C367" s="122"/>
      <c r="D367" s="594"/>
      <c r="E367" s="595"/>
      <c r="H367" s="544"/>
      <c r="I367" s="522"/>
      <c r="J367" s="522"/>
      <c r="K367" s="542"/>
      <c r="L367" s="522"/>
    </row>
    <row r="368">
      <c r="A368" s="592"/>
      <c r="B368" s="593"/>
      <c r="C368" s="122"/>
      <c r="D368" s="594"/>
      <c r="E368" s="595"/>
      <c r="H368" s="544"/>
      <c r="I368" s="522"/>
      <c r="J368" s="522"/>
      <c r="K368" s="542"/>
      <c r="L368" s="522"/>
    </row>
    <row r="369">
      <c r="A369" s="592"/>
      <c r="B369" s="593"/>
      <c r="C369" s="122"/>
      <c r="D369" s="594"/>
      <c r="E369" s="595"/>
      <c r="H369" s="544"/>
      <c r="I369" s="522"/>
      <c r="J369" s="522"/>
      <c r="K369" s="542"/>
      <c r="L369" s="522"/>
    </row>
    <row r="370">
      <c r="A370" s="592"/>
      <c r="B370" s="593"/>
      <c r="C370" s="122"/>
      <c r="D370" s="594"/>
      <c r="E370" s="595"/>
      <c r="H370" s="544"/>
      <c r="I370" s="522"/>
      <c r="J370" s="522"/>
      <c r="K370" s="542"/>
      <c r="L370" s="522"/>
    </row>
    <row r="371">
      <c r="A371" s="592"/>
      <c r="B371" s="593"/>
      <c r="C371" s="122"/>
      <c r="D371" s="594"/>
      <c r="E371" s="595"/>
      <c r="H371" s="544"/>
      <c r="I371" s="522"/>
      <c r="J371" s="522"/>
      <c r="K371" s="542"/>
      <c r="L371" s="522"/>
    </row>
    <row r="372">
      <c r="A372" s="592"/>
      <c r="B372" s="593"/>
      <c r="C372" s="122"/>
      <c r="D372" s="594"/>
      <c r="E372" s="595"/>
      <c r="H372" s="544"/>
      <c r="I372" s="522"/>
      <c r="J372" s="522"/>
      <c r="K372" s="542"/>
      <c r="L372" s="522"/>
    </row>
    <row r="373">
      <c r="A373" s="592"/>
      <c r="B373" s="593"/>
      <c r="C373" s="122"/>
      <c r="D373" s="594"/>
      <c r="E373" s="595"/>
      <c r="H373" s="544"/>
      <c r="I373" s="522"/>
      <c r="J373" s="522"/>
      <c r="K373" s="542"/>
      <c r="L373" s="522"/>
    </row>
    <row r="374">
      <c r="A374" s="592"/>
      <c r="B374" s="593"/>
      <c r="C374" s="122"/>
      <c r="D374" s="594"/>
      <c r="E374" s="595"/>
      <c r="H374" s="544"/>
      <c r="I374" s="522"/>
      <c r="J374" s="522"/>
      <c r="K374" s="542"/>
      <c r="L374" s="522"/>
    </row>
    <row r="375">
      <c r="A375" s="592"/>
      <c r="B375" s="593"/>
      <c r="C375" s="122"/>
      <c r="D375" s="594"/>
      <c r="E375" s="595"/>
      <c r="H375" s="544"/>
      <c r="I375" s="522"/>
      <c r="J375" s="522"/>
      <c r="K375" s="542"/>
      <c r="L375" s="522"/>
    </row>
    <row r="376">
      <c r="A376" s="592"/>
      <c r="B376" s="593"/>
      <c r="C376" s="122"/>
      <c r="D376" s="594"/>
      <c r="E376" s="595"/>
      <c r="H376" s="544"/>
      <c r="I376" s="522"/>
      <c r="J376" s="522"/>
      <c r="K376" s="542"/>
      <c r="L376" s="522"/>
    </row>
    <row r="377">
      <c r="A377" s="592"/>
      <c r="B377" s="593"/>
      <c r="C377" s="122"/>
      <c r="D377" s="594"/>
      <c r="E377" s="595"/>
      <c r="H377" s="544"/>
      <c r="I377" s="522"/>
      <c r="J377" s="522"/>
      <c r="K377" s="542"/>
      <c r="L377" s="522"/>
    </row>
    <row r="378">
      <c r="A378" s="592"/>
      <c r="B378" s="593"/>
      <c r="C378" s="122"/>
      <c r="D378" s="594"/>
      <c r="E378" s="595"/>
      <c r="H378" s="544"/>
      <c r="I378" s="522"/>
      <c r="J378" s="522"/>
      <c r="K378" s="542"/>
      <c r="L378" s="522"/>
    </row>
    <row r="379">
      <c r="A379" s="592"/>
      <c r="B379" s="593"/>
      <c r="C379" s="122"/>
      <c r="D379" s="594"/>
      <c r="E379" s="595"/>
      <c r="H379" s="544"/>
      <c r="I379" s="522"/>
      <c r="J379" s="522"/>
      <c r="K379" s="542"/>
      <c r="L379" s="522"/>
    </row>
    <row r="380">
      <c r="A380" s="592"/>
      <c r="B380" s="593"/>
      <c r="C380" s="122"/>
      <c r="D380" s="594"/>
      <c r="E380" s="595"/>
      <c r="H380" s="544"/>
      <c r="I380" s="522"/>
      <c r="J380" s="522"/>
      <c r="K380" s="542"/>
      <c r="L380" s="522"/>
    </row>
    <row r="381">
      <c r="A381" s="592"/>
      <c r="B381" s="593"/>
      <c r="C381" s="122"/>
      <c r="D381" s="594"/>
      <c r="E381" s="595"/>
      <c r="H381" s="544"/>
      <c r="I381" s="522"/>
      <c r="J381" s="522"/>
      <c r="K381" s="542"/>
      <c r="L381" s="522"/>
    </row>
    <row r="382">
      <c r="A382" s="592"/>
      <c r="B382" s="593"/>
      <c r="C382" s="122"/>
      <c r="D382" s="594"/>
      <c r="E382" s="595"/>
      <c r="H382" s="544"/>
      <c r="I382" s="522"/>
      <c r="J382" s="522"/>
      <c r="K382" s="542"/>
      <c r="L382" s="522"/>
    </row>
    <row r="383">
      <c r="A383" s="592"/>
      <c r="B383" s="593"/>
      <c r="C383" s="122"/>
      <c r="D383" s="594"/>
      <c r="E383" s="595"/>
      <c r="H383" s="544"/>
      <c r="I383" s="522"/>
      <c r="J383" s="522"/>
      <c r="K383" s="542"/>
      <c r="L383" s="522"/>
    </row>
    <row r="384">
      <c r="A384" s="592"/>
      <c r="B384" s="593"/>
      <c r="C384" s="122"/>
      <c r="D384" s="594"/>
      <c r="E384" s="595"/>
      <c r="H384" s="544"/>
      <c r="I384" s="522"/>
      <c r="J384" s="522"/>
      <c r="K384" s="542"/>
      <c r="L384" s="522"/>
    </row>
    <row r="385">
      <c r="A385" s="596"/>
      <c r="B385" s="541"/>
      <c r="D385" s="542"/>
      <c r="E385" s="597"/>
      <c r="H385" s="544"/>
      <c r="I385" s="522"/>
      <c r="J385" s="522"/>
      <c r="K385" s="542"/>
      <c r="L385" s="522"/>
    </row>
    <row r="386">
      <c r="A386" s="596"/>
      <c r="B386" s="541"/>
      <c r="D386" s="542"/>
      <c r="E386" s="598"/>
      <c r="H386" s="544"/>
      <c r="I386" s="522"/>
      <c r="J386" s="522"/>
      <c r="K386" s="542"/>
      <c r="L386" s="522"/>
    </row>
    <row r="387">
      <c r="A387" s="596"/>
      <c r="B387" s="541"/>
      <c r="D387" s="542"/>
      <c r="E387" s="598"/>
      <c r="H387" s="544"/>
      <c r="I387" s="522"/>
      <c r="J387" s="522"/>
      <c r="K387" s="542"/>
      <c r="L387" s="522"/>
    </row>
    <row r="388">
      <c r="A388" s="596"/>
      <c r="B388" s="541"/>
      <c r="D388" s="542"/>
      <c r="E388" s="598"/>
      <c r="H388" s="544"/>
      <c r="I388" s="522"/>
      <c r="J388" s="522"/>
      <c r="K388" s="542"/>
      <c r="L388" s="522"/>
    </row>
    <row r="389">
      <c r="A389" s="596"/>
      <c r="B389" s="541"/>
      <c r="D389" s="542"/>
      <c r="E389" s="598"/>
      <c r="H389" s="544"/>
      <c r="I389" s="522"/>
      <c r="J389" s="522"/>
      <c r="K389" s="542"/>
      <c r="L389" s="522"/>
    </row>
    <row r="390">
      <c r="A390" s="596"/>
      <c r="B390" s="541"/>
      <c r="D390" s="542"/>
      <c r="E390" s="598"/>
      <c r="H390" s="544"/>
      <c r="I390" s="522"/>
      <c r="J390" s="522"/>
      <c r="K390" s="542"/>
      <c r="L390" s="522"/>
    </row>
    <row r="391">
      <c r="A391" s="596"/>
      <c r="B391" s="541"/>
      <c r="D391" s="542"/>
      <c r="E391" s="598"/>
      <c r="H391" s="544"/>
      <c r="I391" s="522"/>
      <c r="J391" s="522"/>
      <c r="K391" s="542"/>
      <c r="L391" s="522"/>
    </row>
    <row r="392">
      <c r="A392" s="596"/>
      <c r="B392" s="541"/>
      <c r="D392" s="542"/>
      <c r="E392" s="598"/>
      <c r="H392" s="544"/>
      <c r="I392" s="522"/>
      <c r="J392" s="522"/>
      <c r="K392" s="542"/>
      <c r="L392" s="522"/>
    </row>
    <row r="393">
      <c r="A393" s="596"/>
      <c r="B393" s="541"/>
      <c r="D393" s="542"/>
      <c r="E393" s="598"/>
      <c r="H393" s="544"/>
      <c r="I393" s="522"/>
      <c r="J393" s="522"/>
      <c r="K393" s="542"/>
      <c r="L393" s="522"/>
    </row>
    <row r="394">
      <c r="A394" s="596"/>
      <c r="B394" s="541"/>
      <c r="D394" s="542"/>
      <c r="E394" s="598"/>
      <c r="H394" s="544"/>
      <c r="I394" s="522"/>
      <c r="J394" s="522"/>
      <c r="K394" s="542"/>
      <c r="L394" s="522"/>
    </row>
    <row r="395">
      <c r="A395" s="596"/>
      <c r="B395" s="541"/>
      <c r="D395" s="542"/>
      <c r="E395" s="598"/>
      <c r="H395" s="544"/>
      <c r="I395" s="522"/>
      <c r="J395" s="522"/>
      <c r="K395" s="542"/>
      <c r="L395" s="522"/>
    </row>
    <row r="396">
      <c r="A396" s="596"/>
      <c r="B396" s="541"/>
      <c r="D396" s="542"/>
      <c r="E396" s="598"/>
      <c r="H396" s="544"/>
      <c r="I396" s="522"/>
      <c r="J396" s="522"/>
      <c r="K396" s="542"/>
      <c r="L396" s="522"/>
    </row>
    <row r="397">
      <c r="A397" s="596"/>
      <c r="B397" s="541"/>
      <c r="D397" s="542"/>
      <c r="E397" s="598"/>
      <c r="H397" s="544"/>
      <c r="I397" s="522"/>
      <c r="J397" s="522"/>
      <c r="K397" s="542"/>
      <c r="L397" s="522"/>
    </row>
    <row r="398">
      <c r="A398" s="596"/>
      <c r="B398" s="541"/>
      <c r="D398" s="542"/>
      <c r="E398" s="598"/>
      <c r="H398" s="544"/>
      <c r="I398" s="522"/>
      <c r="J398" s="522"/>
      <c r="K398" s="542"/>
      <c r="L398" s="522"/>
    </row>
    <row r="399">
      <c r="A399" s="596"/>
      <c r="B399" s="541"/>
      <c r="D399" s="542"/>
      <c r="E399" s="598"/>
      <c r="H399" s="544"/>
      <c r="I399" s="522"/>
      <c r="J399" s="522"/>
      <c r="K399" s="542"/>
      <c r="L399" s="522"/>
    </row>
    <row r="400">
      <c r="A400" s="596"/>
      <c r="B400" s="541"/>
      <c r="D400" s="542"/>
      <c r="E400" s="598"/>
      <c r="H400" s="544"/>
      <c r="I400" s="522"/>
      <c r="J400" s="522"/>
      <c r="K400" s="542"/>
      <c r="L400" s="522"/>
    </row>
    <row r="401">
      <c r="A401" s="596"/>
      <c r="B401" s="541"/>
      <c r="D401" s="542"/>
      <c r="E401" s="598"/>
      <c r="H401" s="544"/>
      <c r="I401" s="522"/>
      <c r="J401" s="522"/>
      <c r="K401" s="542"/>
      <c r="L401" s="522"/>
    </row>
    <row r="402">
      <c r="A402" s="596"/>
      <c r="B402" s="541"/>
      <c r="D402" s="542"/>
      <c r="E402" s="598"/>
      <c r="H402" s="544"/>
      <c r="I402" s="522"/>
      <c r="J402" s="522"/>
      <c r="K402" s="542"/>
      <c r="L402" s="522"/>
    </row>
    <row r="403">
      <c r="A403" s="596"/>
      <c r="B403" s="541"/>
      <c r="D403" s="542"/>
      <c r="E403" s="598"/>
      <c r="H403" s="544"/>
      <c r="I403" s="522"/>
      <c r="J403" s="522"/>
      <c r="K403" s="542"/>
      <c r="L403" s="522"/>
    </row>
    <row r="404">
      <c r="A404" s="596"/>
      <c r="B404" s="541"/>
      <c r="D404" s="542"/>
      <c r="E404" s="598"/>
      <c r="H404" s="544"/>
      <c r="I404" s="522"/>
      <c r="J404" s="522"/>
      <c r="K404" s="542"/>
      <c r="L404" s="522"/>
    </row>
    <row r="405">
      <c r="A405" s="596"/>
      <c r="B405" s="541"/>
      <c r="D405" s="542"/>
      <c r="E405" s="598"/>
      <c r="H405" s="544"/>
      <c r="I405" s="522"/>
      <c r="J405" s="522"/>
      <c r="K405" s="542"/>
      <c r="L405" s="522"/>
    </row>
    <row r="406">
      <c r="A406" s="596"/>
      <c r="B406" s="541"/>
      <c r="D406" s="542"/>
      <c r="E406" s="598"/>
      <c r="H406" s="544"/>
      <c r="I406" s="522"/>
      <c r="J406" s="522"/>
      <c r="K406" s="542"/>
      <c r="L406" s="522"/>
    </row>
    <row r="407">
      <c r="A407" s="596"/>
      <c r="B407" s="541"/>
      <c r="D407" s="542"/>
      <c r="E407" s="598"/>
      <c r="H407" s="544"/>
      <c r="I407" s="522"/>
      <c r="J407" s="522"/>
      <c r="K407" s="542"/>
      <c r="L407" s="522"/>
    </row>
    <row r="408">
      <c r="A408" s="596"/>
      <c r="B408" s="541"/>
      <c r="D408" s="542"/>
      <c r="E408" s="598"/>
      <c r="H408" s="544"/>
      <c r="I408" s="522"/>
      <c r="J408" s="522"/>
      <c r="K408" s="542"/>
      <c r="L408" s="522"/>
    </row>
    <row r="409">
      <c r="A409" s="596"/>
      <c r="B409" s="541"/>
      <c r="D409" s="542"/>
      <c r="E409" s="598"/>
      <c r="H409" s="544"/>
      <c r="I409" s="522"/>
      <c r="J409" s="522"/>
      <c r="K409" s="542"/>
      <c r="L409" s="522"/>
    </row>
    <row r="410">
      <c r="A410" s="596"/>
      <c r="B410" s="541"/>
      <c r="D410" s="542"/>
      <c r="E410" s="598"/>
      <c r="H410" s="544"/>
      <c r="I410" s="522"/>
      <c r="J410" s="522"/>
      <c r="K410" s="542"/>
      <c r="L410" s="522"/>
    </row>
    <row r="411">
      <c r="A411" s="596"/>
      <c r="B411" s="541"/>
      <c r="D411" s="542"/>
      <c r="E411" s="598"/>
      <c r="H411" s="544"/>
      <c r="I411" s="522"/>
      <c r="J411" s="522"/>
      <c r="K411" s="542"/>
      <c r="L411" s="522"/>
    </row>
    <row r="412">
      <c r="A412" s="596"/>
      <c r="B412" s="541"/>
      <c r="D412" s="542"/>
      <c r="E412" s="598"/>
      <c r="H412" s="544"/>
      <c r="I412" s="522"/>
      <c r="J412" s="522"/>
      <c r="K412" s="542"/>
      <c r="L412" s="522"/>
    </row>
    <row r="413">
      <c r="A413" s="596"/>
      <c r="B413" s="541"/>
      <c r="D413" s="542"/>
      <c r="E413" s="598"/>
      <c r="H413" s="544"/>
      <c r="I413" s="522"/>
      <c r="J413" s="522"/>
      <c r="K413" s="542"/>
      <c r="L413" s="522"/>
    </row>
    <row r="414">
      <c r="A414" s="596"/>
      <c r="B414" s="541"/>
      <c r="D414" s="542"/>
      <c r="E414" s="598"/>
      <c r="H414" s="544"/>
      <c r="I414" s="522"/>
      <c r="J414" s="522"/>
      <c r="K414" s="542"/>
      <c r="L414" s="522"/>
    </row>
    <row r="415">
      <c r="A415" s="596"/>
      <c r="B415" s="541"/>
      <c r="D415" s="542"/>
      <c r="E415" s="598"/>
      <c r="H415" s="544"/>
      <c r="I415" s="522"/>
      <c r="J415" s="522"/>
      <c r="K415" s="542"/>
      <c r="L415" s="522"/>
    </row>
    <row r="416">
      <c r="A416" s="596"/>
      <c r="B416" s="541"/>
      <c r="D416" s="542"/>
      <c r="E416" s="598"/>
      <c r="H416" s="544"/>
      <c r="I416" s="522"/>
      <c r="J416" s="522"/>
      <c r="K416" s="542"/>
      <c r="L416" s="522"/>
    </row>
    <row r="417">
      <c r="A417" s="596"/>
      <c r="B417" s="541"/>
      <c r="D417" s="542"/>
      <c r="E417" s="598"/>
      <c r="H417" s="544"/>
      <c r="I417" s="522"/>
      <c r="J417" s="522"/>
      <c r="K417" s="542"/>
      <c r="L417" s="522"/>
    </row>
    <row r="418">
      <c r="A418" s="596"/>
      <c r="B418" s="541"/>
      <c r="D418" s="542"/>
      <c r="E418" s="598"/>
      <c r="H418" s="544"/>
      <c r="I418" s="522"/>
      <c r="J418" s="522"/>
      <c r="K418" s="542"/>
      <c r="L418" s="522"/>
    </row>
    <row r="419">
      <c r="A419" s="596"/>
      <c r="B419" s="541"/>
      <c r="D419" s="542"/>
      <c r="E419" s="598"/>
      <c r="H419" s="544"/>
      <c r="I419" s="522"/>
      <c r="J419" s="522"/>
      <c r="K419" s="542"/>
      <c r="L419" s="522"/>
    </row>
    <row r="420">
      <c r="A420" s="596"/>
      <c r="B420" s="541"/>
      <c r="D420" s="542"/>
      <c r="E420" s="598"/>
      <c r="H420" s="544"/>
      <c r="I420" s="522"/>
      <c r="J420" s="522"/>
      <c r="K420" s="542"/>
      <c r="L420" s="522"/>
    </row>
    <row r="421">
      <c r="A421" s="596"/>
      <c r="B421" s="541"/>
      <c r="D421" s="542"/>
      <c r="E421" s="598"/>
      <c r="H421" s="544"/>
      <c r="I421" s="522"/>
      <c r="J421" s="522"/>
      <c r="K421" s="542"/>
      <c r="L421" s="522"/>
    </row>
    <row r="422">
      <c r="A422" s="596"/>
      <c r="B422" s="541"/>
      <c r="D422" s="542"/>
      <c r="E422" s="598"/>
      <c r="H422" s="544"/>
      <c r="I422" s="522"/>
      <c r="J422" s="522"/>
      <c r="K422" s="542"/>
      <c r="L422" s="522"/>
    </row>
    <row r="423">
      <c r="A423" s="596"/>
      <c r="B423" s="541"/>
      <c r="D423" s="542"/>
      <c r="E423" s="598"/>
      <c r="H423" s="544"/>
      <c r="I423" s="522"/>
      <c r="J423" s="522"/>
      <c r="K423" s="542"/>
      <c r="L423" s="522"/>
    </row>
    <row r="424">
      <c r="A424" s="596"/>
      <c r="B424" s="541"/>
      <c r="D424" s="542"/>
      <c r="E424" s="598"/>
      <c r="H424" s="544"/>
      <c r="I424" s="522"/>
      <c r="J424" s="522"/>
      <c r="K424" s="542"/>
      <c r="L424" s="522"/>
    </row>
    <row r="425">
      <c r="A425" s="596"/>
      <c r="B425" s="541"/>
      <c r="D425" s="542"/>
      <c r="E425" s="598"/>
      <c r="H425" s="544"/>
      <c r="I425" s="522"/>
      <c r="J425" s="522"/>
      <c r="K425" s="542"/>
      <c r="L425" s="522"/>
    </row>
    <row r="426">
      <c r="A426" s="596"/>
      <c r="B426" s="541"/>
      <c r="D426" s="542"/>
      <c r="E426" s="598"/>
      <c r="H426" s="544"/>
      <c r="I426" s="522"/>
      <c r="J426" s="522"/>
      <c r="K426" s="542"/>
      <c r="L426" s="522"/>
    </row>
    <row r="427">
      <c r="A427" s="596"/>
      <c r="B427" s="541"/>
      <c r="D427" s="542"/>
      <c r="E427" s="598"/>
      <c r="H427" s="544"/>
      <c r="I427" s="522"/>
      <c r="J427" s="522"/>
      <c r="K427" s="542"/>
      <c r="L427" s="522"/>
    </row>
    <row r="428">
      <c r="A428" s="596"/>
      <c r="B428" s="541"/>
      <c r="D428" s="542"/>
      <c r="E428" s="598"/>
      <c r="H428" s="544"/>
      <c r="I428" s="522"/>
      <c r="J428" s="522"/>
      <c r="K428" s="542"/>
      <c r="L428" s="522"/>
    </row>
    <row r="429">
      <c r="A429" s="596"/>
      <c r="B429" s="541"/>
      <c r="D429" s="542"/>
      <c r="E429" s="598"/>
      <c r="H429" s="544"/>
      <c r="I429" s="522"/>
      <c r="J429" s="522"/>
      <c r="K429" s="542"/>
      <c r="L429" s="522"/>
    </row>
    <row r="430">
      <c r="A430" s="596"/>
      <c r="B430" s="541"/>
      <c r="D430" s="542"/>
      <c r="E430" s="598"/>
      <c r="H430" s="544"/>
      <c r="I430" s="522"/>
      <c r="J430" s="522"/>
      <c r="K430" s="542"/>
      <c r="L430" s="522"/>
    </row>
    <row r="431">
      <c r="A431" s="596"/>
      <c r="B431" s="541"/>
      <c r="D431" s="542"/>
      <c r="E431" s="598"/>
      <c r="H431" s="544"/>
      <c r="I431" s="522"/>
      <c r="J431" s="522"/>
      <c r="K431" s="542"/>
      <c r="L431" s="522"/>
    </row>
    <row r="432">
      <c r="A432" s="596"/>
      <c r="B432" s="541"/>
      <c r="D432" s="542"/>
      <c r="E432" s="598"/>
      <c r="H432" s="544"/>
      <c r="I432" s="522"/>
      <c r="J432" s="522"/>
      <c r="K432" s="542"/>
      <c r="L432" s="522"/>
    </row>
    <row r="433">
      <c r="A433" s="596"/>
      <c r="B433" s="541"/>
      <c r="D433" s="542"/>
      <c r="E433" s="598"/>
      <c r="H433" s="544"/>
      <c r="I433" s="522"/>
      <c r="J433" s="522"/>
      <c r="K433" s="542"/>
      <c r="L433" s="522"/>
    </row>
    <row r="434">
      <c r="A434" s="596"/>
      <c r="B434" s="541"/>
      <c r="D434" s="542"/>
      <c r="E434" s="598"/>
      <c r="H434" s="544"/>
      <c r="I434" s="522"/>
      <c r="J434" s="522"/>
      <c r="K434" s="542"/>
      <c r="L434" s="522"/>
    </row>
    <row r="435">
      <c r="A435" s="596"/>
      <c r="B435" s="541"/>
      <c r="D435" s="542"/>
      <c r="E435" s="598"/>
      <c r="H435" s="544"/>
      <c r="I435" s="522"/>
      <c r="J435" s="522"/>
      <c r="K435" s="542"/>
      <c r="L435" s="522"/>
    </row>
    <row r="436">
      <c r="A436" s="596"/>
      <c r="B436" s="541"/>
      <c r="D436" s="542"/>
      <c r="E436" s="598"/>
      <c r="H436" s="544"/>
      <c r="I436" s="522"/>
      <c r="J436" s="522"/>
      <c r="K436" s="542"/>
      <c r="L436" s="522"/>
    </row>
    <row r="437">
      <c r="A437" s="596"/>
      <c r="B437" s="541"/>
      <c r="D437" s="542"/>
      <c r="E437" s="598"/>
      <c r="H437" s="544"/>
      <c r="I437" s="522"/>
      <c r="J437" s="522"/>
      <c r="K437" s="542"/>
      <c r="L437" s="522"/>
    </row>
    <row r="438">
      <c r="A438" s="596"/>
      <c r="B438" s="541"/>
      <c r="D438" s="542"/>
      <c r="E438" s="598"/>
      <c r="H438" s="544"/>
      <c r="I438" s="522"/>
      <c r="J438" s="522"/>
      <c r="K438" s="542"/>
      <c r="L438" s="522"/>
    </row>
    <row r="439">
      <c r="A439" s="596"/>
      <c r="B439" s="541"/>
      <c r="D439" s="542"/>
      <c r="E439" s="598"/>
      <c r="H439" s="544"/>
      <c r="I439" s="522"/>
      <c r="J439" s="522"/>
      <c r="K439" s="542"/>
      <c r="L439" s="522"/>
    </row>
    <row r="440">
      <c r="A440" s="596"/>
      <c r="B440" s="541"/>
      <c r="D440" s="542"/>
      <c r="E440" s="598"/>
      <c r="H440" s="544"/>
      <c r="I440" s="522"/>
      <c r="J440" s="522"/>
      <c r="K440" s="542"/>
      <c r="L440" s="522"/>
    </row>
    <row r="441">
      <c r="A441" s="596"/>
      <c r="B441" s="541"/>
      <c r="D441" s="542"/>
      <c r="E441" s="598"/>
      <c r="H441" s="544"/>
      <c r="I441" s="522"/>
      <c r="J441" s="522"/>
      <c r="K441" s="542"/>
      <c r="L441" s="522"/>
    </row>
    <row r="442">
      <c r="A442" s="596"/>
      <c r="B442" s="541"/>
      <c r="D442" s="542"/>
      <c r="E442" s="598"/>
      <c r="H442" s="544"/>
      <c r="I442" s="522"/>
      <c r="J442" s="522"/>
      <c r="K442" s="542"/>
      <c r="L442" s="522"/>
    </row>
    <row r="443">
      <c r="A443" s="596"/>
      <c r="B443" s="541"/>
      <c r="D443" s="542"/>
      <c r="E443" s="598"/>
      <c r="H443" s="544"/>
      <c r="I443" s="522"/>
      <c r="J443" s="522"/>
      <c r="K443" s="542"/>
      <c r="L443" s="522"/>
    </row>
    <row r="444">
      <c r="A444" s="596"/>
      <c r="B444" s="541"/>
      <c r="D444" s="542"/>
      <c r="E444" s="598"/>
      <c r="H444" s="544"/>
      <c r="I444" s="522"/>
      <c r="J444" s="522"/>
      <c r="K444" s="542"/>
      <c r="L444" s="522"/>
    </row>
    <row r="445">
      <c r="A445" s="596"/>
      <c r="B445" s="541"/>
      <c r="D445" s="542"/>
      <c r="E445" s="598"/>
      <c r="H445" s="544"/>
      <c r="I445" s="522"/>
      <c r="J445" s="522"/>
      <c r="K445" s="542"/>
      <c r="L445" s="522"/>
    </row>
    <row r="446">
      <c r="A446" s="596"/>
      <c r="B446" s="541"/>
      <c r="D446" s="542"/>
      <c r="E446" s="598"/>
      <c r="H446" s="544"/>
      <c r="I446" s="522"/>
      <c r="J446" s="522"/>
      <c r="K446" s="542"/>
      <c r="L446" s="522"/>
    </row>
    <row r="447">
      <c r="A447" s="596"/>
      <c r="B447" s="541"/>
      <c r="D447" s="542"/>
      <c r="E447" s="598"/>
      <c r="H447" s="544"/>
      <c r="I447" s="522"/>
      <c r="J447" s="522"/>
      <c r="K447" s="542"/>
      <c r="L447" s="522"/>
    </row>
    <row r="448">
      <c r="A448" s="596"/>
      <c r="B448" s="541"/>
      <c r="D448" s="542"/>
      <c r="E448" s="598"/>
      <c r="H448" s="544"/>
      <c r="I448" s="522"/>
      <c r="J448" s="522"/>
      <c r="K448" s="542"/>
      <c r="L448" s="522"/>
    </row>
    <row r="449">
      <c r="A449" s="596"/>
      <c r="B449" s="541"/>
      <c r="D449" s="542"/>
      <c r="E449" s="598"/>
      <c r="H449" s="544"/>
      <c r="I449" s="522"/>
      <c r="J449" s="522"/>
      <c r="K449" s="542"/>
      <c r="L449" s="522"/>
    </row>
    <row r="450">
      <c r="A450" s="596"/>
      <c r="B450" s="541"/>
      <c r="D450" s="542"/>
      <c r="E450" s="598"/>
      <c r="H450" s="544"/>
      <c r="I450" s="522"/>
      <c r="J450" s="522"/>
      <c r="K450" s="542"/>
      <c r="L450" s="522"/>
    </row>
    <row r="451">
      <c r="A451" s="596"/>
      <c r="B451" s="541"/>
      <c r="D451" s="542"/>
      <c r="E451" s="598"/>
      <c r="H451" s="544"/>
      <c r="I451" s="522"/>
      <c r="J451" s="522"/>
      <c r="K451" s="542"/>
      <c r="L451" s="522"/>
    </row>
    <row r="452">
      <c r="A452" s="596"/>
      <c r="B452" s="541"/>
      <c r="D452" s="542"/>
      <c r="E452" s="598"/>
      <c r="H452" s="544"/>
      <c r="I452" s="522"/>
      <c r="J452" s="522"/>
      <c r="K452" s="542"/>
      <c r="L452" s="522"/>
    </row>
    <row r="453">
      <c r="A453" s="596"/>
      <c r="B453" s="541"/>
      <c r="D453" s="542"/>
      <c r="E453" s="598"/>
      <c r="H453" s="544"/>
      <c r="I453" s="522"/>
      <c r="J453" s="522"/>
      <c r="K453" s="542"/>
      <c r="L453" s="522"/>
    </row>
    <row r="454">
      <c r="A454" s="596"/>
      <c r="B454" s="541"/>
      <c r="D454" s="542"/>
      <c r="E454" s="598"/>
      <c r="H454" s="544"/>
      <c r="I454" s="522"/>
      <c r="J454" s="522"/>
      <c r="K454" s="542"/>
      <c r="L454" s="522"/>
    </row>
    <row r="455">
      <c r="A455" s="596"/>
      <c r="B455" s="541"/>
      <c r="D455" s="542"/>
      <c r="E455" s="598"/>
      <c r="H455" s="544"/>
      <c r="I455" s="522"/>
      <c r="J455" s="522"/>
      <c r="K455" s="542"/>
      <c r="L455" s="522"/>
    </row>
    <row r="456">
      <c r="A456" s="596"/>
      <c r="B456" s="541"/>
      <c r="D456" s="542"/>
      <c r="E456" s="598"/>
      <c r="H456" s="544"/>
      <c r="I456" s="522"/>
      <c r="J456" s="522"/>
      <c r="K456" s="542"/>
      <c r="L456" s="522"/>
    </row>
    <row r="457">
      <c r="A457" s="596"/>
      <c r="B457" s="541"/>
      <c r="D457" s="542"/>
      <c r="E457" s="598"/>
      <c r="H457" s="544"/>
      <c r="I457" s="522"/>
      <c r="J457" s="522"/>
      <c r="K457" s="542"/>
      <c r="L457" s="522"/>
    </row>
    <row r="458">
      <c r="A458" s="596"/>
      <c r="B458" s="541"/>
      <c r="D458" s="542"/>
      <c r="E458" s="598"/>
      <c r="H458" s="544"/>
      <c r="I458" s="522"/>
      <c r="J458" s="522"/>
      <c r="K458" s="542"/>
      <c r="L458" s="522"/>
    </row>
    <row r="459">
      <c r="A459" s="596"/>
      <c r="B459" s="541"/>
      <c r="D459" s="542"/>
      <c r="E459" s="598"/>
      <c r="H459" s="544"/>
      <c r="I459" s="522"/>
      <c r="J459" s="522"/>
      <c r="K459" s="542"/>
      <c r="L459" s="522"/>
    </row>
    <row r="460">
      <c r="A460" s="596"/>
      <c r="B460" s="541"/>
      <c r="D460" s="542"/>
      <c r="E460" s="598"/>
      <c r="H460" s="544"/>
      <c r="I460" s="522"/>
      <c r="J460" s="522"/>
      <c r="K460" s="542"/>
      <c r="L460" s="522"/>
    </row>
    <row r="461">
      <c r="A461" s="596"/>
      <c r="B461" s="541"/>
      <c r="D461" s="542"/>
      <c r="E461" s="598"/>
      <c r="H461" s="544"/>
      <c r="I461" s="522"/>
      <c r="J461" s="522"/>
      <c r="K461" s="542"/>
      <c r="L461" s="522"/>
    </row>
    <row r="462">
      <c r="A462" s="596"/>
      <c r="B462" s="541"/>
      <c r="D462" s="542"/>
      <c r="E462" s="598"/>
      <c r="H462" s="544"/>
      <c r="I462" s="522"/>
      <c r="J462" s="522"/>
      <c r="K462" s="542"/>
      <c r="L462" s="522"/>
    </row>
    <row r="463">
      <c r="A463" s="596"/>
      <c r="B463" s="541"/>
      <c r="D463" s="542"/>
      <c r="E463" s="598"/>
      <c r="H463" s="544"/>
      <c r="I463" s="522"/>
      <c r="J463" s="522"/>
      <c r="K463" s="542"/>
      <c r="L463" s="522"/>
    </row>
    <row r="464">
      <c r="A464" s="596"/>
      <c r="B464" s="541"/>
      <c r="D464" s="542"/>
      <c r="E464" s="598"/>
      <c r="H464" s="544"/>
      <c r="I464" s="522"/>
      <c r="J464" s="522"/>
      <c r="K464" s="542"/>
      <c r="L464" s="522"/>
    </row>
    <row r="465">
      <c r="A465" s="596"/>
      <c r="B465" s="541"/>
      <c r="D465" s="542"/>
      <c r="E465" s="598"/>
      <c r="H465" s="544"/>
      <c r="I465" s="522"/>
      <c r="J465" s="522"/>
      <c r="K465" s="542"/>
      <c r="L465" s="522"/>
    </row>
    <row r="466">
      <c r="A466" s="596"/>
      <c r="B466" s="541"/>
      <c r="D466" s="542"/>
      <c r="E466" s="598"/>
      <c r="H466" s="544"/>
      <c r="I466" s="522"/>
      <c r="J466" s="522"/>
      <c r="K466" s="542"/>
      <c r="L466" s="522"/>
    </row>
    <row r="467">
      <c r="A467" s="596"/>
      <c r="B467" s="541"/>
      <c r="D467" s="542"/>
      <c r="E467" s="598"/>
      <c r="H467" s="544"/>
      <c r="I467" s="522"/>
      <c r="J467" s="522"/>
      <c r="K467" s="542"/>
      <c r="L467" s="522"/>
    </row>
    <row r="468">
      <c r="A468" s="596"/>
      <c r="B468" s="541"/>
      <c r="D468" s="542"/>
      <c r="E468" s="598"/>
      <c r="H468" s="544"/>
      <c r="I468" s="522"/>
      <c r="J468" s="522"/>
      <c r="K468" s="542"/>
      <c r="L468" s="522"/>
    </row>
    <row r="469">
      <c r="A469" s="596"/>
      <c r="B469" s="541"/>
      <c r="D469" s="542"/>
      <c r="E469" s="598"/>
      <c r="H469" s="544"/>
      <c r="I469" s="522"/>
      <c r="J469" s="522"/>
      <c r="K469" s="542"/>
      <c r="L469" s="522"/>
    </row>
    <row r="470">
      <c r="A470" s="596"/>
      <c r="B470" s="541"/>
      <c r="D470" s="542"/>
      <c r="E470" s="598"/>
      <c r="H470" s="544"/>
      <c r="I470" s="522"/>
      <c r="J470" s="522"/>
      <c r="K470" s="542"/>
      <c r="L470" s="522"/>
    </row>
    <row r="471">
      <c r="A471" s="596"/>
      <c r="B471" s="541"/>
      <c r="D471" s="542"/>
      <c r="E471" s="598"/>
      <c r="H471" s="544"/>
      <c r="I471" s="522"/>
      <c r="J471" s="522"/>
      <c r="K471" s="542"/>
      <c r="L471" s="522"/>
    </row>
    <row r="472">
      <c r="A472" s="596"/>
      <c r="B472" s="541"/>
      <c r="D472" s="542"/>
      <c r="E472" s="598"/>
      <c r="H472" s="544"/>
      <c r="I472" s="522"/>
      <c r="J472" s="522"/>
      <c r="K472" s="542"/>
      <c r="L472" s="522"/>
    </row>
    <row r="473">
      <c r="A473" s="596"/>
      <c r="B473" s="541"/>
      <c r="D473" s="542"/>
      <c r="E473" s="598"/>
      <c r="H473" s="544"/>
      <c r="I473" s="522"/>
      <c r="J473" s="522"/>
      <c r="K473" s="542"/>
      <c r="L473" s="522"/>
    </row>
    <row r="474">
      <c r="A474" s="596"/>
      <c r="B474" s="541"/>
      <c r="D474" s="542"/>
      <c r="E474" s="598"/>
      <c r="H474" s="544"/>
      <c r="I474" s="522"/>
      <c r="J474" s="522"/>
      <c r="K474" s="542"/>
      <c r="L474" s="522"/>
    </row>
    <row r="475">
      <c r="A475" s="596"/>
      <c r="B475" s="541"/>
      <c r="D475" s="542"/>
      <c r="E475" s="598"/>
      <c r="H475" s="544"/>
      <c r="I475" s="522"/>
      <c r="J475" s="522"/>
      <c r="K475" s="542"/>
      <c r="L475" s="522"/>
    </row>
    <row r="476">
      <c r="A476" s="596"/>
      <c r="B476" s="541"/>
      <c r="D476" s="542"/>
      <c r="E476" s="598"/>
      <c r="H476" s="544"/>
      <c r="I476" s="522"/>
      <c r="J476" s="522"/>
      <c r="K476" s="542"/>
      <c r="L476" s="522"/>
    </row>
    <row r="477">
      <c r="A477" s="596"/>
      <c r="B477" s="541"/>
      <c r="D477" s="542"/>
      <c r="E477" s="598"/>
      <c r="H477" s="544"/>
      <c r="I477" s="522"/>
      <c r="J477" s="522"/>
      <c r="K477" s="542"/>
      <c r="L477" s="522"/>
    </row>
    <row r="478">
      <c r="A478" s="596"/>
      <c r="B478" s="541"/>
      <c r="D478" s="542"/>
      <c r="E478" s="598"/>
      <c r="H478" s="544"/>
      <c r="I478" s="522"/>
      <c r="J478" s="522"/>
      <c r="K478" s="542"/>
      <c r="L478" s="522"/>
    </row>
    <row r="479">
      <c r="A479" s="596"/>
      <c r="B479" s="541"/>
      <c r="D479" s="542"/>
      <c r="E479" s="598"/>
      <c r="H479" s="544"/>
      <c r="I479" s="522"/>
      <c r="J479" s="522"/>
      <c r="K479" s="542"/>
      <c r="L479" s="522"/>
    </row>
    <row r="480">
      <c r="A480" s="596"/>
      <c r="B480" s="541"/>
      <c r="D480" s="542"/>
      <c r="E480" s="598"/>
      <c r="H480" s="544"/>
      <c r="I480" s="522"/>
      <c r="J480" s="522"/>
      <c r="K480" s="542"/>
      <c r="L480" s="522"/>
    </row>
    <row r="481">
      <c r="A481" s="596"/>
      <c r="B481" s="541"/>
      <c r="D481" s="542"/>
      <c r="E481" s="598"/>
      <c r="H481" s="544"/>
      <c r="I481" s="522"/>
      <c r="J481" s="522"/>
      <c r="K481" s="542"/>
      <c r="L481" s="522"/>
    </row>
    <row r="482">
      <c r="A482" s="596"/>
      <c r="B482" s="541"/>
      <c r="D482" s="542"/>
      <c r="E482" s="598"/>
      <c r="H482" s="544"/>
      <c r="I482" s="522"/>
      <c r="J482" s="522"/>
      <c r="K482" s="542"/>
      <c r="L482" s="522"/>
    </row>
    <row r="483">
      <c r="A483" s="596"/>
      <c r="B483" s="541"/>
      <c r="D483" s="542"/>
      <c r="E483" s="598"/>
      <c r="H483" s="544"/>
      <c r="I483" s="522"/>
      <c r="J483" s="522"/>
      <c r="K483" s="542"/>
      <c r="L483" s="522"/>
    </row>
    <row r="484">
      <c r="A484" s="596"/>
      <c r="B484" s="541"/>
      <c r="D484" s="542"/>
      <c r="E484" s="598"/>
      <c r="H484" s="544"/>
      <c r="I484" s="522"/>
      <c r="J484" s="522"/>
      <c r="K484" s="542"/>
      <c r="L484" s="522"/>
    </row>
    <row r="485">
      <c r="A485" s="596"/>
      <c r="B485" s="541"/>
      <c r="D485" s="542"/>
      <c r="E485" s="598"/>
      <c r="H485" s="544"/>
      <c r="I485" s="522"/>
      <c r="J485" s="522"/>
      <c r="K485" s="542"/>
      <c r="L485" s="522"/>
    </row>
    <row r="486">
      <c r="A486" s="596"/>
      <c r="B486" s="541"/>
      <c r="D486" s="542"/>
      <c r="E486" s="598"/>
      <c r="H486" s="544"/>
      <c r="I486" s="522"/>
      <c r="J486" s="522"/>
      <c r="K486" s="542"/>
      <c r="L486" s="522"/>
    </row>
    <row r="487">
      <c r="A487" s="596"/>
      <c r="B487" s="541"/>
      <c r="D487" s="542"/>
      <c r="E487" s="598"/>
      <c r="H487" s="544"/>
      <c r="I487" s="522"/>
      <c r="J487" s="522"/>
      <c r="K487" s="542"/>
      <c r="L487" s="522"/>
    </row>
    <row r="488">
      <c r="A488" s="596"/>
      <c r="B488" s="541"/>
      <c r="D488" s="542"/>
      <c r="E488" s="598"/>
      <c r="H488" s="544"/>
      <c r="I488" s="522"/>
      <c r="J488" s="522"/>
      <c r="K488" s="542"/>
      <c r="L488" s="522"/>
    </row>
    <row r="489">
      <c r="A489" s="596"/>
      <c r="B489" s="541"/>
      <c r="D489" s="542"/>
      <c r="E489" s="598"/>
      <c r="H489" s="544"/>
      <c r="I489" s="522"/>
      <c r="J489" s="522"/>
      <c r="K489" s="542"/>
      <c r="L489" s="522"/>
    </row>
    <row r="490">
      <c r="A490" s="596"/>
      <c r="B490" s="541"/>
      <c r="D490" s="542"/>
      <c r="E490" s="598"/>
      <c r="H490" s="544"/>
      <c r="I490" s="522"/>
      <c r="J490" s="522"/>
      <c r="K490" s="542"/>
      <c r="L490" s="522"/>
    </row>
    <row r="491">
      <c r="A491" s="596"/>
      <c r="B491" s="541"/>
      <c r="D491" s="542"/>
      <c r="E491" s="598"/>
      <c r="H491" s="544"/>
      <c r="I491" s="522"/>
      <c r="J491" s="522"/>
      <c r="K491" s="542"/>
      <c r="L491" s="522"/>
    </row>
    <row r="492">
      <c r="A492" s="596"/>
      <c r="B492" s="541"/>
      <c r="D492" s="542"/>
      <c r="E492" s="598"/>
      <c r="H492" s="544"/>
      <c r="I492" s="522"/>
      <c r="J492" s="522"/>
      <c r="K492" s="542"/>
      <c r="L492" s="522"/>
    </row>
    <row r="493">
      <c r="A493" s="596"/>
      <c r="B493" s="541"/>
      <c r="D493" s="542"/>
      <c r="E493" s="598"/>
      <c r="H493" s="544"/>
      <c r="I493" s="522"/>
      <c r="J493" s="522"/>
      <c r="K493" s="542"/>
      <c r="L493" s="522"/>
    </row>
    <row r="494">
      <c r="A494" s="596"/>
      <c r="B494" s="541"/>
      <c r="D494" s="542"/>
      <c r="E494" s="598"/>
      <c r="H494" s="544"/>
      <c r="I494" s="522"/>
      <c r="J494" s="522"/>
      <c r="K494" s="542"/>
      <c r="L494" s="522"/>
    </row>
    <row r="495">
      <c r="A495" s="596"/>
      <c r="B495" s="541"/>
      <c r="D495" s="542"/>
      <c r="E495" s="598"/>
      <c r="H495" s="544"/>
      <c r="I495" s="522"/>
      <c r="J495" s="522"/>
      <c r="K495" s="542"/>
      <c r="L495" s="522"/>
    </row>
    <row r="496">
      <c r="A496" s="596"/>
      <c r="B496" s="541"/>
      <c r="D496" s="542"/>
      <c r="E496" s="598"/>
      <c r="H496" s="544"/>
      <c r="I496" s="522"/>
      <c r="J496" s="522"/>
      <c r="K496" s="542"/>
      <c r="L496" s="522"/>
    </row>
    <row r="497">
      <c r="A497" s="596"/>
      <c r="B497" s="541"/>
      <c r="D497" s="542"/>
      <c r="E497" s="598"/>
      <c r="H497" s="544"/>
      <c r="I497" s="522"/>
      <c r="J497" s="522"/>
      <c r="K497" s="542"/>
      <c r="L497" s="522"/>
    </row>
    <row r="498">
      <c r="A498" s="596"/>
      <c r="B498" s="541"/>
      <c r="D498" s="542"/>
      <c r="E498" s="598"/>
      <c r="H498" s="544"/>
      <c r="I498" s="522"/>
      <c r="J498" s="522"/>
      <c r="K498" s="542"/>
      <c r="L498" s="522"/>
    </row>
    <row r="499">
      <c r="A499" s="596"/>
      <c r="B499" s="541"/>
      <c r="D499" s="542"/>
      <c r="E499" s="598"/>
      <c r="H499" s="544"/>
      <c r="I499" s="522"/>
      <c r="J499" s="522"/>
      <c r="K499" s="542"/>
      <c r="L499" s="522"/>
    </row>
    <row r="500">
      <c r="A500" s="596"/>
      <c r="B500" s="541"/>
      <c r="D500" s="542"/>
      <c r="E500" s="598"/>
      <c r="H500" s="544"/>
      <c r="I500" s="522"/>
      <c r="J500" s="522"/>
      <c r="K500" s="542"/>
      <c r="L500" s="522"/>
    </row>
    <row r="501">
      <c r="A501" s="596"/>
      <c r="B501" s="541"/>
      <c r="D501" s="542"/>
      <c r="E501" s="598"/>
      <c r="H501" s="544"/>
      <c r="I501" s="522"/>
      <c r="J501" s="522"/>
      <c r="K501" s="542"/>
      <c r="L501" s="522"/>
    </row>
    <row r="502">
      <c r="A502" s="596"/>
      <c r="B502" s="541"/>
      <c r="D502" s="542"/>
      <c r="E502" s="598"/>
      <c r="H502" s="544"/>
      <c r="I502" s="522"/>
      <c r="J502" s="522"/>
      <c r="K502" s="542"/>
      <c r="L502" s="522"/>
    </row>
    <row r="503">
      <c r="A503" s="596"/>
      <c r="B503" s="541"/>
      <c r="D503" s="542"/>
      <c r="E503" s="598"/>
      <c r="H503" s="544"/>
      <c r="I503" s="522"/>
      <c r="J503" s="522"/>
      <c r="K503" s="542"/>
      <c r="L503" s="522"/>
    </row>
    <row r="504">
      <c r="A504" s="596"/>
      <c r="B504" s="541"/>
      <c r="D504" s="542"/>
      <c r="E504" s="598"/>
      <c r="H504" s="544"/>
      <c r="I504" s="522"/>
      <c r="J504" s="522"/>
      <c r="K504" s="542"/>
      <c r="L504" s="522"/>
    </row>
    <row r="505">
      <c r="A505" s="596"/>
      <c r="B505" s="541"/>
      <c r="D505" s="542"/>
      <c r="E505" s="598"/>
      <c r="H505" s="544"/>
      <c r="I505" s="522"/>
      <c r="J505" s="522"/>
      <c r="K505" s="542"/>
      <c r="L505" s="522"/>
    </row>
    <row r="506">
      <c r="A506" s="596"/>
      <c r="B506" s="541"/>
      <c r="D506" s="542"/>
      <c r="E506" s="598"/>
      <c r="H506" s="544"/>
      <c r="I506" s="522"/>
      <c r="J506" s="522"/>
      <c r="K506" s="542"/>
      <c r="L506" s="522"/>
    </row>
    <row r="507">
      <c r="A507" s="596"/>
      <c r="B507" s="541"/>
      <c r="D507" s="542"/>
      <c r="E507" s="598"/>
      <c r="H507" s="544"/>
      <c r="I507" s="522"/>
      <c r="J507" s="522"/>
      <c r="K507" s="542"/>
      <c r="L507" s="522"/>
    </row>
    <row r="508">
      <c r="A508" s="596"/>
      <c r="B508" s="541"/>
      <c r="D508" s="542"/>
      <c r="E508" s="598"/>
      <c r="H508" s="544"/>
      <c r="I508" s="522"/>
      <c r="J508" s="522"/>
      <c r="K508" s="542"/>
      <c r="L508" s="522"/>
    </row>
    <row r="509">
      <c r="A509" s="596"/>
      <c r="B509" s="541"/>
      <c r="D509" s="542"/>
      <c r="E509" s="598"/>
      <c r="H509" s="544"/>
      <c r="I509" s="522"/>
      <c r="J509" s="522"/>
      <c r="K509" s="542"/>
      <c r="L509" s="522"/>
    </row>
    <row r="510">
      <c r="A510" s="596"/>
      <c r="B510" s="541"/>
      <c r="D510" s="542"/>
      <c r="E510" s="598"/>
      <c r="H510" s="544"/>
      <c r="I510" s="522"/>
      <c r="J510" s="522"/>
      <c r="K510" s="542"/>
      <c r="L510" s="522"/>
    </row>
    <row r="511">
      <c r="A511" s="596"/>
      <c r="B511" s="541"/>
      <c r="D511" s="542"/>
      <c r="E511" s="598"/>
      <c r="H511" s="544"/>
      <c r="I511" s="522"/>
      <c r="J511" s="522"/>
      <c r="K511" s="542"/>
      <c r="L511" s="522"/>
    </row>
    <row r="512">
      <c r="A512" s="596"/>
      <c r="B512" s="541"/>
      <c r="D512" s="542"/>
      <c r="E512" s="598"/>
      <c r="H512" s="544"/>
      <c r="I512" s="522"/>
      <c r="J512" s="522"/>
      <c r="K512" s="542"/>
      <c r="L512" s="522"/>
    </row>
    <row r="513">
      <c r="A513" s="596"/>
      <c r="B513" s="541"/>
      <c r="D513" s="542"/>
      <c r="E513" s="598"/>
      <c r="H513" s="544"/>
      <c r="I513" s="522"/>
      <c r="J513" s="522"/>
      <c r="K513" s="542"/>
      <c r="L513" s="522"/>
    </row>
    <row r="514">
      <c r="A514" s="596"/>
      <c r="B514" s="541"/>
      <c r="D514" s="542"/>
      <c r="E514" s="598"/>
      <c r="H514" s="544"/>
      <c r="I514" s="522"/>
      <c r="J514" s="522"/>
      <c r="K514" s="542"/>
      <c r="L514" s="522"/>
    </row>
    <row r="515">
      <c r="A515" s="596"/>
      <c r="B515" s="541"/>
      <c r="D515" s="542"/>
      <c r="E515" s="598"/>
      <c r="H515" s="544"/>
      <c r="I515" s="522"/>
      <c r="J515" s="522"/>
      <c r="K515" s="542"/>
      <c r="L515" s="522"/>
    </row>
    <row r="516">
      <c r="A516" s="596"/>
      <c r="B516" s="541"/>
      <c r="D516" s="542"/>
      <c r="E516" s="598"/>
      <c r="H516" s="544"/>
      <c r="I516" s="522"/>
      <c r="J516" s="522"/>
      <c r="K516" s="542"/>
      <c r="L516" s="522"/>
    </row>
    <row r="517">
      <c r="A517" s="596"/>
      <c r="B517" s="541"/>
      <c r="D517" s="542"/>
      <c r="E517" s="598"/>
      <c r="H517" s="544"/>
      <c r="I517" s="522"/>
      <c r="J517" s="522"/>
      <c r="K517" s="542"/>
      <c r="L517" s="522"/>
    </row>
    <row r="518">
      <c r="A518" s="596"/>
      <c r="B518" s="541"/>
      <c r="D518" s="542"/>
      <c r="E518" s="598"/>
      <c r="H518" s="544"/>
      <c r="I518" s="522"/>
      <c r="J518" s="522"/>
      <c r="K518" s="542"/>
      <c r="L518" s="522"/>
    </row>
    <row r="519">
      <c r="A519" s="596"/>
      <c r="B519" s="541"/>
      <c r="D519" s="542"/>
      <c r="E519" s="598"/>
      <c r="H519" s="544"/>
      <c r="I519" s="522"/>
      <c r="J519" s="522"/>
      <c r="K519" s="542"/>
      <c r="L519" s="522"/>
    </row>
    <row r="520">
      <c r="A520" s="596"/>
      <c r="B520" s="541"/>
      <c r="D520" s="542"/>
      <c r="E520" s="598"/>
      <c r="H520" s="544"/>
      <c r="I520" s="522"/>
      <c r="J520" s="522"/>
      <c r="K520" s="542"/>
      <c r="L520" s="522"/>
    </row>
    <row r="521">
      <c r="A521" s="596"/>
      <c r="B521" s="541"/>
      <c r="D521" s="542"/>
      <c r="E521" s="598"/>
      <c r="H521" s="544"/>
      <c r="I521" s="522"/>
      <c r="J521" s="522"/>
      <c r="K521" s="542"/>
      <c r="L521" s="522"/>
    </row>
    <row r="522">
      <c r="A522" s="596"/>
      <c r="B522" s="541"/>
      <c r="D522" s="542"/>
      <c r="E522" s="598"/>
      <c r="H522" s="544"/>
      <c r="I522" s="522"/>
      <c r="J522" s="522"/>
      <c r="K522" s="542"/>
      <c r="L522" s="522"/>
    </row>
    <row r="523">
      <c r="A523" s="596"/>
      <c r="B523" s="541"/>
      <c r="D523" s="542"/>
      <c r="E523" s="598"/>
      <c r="H523" s="544"/>
      <c r="I523" s="522"/>
      <c r="J523" s="522"/>
      <c r="K523" s="542"/>
      <c r="L523" s="522"/>
    </row>
    <row r="524">
      <c r="A524" s="596"/>
      <c r="B524" s="541"/>
      <c r="D524" s="542"/>
      <c r="E524" s="598"/>
      <c r="H524" s="544"/>
      <c r="I524" s="522"/>
      <c r="J524" s="522"/>
      <c r="K524" s="542"/>
      <c r="L524" s="522"/>
    </row>
    <row r="525">
      <c r="A525" s="596"/>
      <c r="B525" s="541"/>
      <c r="D525" s="542"/>
      <c r="E525" s="598"/>
      <c r="H525" s="544"/>
      <c r="I525" s="522"/>
      <c r="J525" s="522"/>
      <c r="K525" s="542"/>
      <c r="L525" s="522"/>
    </row>
    <row r="526">
      <c r="A526" s="596"/>
      <c r="B526" s="541"/>
      <c r="D526" s="542"/>
      <c r="E526" s="598"/>
      <c r="H526" s="544"/>
      <c r="I526" s="522"/>
      <c r="J526" s="522"/>
      <c r="K526" s="542"/>
      <c r="L526" s="522"/>
    </row>
    <row r="527">
      <c r="A527" s="596"/>
      <c r="B527" s="541"/>
      <c r="D527" s="542"/>
      <c r="E527" s="598"/>
      <c r="H527" s="544"/>
      <c r="I527" s="522"/>
      <c r="J527" s="522"/>
      <c r="K527" s="542"/>
      <c r="L527" s="522"/>
    </row>
    <row r="528">
      <c r="A528" s="596"/>
      <c r="B528" s="541"/>
      <c r="D528" s="542"/>
      <c r="E528" s="598"/>
      <c r="H528" s="544"/>
      <c r="I528" s="522"/>
      <c r="J528" s="522"/>
      <c r="K528" s="542"/>
      <c r="L528" s="522"/>
    </row>
    <row r="529">
      <c r="A529" s="596"/>
      <c r="B529" s="541"/>
      <c r="D529" s="542"/>
      <c r="E529" s="598"/>
      <c r="H529" s="544"/>
      <c r="I529" s="522"/>
      <c r="J529" s="522"/>
      <c r="K529" s="542"/>
      <c r="L529" s="522"/>
    </row>
    <row r="530">
      <c r="A530" s="596"/>
      <c r="B530" s="541"/>
      <c r="D530" s="542"/>
      <c r="E530" s="598"/>
      <c r="H530" s="544"/>
      <c r="I530" s="522"/>
      <c r="J530" s="522"/>
      <c r="K530" s="542"/>
      <c r="L530" s="522"/>
    </row>
    <row r="531">
      <c r="A531" s="596"/>
      <c r="B531" s="541"/>
      <c r="D531" s="542"/>
      <c r="E531" s="598"/>
      <c r="H531" s="544"/>
      <c r="I531" s="522"/>
      <c r="J531" s="522"/>
      <c r="K531" s="542"/>
      <c r="L531" s="522"/>
    </row>
    <row r="532">
      <c r="A532" s="596"/>
      <c r="B532" s="541"/>
      <c r="D532" s="542"/>
      <c r="E532" s="598"/>
      <c r="H532" s="544"/>
      <c r="I532" s="522"/>
      <c r="J532" s="522"/>
      <c r="K532" s="542"/>
      <c r="L532" s="522"/>
    </row>
    <row r="533">
      <c r="A533" s="596"/>
      <c r="B533" s="541"/>
      <c r="D533" s="542"/>
      <c r="E533" s="598"/>
      <c r="H533" s="544"/>
      <c r="I533" s="522"/>
      <c r="J533" s="522"/>
      <c r="K533" s="542"/>
      <c r="L533" s="522"/>
    </row>
    <row r="534">
      <c r="A534" s="596"/>
      <c r="B534" s="541"/>
      <c r="D534" s="542"/>
      <c r="E534" s="598"/>
      <c r="H534" s="544"/>
      <c r="I534" s="522"/>
      <c r="J534" s="522"/>
      <c r="K534" s="542"/>
      <c r="L534" s="522"/>
    </row>
    <row r="535">
      <c r="A535" s="596"/>
      <c r="B535" s="541"/>
      <c r="D535" s="542"/>
      <c r="E535" s="598"/>
      <c r="H535" s="544"/>
      <c r="I535" s="522"/>
      <c r="J535" s="522"/>
      <c r="K535" s="542"/>
      <c r="L535" s="522"/>
    </row>
    <row r="536">
      <c r="A536" s="596"/>
      <c r="B536" s="541"/>
      <c r="D536" s="542"/>
      <c r="E536" s="598"/>
      <c r="H536" s="544"/>
      <c r="I536" s="522"/>
      <c r="J536" s="522"/>
      <c r="K536" s="542"/>
      <c r="L536" s="522"/>
    </row>
    <row r="537">
      <c r="A537" s="596"/>
      <c r="B537" s="541"/>
      <c r="D537" s="542"/>
      <c r="E537" s="598"/>
      <c r="H537" s="544"/>
      <c r="I537" s="522"/>
      <c r="J537" s="522"/>
      <c r="K537" s="542"/>
      <c r="L537" s="522"/>
    </row>
    <row r="538">
      <c r="A538" s="596"/>
      <c r="B538" s="541"/>
      <c r="D538" s="542"/>
      <c r="E538" s="598"/>
      <c r="H538" s="544"/>
      <c r="I538" s="522"/>
      <c r="J538" s="522"/>
      <c r="K538" s="542"/>
      <c r="L538" s="522"/>
    </row>
    <row r="539">
      <c r="A539" s="596"/>
      <c r="B539" s="541"/>
      <c r="D539" s="542"/>
      <c r="E539" s="598"/>
      <c r="H539" s="544"/>
      <c r="I539" s="522"/>
      <c r="J539" s="522"/>
      <c r="K539" s="542"/>
      <c r="L539" s="522"/>
    </row>
    <row r="540">
      <c r="A540" s="596"/>
      <c r="B540" s="541"/>
      <c r="D540" s="542"/>
      <c r="E540" s="598"/>
      <c r="H540" s="544"/>
      <c r="I540" s="522"/>
      <c r="J540" s="522"/>
      <c r="K540" s="542"/>
      <c r="L540" s="522"/>
    </row>
    <row r="541">
      <c r="A541" s="596"/>
      <c r="B541" s="541"/>
      <c r="D541" s="542"/>
      <c r="E541" s="598"/>
      <c r="H541" s="544"/>
      <c r="I541" s="522"/>
      <c r="J541" s="522"/>
      <c r="K541" s="542"/>
      <c r="L541" s="522"/>
    </row>
    <row r="542">
      <c r="A542" s="596"/>
      <c r="B542" s="541"/>
      <c r="D542" s="542"/>
      <c r="E542" s="598"/>
      <c r="H542" s="544"/>
      <c r="I542" s="522"/>
      <c r="J542" s="522"/>
      <c r="K542" s="542"/>
      <c r="L542" s="522"/>
    </row>
    <row r="543">
      <c r="A543" s="596"/>
      <c r="B543" s="541"/>
      <c r="D543" s="542"/>
      <c r="E543" s="598"/>
      <c r="H543" s="544"/>
      <c r="I543" s="522"/>
      <c r="J543" s="522"/>
      <c r="K543" s="542"/>
      <c r="L543" s="522"/>
    </row>
    <row r="544">
      <c r="A544" s="596"/>
      <c r="B544" s="541"/>
      <c r="D544" s="542"/>
      <c r="E544" s="598"/>
      <c r="H544" s="544"/>
      <c r="I544" s="522"/>
      <c r="J544" s="522"/>
      <c r="K544" s="542"/>
      <c r="L544" s="522"/>
    </row>
    <row r="545">
      <c r="A545" s="596"/>
      <c r="B545" s="541"/>
      <c r="D545" s="542"/>
      <c r="E545" s="598"/>
      <c r="H545" s="544"/>
      <c r="I545" s="522"/>
      <c r="J545" s="522"/>
      <c r="K545" s="542"/>
      <c r="L545" s="522"/>
    </row>
    <row r="546">
      <c r="A546" s="596"/>
      <c r="B546" s="541"/>
      <c r="D546" s="542"/>
      <c r="E546" s="598"/>
      <c r="H546" s="544"/>
      <c r="I546" s="522"/>
      <c r="J546" s="522"/>
      <c r="K546" s="542"/>
      <c r="L546" s="522"/>
    </row>
    <row r="547">
      <c r="A547" s="596"/>
      <c r="B547" s="541"/>
      <c r="D547" s="542"/>
      <c r="E547" s="598"/>
      <c r="H547" s="544"/>
      <c r="I547" s="522"/>
      <c r="J547" s="522"/>
      <c r="K547" s="542"/>
      <c r="L547" s="522"/>
    </row>
    <row r="548">
      <c r="A548" s="596"/>
      <c r="B548" s="541"/>
      <c r="D548" s="542"/>
      <c r="E548" s="598"/>
      <c r="H548" s="544"/>
      <c r="I548" s="522"/>
      <c r="J548" s="522"/>
      <c r="K548" s="542"/>
      <c r="L548" s="522"/>
    </row>
    <row r="549">
      <c r="A549" s="596"/>
      <c r="B549" s="541"/>
      <c r="D549" s="542"/>
      <c r="E549" s="598"/>
      <c r="H549" s="544"/>
      <c r="I549" s="522"/>
      <c r="J549" s="522"/>
      <c r="K549" s="542"/>
      <c r="L549" s="522"/>
    </row>
    <row r="550">
      <c r="A550" s="596"/>
      <c r="B550" s="541"/>
      <c r="D550" s="542"/>
      <c r="E550" s="598"/>
      <c r="H550" s="544"/>
      <c r="I550" s="522"/>
      <c r="J550" s="522"/>
      <c r="K550" s="542"/>
      <c r="L550" s="522"/>
    </row>
    <row r="551">
      <c r="A551" s="596"/>
      <c r="B551" s="541"/>
      <c r="D551" s="542"/>
      <c r="E551" s="598"/>
      <c r="H551" s="544"/>
      <c r="I551" s="522"/>
      <c r="J551" s="522"/>
      <c r="K551" s="542"/>
      <c r="L551" s="522"/>
    </row>
    <row r="552">
      <c r="A552" s="596"/>
      <c r="B552" s="541"/>
      <c r="D552" s="542"/>
      <c r="E552" s="598"/>
      <c r="H552" s="544"/>
      <c r="I552" s="522"/>
      <c r="J552" s="522"/>
      <c r="K552" s="542"/>
      <c r="L552" s="522"/>
    </row>
    <row r="553">
      <c r="A553" s="596"/>
      <c r="B553" s="541"/>
      <c r="D553" s="542"/>
      <c r="E553" s="598"/>
      <c r="H553" s="544"/>
      <c r="I553" s="522"/>
      <c r="J553" s="522"/>
      <c r="K553" s="542"/>
      <c r="L553" s="522"/>
    </row>
    <row r="554">
      <c r="A554" s="596"/>
      <c r="B554" s="541"/>
      <c r="D554" s="542"/>
      <c r="E554" s="598"/>
      <c r="H554" s="544"/>
      <c r="I554" s="522"/>
      <c r="J554" s="522"/>
      <c r="K554" s="542"/>
      <c r="L554" s="522"/>
    </row>
    <row r="555">
      <c r="A555" s="596"/>
      <c r="B555" s="541"/>
      <c r="D555" s="542"/>
      <c r="E555" s="598"/>
      <c r="H555" s="544"/>
      <c r="I555" s="522"/>
      <c r="J555" s="522"/>
      <c r="K555" s="542"/>
      <c r="L555" s="522"/>
    </row>
    <row r="556">
      <c r="A556" s="596"/>
      <c r="B556" s="541"/>
      <c r="D556" s="542"/>
      <c r="E556" s="598"/>
      <c r="H556" s="544"/>
      <c r="I556" s="522"/>
      <c r="J556" s="522"/>
      <c r="K556" s="542"/>
      <c r="L556" s="522"/>
    </row>
    <row r="557">
      <c r="A557" s="596"/>
      <c r="B557" s="541"/>
      <c r="D557" s="542"/>
      <c r="E557" s="598"/>
      <c r="H557" s="544"/>
      <c r="I557" s="522"/>
      <c r="J557" s="522"/>
      <c r="K557" s="542"/>
      <c r="L557" s="522"/>
    </row>
    <row r="558">
      <c r="A558" s="596"/>
      <c r="B558" s="541"/>
      <c r="D558" s="542"/>
      <c r="E558" s="598"/>
      <c r="H558" s="544"/>
      <c r="I558" s="522"/>
      <c r="J558" s="522"/>
      <c r="K558" s="542"/>
      <c r="L558" s="522"/>
    </row>
    <row r="559">
      <c r="A559" s="596"/>
      <c r="B559" s="541"/>
      <c r="D559" s="542"/>
      <c r="E559" s="598"/>
      <c r="H559" s="544"/>
      <c r="I559" s="522"/>
      <c r="J559" s="522"/>
      <c r="K559" s="542"/>
      <c r="L559" s="522"/>
    </row>
    <row r="560">
      <c r="A560" s="596"/>
      <c r="B560" s="541"/>
      <c r="D560" s="542"/>
      <c r="E560" s="598"/>
      <c r="H560" s="544"/>
      <c r="I560" s="522"/>
      <c r="J560" s="522"/>
      <c r="K560" s="542"/>
      <c r="L560" s="522"/>
    </row>
    <row r="561">
      <c r="A561" s="596"/>
      <c r="B561" s="541"/>
      <c r="D561" s="542"/>
      <c r="E561" s="598"/>
      <c r="H561" s="544"/>
      <c r="I561" s="522"/>
      <c r="J561" s="522"/>
      <c r="K561" s="542"/>
      <c r="L561" s="522"/>
    </row>
    <row r="562">
      <c r="A562" s="596"/>
      <c r="B562" s="541"/>
      <c r="D562" s="542"/>
      <c r="E562" s="598"/>
      <c r="H562" s="544"/>
      <c r="I562" s="522"/>
      <c r="J562" s="522"/>
      <c r="K562" s="542"/>
      <c r="L562" s="522"/>
    </row>
    <row r="563">
      <c r="A563" s="596"/>
      <c r="B563" s="541"/>
      <c r="D563" s="542"/>
      <c r="E563" s="598"/>
      <c r="H563" s="544"/>
      <c r="I563" s="522"/>
      <c r="J563" s="522"/>
      <c r="K563" s="542"/>
      <c r="L563" s="522"/>
    </row>
    <row r="564">
      <c r="A564" s="596"/>
      <c r="B564" s="541"/>
      <c r="D564" s="542"/>
      <c r="E564" s="598"/>
      <c r="H564" s="544"/>
      <c r="I564" s="522"/>
      <c r="J564" s="522"/>
      <c r="K564" s="542"/>
      <c r="L564" s="522"/>
    </row>
    <row r="565">
      <c r="A565" s="596"/>
      <c r="B565" s="541"/>
      <c r="D565" s="542"/>
      <c r="E565" s="598"/>
      <c r="H565" s="544"/>
      <c r="I565" s="522"/>
      <c r="J565" s="522"/>
      <c r="K565" s="542"/>
      <c r="L565" s="522"/>
    </row>
    <row r="566">
      <c r="A566" s="596"/>
      <c r="B566" s="541"/>
      <c r="D566" s="542"/>
      <c r="E566" s="598"/>
      <c r="H566" s="544"/>
      <c r="I566" s="522"/>
      <c r="J566" s="522"/>
      <c r="K566" s="542"/>
      <c r="L566" s="522"/>
    </row>
    <row r="567">
      <c r="A567" s="596"/>
      <c r="B567" s="541"/>
      <c r="D567" s="542"/>
      <c r="E567" s="598"/>
      <c r="H567" s="544"/>
      <c r="I567" s="522"/>
      <c r="J567" s="522"/>
      <c r="K567" s="542"/>
      <c r="L567" s="522"/>
    </row>
    <row r="568">
      <c r="A568" s="596"/>
      <c r="B568" s="541"/>
      <c r="D568" s="542"/>
      <c r="E568" s="598"/>
      <c r="H568" s="544"/>
      <c r="I568" s="522"/>
      <c r="J568" s="522"/>
      <c r="K568" s="542"/>
      <c r="L568" s="522"/>
    </row>
    <row r="569">
      <c r="A569" s="596"/>
      <c r="B569" s="541"/>
      <c r="D569" s="542"/>
      <c r="E569" s="598"/>
      <c r="H569" s="544"/>
      <c r="I569" s="522"/>
      <c r="J569" s="522"/>
      <c r="K569" s="542"/>
      <c r="L569" s="522"/>
    </row>
    <row r="570">
      <c r="A570" s="596"/>
      <c r="B570" s="541"/>
      <c r="D570" s="542"/>
      <c r="E570" s="598"/>
      <c r="H570" s="544"/>
      <c r="I570" s="522"/>
      <c r="J570" s="522"/>
      <c r="K570" s="542"/>
      <c r="L570" s="522"/>
    </row>
    <row r="571">
      <c r="A571" s="596"/>
      <c r="B571" s="541"/>
      <c r="D571" s="542"/>
      <c r="E571" s="598"/>
      <c r="H571" s="544"/>
      <c r="I571" s="522"/>
      <c r="J571" s="522"/>
      <c r="K571" s="542"/>
      <c r="L571" s="522"/>
    </row>
    <row r="572">
      <c r="A572" s="596"/>
      <c r="B572" s="541"/>
      <c r="D572" s="542"/>
      <c r="E572" s="598"/>
      <c r="H572" s="544"/>
      <c r="I572" s="522"/>
      <c r="J572" s="522"/>
      <c r="K572" s="542"/>
      <c r="L572" s="522"/>
    </row>
    <row r="573">
      <c r="A573" s="596"/>
      <c r="B573" s="541"/>
      <c r="D573" s="542"/>
      <c r="E573" s="598"/>
      <c r="H573" s="544"/>
      <c r="I573" s="522"/>
      <c r="J573" s="522"/>
      <c r="K573" s="542"/>
      <c r="L573" s="522"/>
    </row>
    <row r="574">
      <c r="A574" s="596"/>
      <c r="B574" s="541"/>
      <c r="D574" s="542"/>
      <c r="E574" s="598"/>
      <c r="H574" s="544"/>
      <c r="I574" s="522"/>
      <c r="J574" s="522"/>
      <c r="K574" s="542"/>
      <c r="L574" s="522"/>
    </row>
    <row r="575">
      <c r="A575" s="596"/>
      <c r="B575" s="541"/>
      <c r="D575" s="542"/>
      <c r="E575" s="598"/>
      <c r="H575" s="544"/>
      <c r="I575" s="522"/>
      <c r="J575" s="522"/>
      <c r="K575" s="542"/>
      <c r="L575" s="522"/>
    </row>
    <row r="576">
      <c r="A576" s="596"/>
      <c r="B576" s="541"/>
      <c r="D576" s="542"/>
      <c r="E576" s="598"/>
      <c r="H576" s="544"/>
      <c r="I576" s="522"/>
      <c r="J576" s="522"/>
      <c r="K576" s="542"/>
      <c r="L576" s="522"/>
    </row>
    <row r="577">
      <c r="A577" s="596"/>
      <c r="B577" s="541"/>
      <c r="D577" s="542"/>
      <c r="E577" s="598"/>
      <c r="H577" s="544"/>
      <c r="I577" s="522"/>
      <c r="J577" s="522"/>
      <c r="K577" s="542"/>
      <c r="L577" s="522"/>
    </row>
    <row r="578">
      <c r="A578" s="596"/>
      <c r="B578" s="541"/>
      <c r="D578" s="542"/>
      <c r="E578" s="598"/>
      <c r="H578" s="544"/>
      <c r="I578" s="522"/>
      <c r="J578" s="522"/>
      <c r="K578" s="542"/>
      <c r="L578" s="522"/>
    </row>
    <row r="579">
      <c r="A579" s="596"/>
      <c r="B579" s="541"/>
      <c r="D579" s="542"/>
      <c r="E579" s="598"/>
      <c r="H579" s="544"/>
      <c r="I579" s="522"/>
      <c r="J579" s="522"/>
      <c r="K579" s="542"/>
      <c r="L579" s="522"/>
    </row>
    <row r="580">
      <c r="A580" s="596"/>
      <c r="B580" s="541"/>
      <c r="D580" s="542"/>
      <c r="E580" s="598"/>
      <c r="H580" s="544"/>
      <c r="I580" s="522"/>
      <c r="J580" s="522"/>
      <c r="K580" s="542"/>
      <c r="L580" s="522"/>
    </row>
    <row r="581">
      <c r="A581" s="596"/>
      <c r="B581" s="541"/>
      <c r="D581" s="542"/>
      <c r="E581" s="598"/>
      <c r="H581" s="544"/>
      <c r="I581" s="522"/>
      <c r="J581" s="522"/>
      <c r="K581" s="542"/>
      <c r="L581" s="522"/>
    </row>
    <row r="582">
      <c r="A582" s="596"/>
      <c r="B582" s="541"/>
      <c r="D582" s="542"/>
      <c r="E582" s="598"/>
      <c r="H582" s="544"/>
      <c r="I582" s="522"/>
      <c r="J582" s="522"/>
      <c r="K582" s="542"/>
      <c r="L582" s="522"/>
    </row>
    <row r="583">
      <c r="A583" s="596"/>
      <c r="B583" s="541"/>
      <c r="D583" s="542"/>
      <c r="E583" s="598"/>
      <c r="H583" s="544"/>
      <c r="I583" s="522"/>
      <c r="J583" s="522"/>
      <c r="K583" s="542"/>
      <c r="L583" s="522"/>
    </row>
    <row r="584">
      <c r="A584" s="596"/>
      <c r="B584" s="541"/>
      <c r="D584" s="542"/>
      <c r="E584" s="598"/>
      <c r="H584" s="544"/>
      <c r="I584" s="522"/>
      <c r="J584" s="522"/>
      <c r="K584" s="542"/>
      <c r="L584" s="522"/>
    </row>
    <row r="585">
      <c r="A585" s="596"/>
      <c r="B585" s="541"/>
      <c r="D585" s="542"/>
      <c r="E585" s="598"/>
      <c r="H585" s="544"/>
      <c r="I585" s="522"/>
      <c r="J585" s="522"/>
      <c r="K585" s="542"/>
      <c r="L585" s="522"/>
    </row>
    <row r="586">
      <c r="A586" s="596"/>
      <c r="B586" s="541"/>
      <c r="D586" s="542"/>
      <c r="E586" s="598"/>
      <c r="H586" s="544"/>
      <c r="I586" s="522"/>
      <c r="J586" s="522"/>
      <c r="K586" s="542"/>
      <c r="L586" s="522"/>
    </row>
    <row r="587">
      <c r="A587" s="596"/>
      <c r="B587" s="541"/>
      <c r="D587" s="542"/>
      <c r="E587" s="598"/>
      <c r="H587" s="544"/>
      <c r="I587" s="522"/>
      <c r="J587" s="522"/>
      <c r="K587" s="542"/>
      <c r="L587" s="522"/>
    </row>
    <row r="588">
      <c r="A588" s="596"/>
      <c r="B588" s="541"/>
      <c r="D588" s="542"/>
      <c r="E588" s="598"/>
      <c r="H588" s="544"/>
      <c r="I588" s="522"/>
      <c r="J588" s="522"/>
      <c r="K588" s="542"/>
      <c r="L588" s="522"/>
    </row>
    <row r="589">
      <c r="A589" s="596"/>
      <c r="B589" s="541"/>
      <c r="D589" s="542"/>
      <c r="E589" s="598"/>
      <c r="H589" s="544"/>
      <c r="I589" s="522"/>
      <c r="J589" s="522"/>
      <c r="K589" s="542"/>
      <c r="L589" s="522"/>
    </row>
    <row r="590">
      <c r="A590" s="596"/>
      <c r="B590" s="541"/>
      <c r="D590" s="542"/>
      <c r="E590" s="598"/>
      <c r="H590" s="544"/>
      <c r="I590" s="522"/>
      <c r="J590" s="522"/>
      <c r="K590" s="542"/>
      <c r="L590" s="522"/>
    </row>
    <row r="591">
      <c r="A591" s="596"/>
      <c r="B591" s="541"/>
      <c r="D591" s="542"/>
      <c r="E591" s="598"/>
      <c r="H591" s="544"/>
      <c r="I591" s="522"/>
      <c r="J591" s="522"/>
      <c r="K591" s="542"/>
      <c r="L591" s="522"/>
    </row>
    <row r="592">
      <c r="A592" s="596"/>
      <c r="B592" s="541"/>
      <c r="D592" s="542"/>
      <c r="E592" s="598"/>
      <c r="H592" s="544"/>
      <c r="I592" s="522"/>
      <c r="J592" s="522"/>
      <c r="K592" s="542"/>
      <c r="L592" s="522"/>
    </row>
    <row r="593">
      <c r="A593" s="596"/>
      <c r="B593" s="541"/>
      <c r="D593" s="542"/>
      <c r="E593" s="598"/>
      <c r="H593" s="544"/>
      <c r="I593" s="522"/>
      <c r="J593" s="522"/>
      <c r="K593" s="542"/>
      <c r="L593" s="522"/>
    </row>
    <row r="594">
      <c r="A594" s="596"/>
      <c r="B594" s="541"/>
      <c r="D594" s="542"/>
      <c r="E594" s="598"/>
      <c r="H594" s="544"/>
      <c r="I594" s="522"/>
      <c r="J594" s="522"/>
      <c r="K594" s="542"/>
      <c r="L594" s="522"/>
    </row>
    <row r="595">
      <c r="A595" s="596"/>
      <c r="B595" s="541"/>
      <c r="D595" s="542"/>
      <c r="E595" s="598"/>
      <c r="H595" s="544"/>
      <c r="I595" s="522"/>
      <c r="J595" s="522"/>
      <c r="K595" s="542"/>
      <c r="L595" s="522"/>
    </row>
    <row r="596">
      <c r="A596" s="596"/>
      <c r="B596" s="541"/>
      <c r="D596" s="542"/>
      <c r="E596" s="598"/>
      <c r="H596" s="544"/>
      <c r="I596" s="522"/>
      <c r="J596" s="522"/>
      <c r="K596" s="542"/>
      <c r="L596" s="522"/>
    </row>
    <row r="597">
      <c r="A597" s="596"/>
      <c r="B597" s="541"/>
      <c r="D597" s="542"/>
      <c r="E597" s="598"/>
      <c r="H597" s="544"/>
      <c r="I597" s="522"/>
      <c r="J597" s="522"/>
      <c r="K597" s="542"/>
      <c r="L597" s="522"/>
    </row>
    <row r="598">
      <c r="A598" s="596"/>
      <c r="B598" s="541"/>
      <c r="D598" s="542"/>
      <c r="E598" s="598"/>
      <c r="H598" s="544"/>
      <c r="I598" s="522"/>
      <c r="J598" s="522"/>
      <c r="K598" s="542"/>
      <c r="L598" s="522"/>
    </row>
    <row r="599">
      <c r="A599" s="596"/>
      <c r="B599" s="541"/>
      <c r="D599" s="542"/>
      <c r="E599" s="598"/>
      <c r="H599" s="544"/>
      <c r="I599" s="522"/>
      <c r="J599" s="522"/>
      <c r="K599" s="542"/>
      <c r="L599" s="522"/>
    </row>
    <row r="600">
      <c r="A600" s="596"/>
      <c r="B600" s="541"/>
      <c r="D600" s="542"/>
      <c r="E600" s="598"/>
      <c r="H600" s="544"/>
      <c r="I600" s="522"/>
      <c r="J600" s="522"/>
      <c r="K600" s="542"/>
      <c r="L600" s="522"/>
    </row>
    <row r="601">
      <c r="A601" s="596"/>
      <c r="B601" s="541"/>
      <c r="D601" s="542"/>
      <c r="E601" s="598"/>
      <c r="H601" s="544"/>
      <c r="I601" s="522"/>
      <c r="J601" s="522"/>
      <c r="K601" s="542"/>
      <c r="L601" s="522"/>
    </row>
    <row r="602">
      <c r="A602" s="596"/>
      <c r="B602" s="541"/>
      <c r="D602" s="542"/>
      <c r="E602" s="598"/>
      <c r="H602" s="544"/>
      <c r="I602" s="522"/>
      <c r="J602" s="522"/>
      <c r="K602" s="542"/>
      <c r="L602" s="522"/>
    </row>
    <row r="603">
      <c r="A603" s="596"/>
      <c r="B603" s="541"/>
      <c r="D603" s="542"/>
      <c r="E603" s="598"/>
      <c r="H603" s="544"/>
      <c r="I603" s="522"/>
      <c r="J603" s="522"/>
      <c r="K603" s="542"/>
      <c r="L603" s="522"/>
    </row>
    <row r="604">
      <c r="A604" s="596"/>
      <c r="B604" s="541"/>
      <c r="D604" s="542"/>
      <c r="E604" s="598"/>
      <c r="H604" s="544"/>
      <c r="I604" s="522"/>
      <c r="J604" s="522"/>
      <c r="K604" s="542"/>
      <c r="L604" s="522"/>
    </row>
    <row r="605">
      <c r="A605" s="596"/>
      <c r="B605" s="541"/>
      <c r="D605" s="542"/>
      <c r="E605" s="598"/>
      <c r="H605" s="544"/>
      <c r="I605" s="522"/>
      <c r="J605" s="522"/>
      <c r="K605" s="542"/>
      <c r="L605" s="522"/>
    </row>
    <row r="606">
      <c r="A606" s="596"/>
      <c r="B606" s="541"/>
      <c r="D606" s="542"/>
      <c r="E606" s="598"/>
      <c r="H606" s="544"/>
      <c r="I606" s="522"/>
      <c r="J606" s="522"/>
      <c r="K606" s="542"/>
      <c r="L606" s="522"/>
    </row>
    <row r="607">
      <c r="A607" s="596"/>
      <c r="B607" s="541"/>
      <c r="D607" s="542"/>
      <c r="E607" s="598"/>
      <c r="H607" s="544"/>
      <c r="I607" s="522"/>
      <c r="J607" s="522"/>
      <c r="K607" s="542"/>
      <c r="L607" s="522"/>
    </row>
    <row r="608">
      <c r="A608" s="596"/>
      <c r="B608" s="541"/>
      <c r="D608" s="542"/>
      <c r="E608" s="598"/>
      <c r="H608" s="544"/>
      <c r="I608" s="522"/>
      <c r="J608" s="522"/>
      <c r="K608" s="542"/>
      <c r="L608" s="522"/>
    </row>
    <row r="609">
      <c r="A609" s="596"/>
      <c r="B609" s="541"/>
      <c r="D609" s="542"/>
      <c r="E609" s="598"/>
      <c r="H609" s="544"/>
      <c r="I609" s="522"/>
      <c r="J609" s="522"/>
      <c r="K609" s="542"/>
      <c r="L609" s="522"/>
    </row>
    <row r="610">
      <c r="A610" s="596"/>
      <c r="B610" s="541"/>
      <c r="D610" s="542"/>
      <c r="E610" s="598"/>
      <c r="H610" s="544"/>
      <c r="I610" s="522"/>
      <c r="J610" s="522"/>
      <c r="K610" s="542"/>
      <c r="L610" s="522"/>
    </row>
    <row r="611">
      <c r="A611" s="596"/>
      <c r="B611" s="541"/>
      <c r="D611" s="542"/>
      <c r="E611" s="598"/>
      <c r="H611" s="544"/>
      <c r="I611" s="522"/>
      <c r="J611" s="522"/>
      <c r="K611" s="542"/>
      <c r="L611" s="522"/>
    </row>
    <row r="612">
      <c r="A612" s="596"/>
      <c r="B612" s="541"/>
      <c r="D612" s="542"/>
      <c r="E612" s="598"/>
      <c r="H612" s="544"/>
      <c r="I612" s="522"/>
      <c r="J612" s="522"/>
      <c r="K612" s="542"/>
      <c r="L612" s="522"/>
    </row>
    <row r="613">
      <c r="A613" s="596"/>
      <c r="B613" s="541"/>
      <c r="D613" s="542"/>
      <c r="E613" s="598"/>
      <c r="H613" s="544"/>
      <c r="I613" s="522"/>
      <c r="J613" s="522"/>
      <c r="K613" s="542"/>
      <c r="L613" s="522"/>
    </row>
    <row r="614">
      <c r="A614" s="596"/>
      <c r="B614" s="541"/>
      <c r="D614" s="542"/>
      <c r="E614" s="598"/>
      <c r="H614" s="544"/>
      <c r="I614" s="522"/>
      <c r="J614" s="522"/>
      <c r="K614" s="542"/>
      <c r="L614" s="522"/>
    </row>
    <row r="615">
      <c r="A615" s="596"/>
      <c r="B615" s="541"/>
      <c r="D615" s="542"/>
      <c r="E615" s="598"/>
      <c r="H615" s="544"/>
      <c r="I615" s="522"/>
      <c r="J615" s="522"/>
      <c r="K615" s="542"/>
      <c r="L615" s="522"/>
    </row>
    <row r="616">
      <c r="A616" s="596"/>
      <c r="B616" s="541"/>
      <c r="D616" s="542"/>
      <c r="E616" s="598"/>
      <c r="H616" s="544"/>
      <c r="I616" s="522"/>
      <c r="J616" s="522"/>
      <c r="K616" s="542"/>
      <c r="L616" s="522"/>
    </row>
    <row r="617">
      <c r="A617" s="596"/>
      <c r="B617" s="541"/>
      <c r="D617" s="542"/>
      <c r="E617" s="598"/>
      <c r="H617" s="544"/>
      <c r="I617" s="522"/>
      <c r="J617" s="522"/>
      <c r="K617" s="542"/>
      <c r="L617" s="522"/>
    </row>
    <row r="618">
      <c r="A618" s="596"/>
      <c r="B618" s="541"/>
      <c r="D618" s="542"/>
      <c r="E618" s="598"/>
      <c r="H618" s="544"/>
      <c r="I618" s="522"/>
      <c r="J618" s="522"/>
      <c r="K618" s="542"/>
      <c r="L618" s="522"/>
    </row>
    <row r="619">
      <c r="A619" s="596"/>
      <c r="B619" s="541"/>
      <c r="D619" s="542"/>
      <c r="E619" s="598"/>
      <c r="H619" s="544"/>
      <c r="I619" s="522"/>
      <c r="J619" s="522"/>
      <c r="K619" s="542"/>
      <c r="L619" s="522"/>
    </row>
    <row r="620">
      <c r="A620" s="596"/>
      <c r="B620" s="541"/>
      <c r="D620" s="542"/>
      <c r="E620" s="598"/>
      <c r="H620" s="544"/>
      <c r="I620" s="522"/>
      <c r="J620" s="522"/>
      <c r="K620" s="542"/>
      <c r="L620" s="522"/>
    </row>
    <row r="621">
      <c r="A621" s="596"/>
      <c r="B621" s="541"/>
      <c r="D621" s="542"/>
      <c r="E621" s="598"/>
      <c r="H621" s="544"/>
      <c r="I621" s="522"/>
      <c r="J621" s="522"/>
      <c r="K621" s="542"/>
      <c r="L621" s="522"/>
    </row>
    <row r="622">
      <c r="A622" s="596"/>
      <c r="B622" s="541"/>
      <c r="D622" s="542"/>
      <c r="E622" s="598"/>
      <c r="H622" s="544"/>
      <c r="I622" s="522"/>
      <c r="J622" s="522"/>
      <c r="K622" s="542"/>
      <c r="L622" s="522"/>
    </row>
    <row r="623">
      <c r="A623" s="596"/>
      <c r="B623" s="541"/>
      <c r="D623" s="542"/>
      <c r="E623" s="598"/>
      <c r="H623" s="544"/>
      <c r="I623" s="522"/>
      <c r="J623" s="522"/>
      <c r="K623" s="542"/>
      <c r="L623" s="522"/>
    </row>
    <row r="624">
      <c r="A624" s="596"/>
      <c r="B624" s="541"/>
      <c r="D624" s="542"/>
      <c r="E624" s="598"/>
      <c r="H624" s="544"/>
      <c r="I624" s="522"/>
      <c r="J624" s="522"/>
      <c r="K624" s="542"/>
      <c r="L624" s="522"/>
    </row>
    <row r="625">
      <c r="A625" s="596"/>
      <c r="B625" s="541"/>
      <c r="D625" s="542"/>
      <c r="E625" s="598"/>
      <c r="H625" s="544"/>
      <c r="I625" s="522"/>
      <c r="J625" s="522"/>
      <c r="K625" s="542"/>
      <c r="L625" s="522"/>
    </row>
    <row r="626">
      <c r="A626" s="596"/>
      <c r="B626" s="541"/>
      <c r="D626" s="542"/>
      <c r="E626" s="598"/>
      <c r="H626" s="544"/>
      <c r="I626" s="522"/>
      <c r="J626" s="522"/>
      <c r="K626" s="542"/>
      <c r="L626" s="522"/>
    </row>
    <row r="627">
      <c r="A627" s="596"/>
      <c r="B627" s="541"/>
      <c r="D627" s="542"/>
      <c r="E627" s="598"/>
      <c r="H627" s="544"/>
      <c r="I627" s="522"/>
      <c r="J627" s="522"/>
      <c r="K627" s="542"/>
      <c r="L627" s="522"/>
    </row>
    <row r="628">
      <c r="A628" s="596"/>
      <c r="B628" s="541"/>
      <c r="D628" s="542"/>
      <c r="E628" s="598"/>
      <c r="H628" s="544"/>
      <c r="I628" s="522"/>
      <c r="J628" s="522"/>
      <c r="K628" s="542"/>
      <c r="L628" s="522"/>
    </row>
    <row r="629">
      <c r="A629" s="596"/>
      <c r="B629" s="541"/>
      <c r="D629" s="542"/>
      <c r="E629" s="598"/>
      <c r="H629" s="544"/>
      <c r="I629" s="522"/>
      <c r="J629" s="522"/>
      <c r="K629" s="542"/>
      <c r="L629" s="522"/>
    </row>
    <row r="630">
      <c r="A630" s="596"/>
      <c r="B630" s="541"/>
      <c r="D630" s="542"/>
      <c r="E630" s="598"/>
      <c r="H630" s="544"/>
      <c r="I630" s="522"/>
      <c r="J630" s="522"/>
      <c r="K630" s="542"/>
      <c r="L630" s="522"/>
    </row>
    <row r="631">
      <c r="A631" s="596"/>
      <c r="B631" s="541"/>
      <c r="D631" s="542"/>
      <c r="E631" s="598"/>
      <c r="H631" s="544"/>
      <c r="I631" s="522"/>
      <c r="J631" s="522"/>
      <c r="K631" s="542"/>
      <c r="L631" s="522"/>
    </row>
    <row r="632">
      <c r="A632" s="596"/>
      <c r="B632" s="541"/>
      <c r="D632" s="542"/>
      <c r="E632" s="598"/>
      <c r="H632" s="544"/>
      <c r="I632" s="522"/>
      <c r="J632" s="522"/>
      <c r="K632" s="542"/>
      <c r="L632" s="522"/>
    </row>
    <row r="633">
      <c r="A633" s="596"/>
      <c r="B633" s="541"/>
      <c r="D633" s="542"/>
      <c r="E633" s="598"/>
      <c r="H633" s="544"/>
      <c r="I633" s="522"/>
      <c r="J633" s="522"/>
      <c r="K633" s="542"/>
      <c r="L633" s="522"/>
    </row>
    <row r="634">
      <c r="A634" s="596"/>
      <c r="B634" s="541"/>
      <c r="D634" s="542"/>
      <c r="E634" s="598"/>
      <c r="H634" s="544"/>
      <c r="I634" s="522"/>
      <c r="J634" s="522"/>
      <c r="K634" s="542"/>
      <c r="L634" s="522"/>
    </row>
    <row r="635">
      <c r="A635" s="596"/>
      <c r="B635" s="541"/>
      <c r="D635" s="542"/>
      <c r="E635" s="598"/>
      <c r="H635" s="544"/>
      <c r="I635" s="522"/>
      <c r="J635" s="522"/>
      <c r="K635" s="542"/>
      <c r="L635" s="522"/>
    </row>
    <row r="636">
      <c r="A636" s="596"/>
      <c r="B636" s="541"/>
      <c r="D636" s="542"/>
      <c r="E636" s="598"/>
      <c r="H636" s="544"/>
      <c r="I636" s="522"/>
      <c r="J636" s="522"/>
      <c r="K636" s="542"/>
      <c r="L636" s="522"/>
    </row>
    <row r="637">
      <c r="A637" s="596"/>
      <c r="B637" s="541"/>
      <c r="D637" s="542"/>
      <c r="E637" s="598"/>
      <c r="H637" s="544"/>
      <c r="I637" s="522"/>
      <c r="J637" s="522"/>
      <c r="K637" s="542"/>
      <c r="L637" s="522"/>
    </row>
    <row r="638">
      <c r="A638" s="596"/>
      <c r="B638" s="541"/>
      <c r="D638" s="542"/>
      <c r="E638" s="598"/>
      <c r="H638" s="544"/>
      <c r="I638" s="522"/>
      <c r="J638" s="522"/>
      <c r="K638" s="542"/>
      <c r="L638" s="522"/>
    </row>
    <row r="639">
      <c r="A639" s="596"/>
      <c r="B639" s="541"/>
      <c r="D639" s="542"/>
      <c r="E639" s="598"/>
      <c r="H639" s="544"/>
      <c r="I639" s="522"/>
      <c r="J639" s="522"/>
      <c r="K639" s="542"/>
      <c r="L639" s="522"/>
    </row>
    <row r="640">
      <c r="A640" s="596"/>
      <c r="B640" s="541"/>
      <c r="D640" s="542"/>
      <c r="E640" s="598"/>
      <c r="H640" s="544"/>
      <c r="I640" s="522"/>
      <c r="J640" s="522"/>
      <c r="K640" s="542"/>
      <c r="L640" s="522"/>
    </row>
    <row r="641">
      <c r="A641" s="596"/>
      <c r="B641" s="541"/>
      <c r="D641" s="542"/>
      <c r="E641" s="598"/>
      <c r="H641" s="544"/>
      <c r="I641" s="522"/>
      <c r="J641" s="522"/>
      <c r="K641" s="542"/>
      <c r="L641" s="522"/>
    </row>
    <row r="642">
      <c r="A642" s="596"/>
      <c r="B642" s="541"/>
      <c r="D642" s="542"/>
      <c r="E642" s="598"/>
      <c r="H642" s="544"/>
      <c r="I642" s="522"/>
      <c r="J642" s="522"/>
      <c r="K642" s="542"/>
      <c r="L642" s="522"/>
    </row>
    <row r="643">
      <c r="A643" s="596"/>
      <c r="B643" s="541"/>
      <c r="D643" s="542"/>
      <c r="E643" s="598"/>
      <c r="H643" s="544"/>
      <c r="I643" s="522"/>
      <c r="J643" s="522"/>
      <c r="K643" s="542"/>
      <c r="L643" s="522"/>
    </row>
    <row r="644">
      <c r="A644" s="596"/>
      <c r="B644" s="541"/>
      <c r="D644" s="542"/>
      <c r="E644" s="598"/>
      <c r="H644" s="544"/>
      <c r="I644" s="522"/>
      <c r="J644" s="522"/>
      <c r="K644" s="542"/>
      <c r="L644" s="522"/>
    </row>
    <row r="645">
      <c r="A645" s="596"/>
      <c r="B645" s="541"/>
      <c r="D645" s="542"/>
      <c r="E645" s="598"/>
      <c r="H645" s="544"/>
      <c r="I645" s="522"/>
      <c r="J645" s="522"/>
      <c r="K645" s="542"/>
      <c r="L645" s="522"/>
    </row>
    <row r="646">
      <c r="A646" s="596"/>
      <c r="B646" s="541"/>
      <c r="D646" s="542"/>
      <c r="E646" s="598"/>
      <c r="H646" s="544"/>
      <c r="I646" s="522"/>
      <c r="J646" s="522"/>
      <c r="K646" s="542"/>
      <c r="L646" s="522"/>
    </row>
    <row r="647">
      <c r="A647" s="596"/>
      <c r="B647" s="541"/>
      <c r="D647" s="542"/>
      <c r="E647" s="598"/>
      <c r="H647" s="544"/>
      <c r="I647" s="522"/>
      <c r="J647" s="522"/>
      <c r="K647" s="542"/>
      <c r="L647" s="522"/>
    </row>
    <row r="648">
      <c r="A648" s="596"/>
      <c r="B648" s="541"/>
      <c r="D648" s="542"/>
      <c r="E648" s="598"/>
      <c r="H648" s="544"/>
      <c r="I648" s="522"/>
      <c r="J648" s="522"/>
      <c r="K648" s="542"/>
      <c r="L648" s="522"/>
    </row>
    <row r="649">
      <c r="A649" s="596"/>
      <c r="B649" s="541"/>
      <c r="D649" s="542"/>
      <c r="E649" s="598"/>
      <c r="H649" s="544"/>
      <c r="I649" s="522"/>
      <c r="J649" s="522"/>
      <c r="K649" s="542"/>
      <c r="L649" s="522"/>
    </row>
    <row r="650">
      <c r="A650" s="596"/>
      <c r="B650" s="541"/>
      <c r="D650" s="542"/>
      <c r="E650" s="598"/>
      <c r="H650" s="544"/>
      <c r="I650" s="522"/>
      <c r="J650" s="522"/>
      <c r="K650" s="542"/>
      <c r="L650" s="522"/>
    </row>
    <row r="651">
      <c r="A651" s="596"/>
      <c r="B651" s="541"/>
      <c r="D651" s="542"/>
      <c r="E651" s="598"/>
      <c r="H651" s="544"/>
      <c r="I651" s="522"/>
      <c r="J651" s="522"/>
      <c r="K651" s="542"/>
      <c r="L651" s="522"/>
    </row>
    <row r="652">
      <c r="A652" s="596"/>
      <c r="B652" s="541"/>
      <c r="D652" s="542"/>
      <c r="E652" s="598"/>
      <c r="H652" s="544"/>
      <c r="I652" s="522"/>
      <c r="J652" s="522"/>
      <c r="K652" s="542"/>
      <c r="L652" s="522"/>
    </row>
    <row r="653">
      <c r="A653" s="596"/>
      <c r="B653" s="541"/>
      <c r="D653" s="542"/>
      <c r="E653" s="598"/>
      <c r="H653" s="544"/>
      <c r="I653" s="522"/>
      <c r="J653" s="522"/>
      <c r="K653" s="542"/>
      <c r="L653" s="522"/>
    </row>
    <row r="654">
      <c r="A654" s="596"/>
      <c r="B654" s="541"/>
      <c r="D654" s="542"/>
      <c r="E654" s="598"/>
      <c r="H654" s="544"/>
      <c r="I654" s="522"/>
      <c r="J654" s="522"/>
      <c r="K654" s="542"/>
      <c r="L654" s="522"/>
    </row>
    <row r="655">
      <c r="A655" s="596"/>
      <c r="B655" s="541"/>
      <c r="D655" s="542"/>
      <c r="E655" s="598"/>
      <c r="H655" s="544"/>
      <c r="I655" s="522"/>
      <c r="J655" s="522"/>
      <c r="K655" s="542"/>
      <c r="L655" s="522"/>
    </row>
    <row r="656">
      <c r="A656" s="596"/>
      <c r="B656" s="541"/>
      <c r="D656" s="542"/>
      <c r="E656" s="598"/>
      <c r="H656" s="544"/>
      <c r="I656" s="522"/>
      <c r="J656" s="522"/>
      <c r="K656" s="542"/>
      <c r="L656" s="522"/>
    </row>
    <row r="657">
      <c r="A657" s="596"/>
      <c r="B657" s="541"/>
      <c r="D657" s="542"/>
      <c r="E657" s="598"/>
      <c r="H657" s="544"/>
      <c r="I657" s="522"/>
      <c r="J657" s="522"/>
      <c r="K657" s="542"/>
      <c r="L657" s="522"/>
    </row>
    <row r="658">
      <c r="A658" s="596"/>
      <c r="B658" s="541"/>
      <c r="D658" s="542"/>
      <c r="E658" s="598"/>
      <c r="H658" s="544"/>
      <c r="I658" s="522"/>
      <c r="J658" s="522"/>
      <c r="K658" s="542"/>
      <c r="L658" s="522"/>
    </row>
    <row r="659">
      <c r="A659" s="596"/>
      <c r="B659" s="541"/>
      <c r="D659" s="542"/>
      <c r="E659" s="598"/>
      <c r="H659" s="544"/>
      <c r="I659" s="522"/>
      <c r="J659" s="522"/>
      <c r="K659" s="542"/>
      <c r="L659" s="522"/>
    </row>
    <row r="660">
      <c r="A660" s="596"/>
      <c r="B660" s="541"/>
      <c r="D660" s="542"/>
      <c r="E660" s="598"/>
      <c r="H660" s="544"/>
      <c r="I660" s="522"/>
      <c r="J660" s="522"/>
      <c r="K660" s="542"/>
      <c r="L660" s="522"/>
    </row>
    <row r="661">
      <c r="A661" s="596"/>
      <c r="B661" s="541"/>
      <c r="D661" s="542"/>
      <c r="E661" s="598"/>
      <c r="H661" s="544"/>
      <c r="I661" s="522"/>
      <c r="J661" s="522"/>
      <c r="K661" s="542"/>
      <c r="L661" s="522"/>
    </row>
    <row r="662">
      <c r="A662" s="596"/>
      <c r="B662" s="541"/>
      <c r="D662" s="542"/>
      <c r="E662" s="598"/>
      <c r="H662" s="544"/>
      <c r="I662" s="522"/>
      <c r="J662" s="522"/>
      <c r="K662" s="542"/>
      <c r="L662" s="522"/>
    </row>
    <row r="663">
      <c r="A663" s="596"/>
      <c r="B663" s="541"/>
      <c r="D663" s="542"/>
      <c r="E663" s="598"/>
      <c r="H663" s="544"/>
      <c r="I663" s="522"/>
      <c r="J663" s="522"/>
      <c r="K663" s="542"/>
      <c r="L663" s="522"/>
    </row>
    <row r="664">
      <c r="A664" s="596"/>
      <c r="B664" s="541"/>
      <c r="D664" s="542"/>
      <c r="E664" s="598"/>
      <c r="H664" s="544"/>
      <c r="I664" s="522"/>
      <c r="J664" s="522"/>
      <c r="K664" s="542"/>
      <c r="L664" s="522"/>
    </row>
    <row r="665">
      <c r="A665" s="596"/>
      <c r="B665" s="541"/>
      <c r="D665" s="542"/>
      <c r="E665" s="598"/>
      <c r="H665" s="544"/>
      <c r="I665" s="522"/>
      <c r="J665" s="522"/>
      <c r="K665" s="542"/>
      <c r="L665" s="522"/>
    </row>
    <row r="666">
      <c r="A666" s="596"/>
      <c r="B666" s="541"/>
      <c r="D666" s="542"/>
      <c r="E666" s="598"/>
      <c r="H666" s="544"/>
      <c r="I666" s="522"/>
      <c r="J666" s="522"/>
      <c r="K666" s="542"/>
      <c r="L666" s="522"/>
    </row>
    <row r="667">
      <c r="A667" s="596"/>
      <c r="B667" s="541"/>
      <c r="D667" s="542"/>
      <c r="E667" s="598"/>
      <c r="H667" s="544"/>
      <c r="I667" s="522"/>
      <c r="J667" s="522"/>
      <c r="K667" s="542"/>
      <c r="L667" s="522"/>
    </row>
    <row r="668">
      <c r="A668" s="596"/>
      <c r="B668" s="541"/>
      <c r="D668" s="542"/>
      <c r="E668" s="598"/>
      <c r="H668" s="544"/>
      <c r="I668" s="522"/>
      <c r="J668" s="522"/>
      <c r="K668" s="542"/>
      <c r="L668" s="522"/>
    </row>
    <row r="669">
      <c r="A669" s="596"/>
      <c r="B669" s="541"/>
      <c r="D669" s="542"/>
      <c r="E669" s="598"/>
      <c r="H669" s="544"/>
      <c r="I669" s="522"/>
      <c r="J669" s="522"/>
      <c r="K669" s="542"/>
      <c r="L669" s="522"/>
    </row>
    <row r="670">
      <c r="A670" s="596"/>
      <c r="B670" s="541"/>
      <c r="D670" s="542"/>
      <c r="E670" s="598"/>
      <c r="H670" s="544"/>
      <c r="I670" s="522"/>
      <c r="J670" s="522"/>
      <c r="K670" s="542"/>
      <c r="L670" s="522"/>
    </row>
    <row r="671">
      <c r="A671" s="596"/>
      <c r="B671" s="541"/>
      <c r="D671" s="542"/>
      <c r="E671" s="598"/>
      <c r="H671" s="544"/>
      <c r="I671" s="522"/>
      <c r="J671" s="522"/>
      <c r="K671" s="542"/>
      <c r="L671" s="522"/>
    </row>
    <row r="672">
      <c r="A672" s="596"/>
      <c r="B672" s="541"/>
      <c r="D672" s="542"/>
      <c r="E672" s="598"/>
      <c r="H672" s="544"/>
      <c r="I672" s="522"/>
      <c r="J672" s="522"/>
      <c r="K672" s="542"/>
      <c r="L672" s="522"/>
    </row>
    <row r="673">
      <c r="A673" s="596"/>
      <c r="B673" s="541"/>
      <c r="D673" s="542"/>
      <c r="E673" s="598"/>
      <c r="H673" s="544"/>
      <c r="I673" s="522"/>
      <c r="J673" s="522"/>
      <c r="K673" s="542"/>
      <c r="L673" s="522"/>
    </row>
    <row r="674">
      <c r="A674" s="596"/>
      <c r="B674" s="541"/>
      <c r="D674" s="542"/>
      <c r="E674" s="598"/>
      <c r="H674" s="544"/>
      <c r="I674" s="522"/>
      <c r="J674" s="522"/>
      <c r="K674" s="542"/>
      <c r="L674" s="522"/>
    </row>
    <row r="675">
      <c r="A675" s="596"/>
      <c r="B675" s="541"/>
      <c r="D675" s="542"/>
      <c r="E675" s="598"/>
      <c r="H675" s="544"/>
      <c r="I675" s="522"/>
      <c r="J675" s="522"/>
      <c r="K675" s="542"/>
      <c r="L675" s="522"/>
    </row>
    <row r="676">
      <c r="A676" s="596"/>
      <c r="B676" s="541"/>
      <c r="D676" s="542"/>
      <c r="E676" s="598"/>
      <c r="H676" s="544"/>
      <c r="I676" s="522"/>
      <c r="J676" s="522"/>
      <c r="K676" s="542"/>
      <c r="L676" s="522"/>
    </row>
    <row r="677">
      <c r="A677" s="596"/>
      <c r="B677" s="541"/>
      <c r="D677" s="542"/>
      <c r="E677" s="598"/>
      <c r="H677" s="544"/>
      <c r="I677" s="522"/>
      <c r="J677" s="522"/>
      <c r="K677" s="542"/>
      <c r="L677" s="522"/>
    </row>
    <row r="678">
      <c r="A678" s="596"/>
      <c r="B678" s="541"/>
      <c r="D678" s="542"/>
      <c r="E678" s="598"/>
      <c r="H678" s="544"/>
      <c r="I678" s="522"/>
      <c r="J678" s="522"/>
      <c r="K678" s="542"/>
      <c r="L678" s="522"/>
    </row>
    <row r="679">
      <c r="A679" s="596"/>
      <c r="B679" s="541"/>
      <c r="D679" s="542"/>
      <c r="E679" s="598"/>
      <c r="H679" s="544"/>
      <c r="I679" s="522"/>
      <c r="J679" s="522"/>
      <c r="K679" s="542"/>
      <c r="L679" s="522"/>
    </row>
    <row r="680">
      <c r="A680" s="596"/>
      <c r="B680" s="541"/>
      <c r="D680" s="542"/>
      <c r="E680" s="598"/>
      <c r="H680" s="544"/>
      <c r="I680" s="522"/>
      <c r="J680" s="522"/>
      <c r="K680" s="542"/>
      <c r="L680" s="522"/>
    </row>
    <row r="681">
      <c r="A681" s="596"/>
      <c r="B681" s="541"/>
      <c r="D681" s="542"/>
      <c r="E681" s="598"/>
      <c r="H681" s="544"/>
    </row>
    <row r="682">
      <c r="A682" s="596"/>
      <c r="B682" s="541"/>
      <c r="D682" s="542"/>
      <c r="E682" s="598"/>
      <c r="H682" s="544"/>
    </row>
    <row r="683">
      <c r="A683" s="596"/>
      <c r="B683" s="541"/>
      <c r="D683" s="542"/>
      <c r="E683" s="598"/>
      <c r="H683" s="544"/>
    </row>
    <row r="684">
      <c r="A684" s="596"/>
      <c r="B684" s="541"/>
      <c r="D684" s="542"/>
      <c r="E684" s="598"/>
      <c r="H684" s="544"/>
    </row>
    <row r="685">
      <c r="A685" s="596"/>
      <c r="B685" s="541"/>
      <c r="D685" s="542"/>
      <c r="E685" s="598"/>
      <c r="H685" s="544"/>
    </row>
    <row r="686">
      <c r="A686" s="596"/>
      <c r="B686" s="541"/>
      <c r="D686" s="542"/>
      <c r="E686" s="598"/>
      <c r="H686" s="544"/>
    </row>
    <row r="687">
      <c r="A687" s="596"/>
      <c r="B687" s="541"/>
      <c r="D687" s="542"/>
      <c r="E687" s="598"/>
      <c r="H687" s="544"/>
    </row>
    <row r="688">
      <c r="A688" s="596"/>
      <c r="B688" s="541"/>
      <c r="D688" s="542"/>
      <c r="E688" s="598"/>
      <c r="H688" s="544"/>
    </row>
    <row r="689">
      <c r="A689" s="596"/>
      <c r="B689" s="541"/>
      <c r="D689" s="542"/>
      <c r="E689" s="598"/>
      <c r="H689" s="544"/>
    </row>
    <row r="690">
      <c r="A690" s="596"/>
      <c r="B690" s="541"/>
      <c r="D690" s="542"/>
      <c r="E690" s="598"/>
      <c r="H690" s="544"/>
    </row>
    <row r="691">
      <c r="A691" s="596"/>
      <c r="B691" s="541"/>
      <c r="D691" s="542"/>
      <c r="E691" s="598"/>
      <c r="H691" s="544"/>
    </row>
    <row r="692">
      <c r="A692" s="596"/>
      <c r="B692" s="541"/>
      <c r="D692" s="542"/>
      <c r="E692" s="598"/>
      <c r="H692" s="544"/>
    </row>
    <row r="693">
      <c r="A693" s="596"/>
      <c r="B693" s="541"/>
      <c r="D693" s="542"/>
      <c r="E693" s="598"/>
      <c r="H693" s="544"/>
    </row>
    <row r="694">
      <c r="A694" s="596"/>
      <c r="B694" s="541"/>
      <c r="D694" s="542"/>
      <c r="E694" s="598"/>
      <c r="H694" s="544"/>
    </row>
    <row r="695">
      <c r="A695" s="596"/>
      <c r="B695" s="541"/>
      <c r="D695" s="542"/>
      <c r="E695" s="598"/>
      <c r="H695" s="544"/>
    </row>
    <row r="696">
      <c r="A696" s="596"/>
      <c r="B696" s="541"/>
      <c r="D696" s="542"/>
      <c r="E696" s="598"/>
      <c r="H696" s="544"/>
    </row>
    <row r="697">
      <c r="A697" s="596"/>
      <c r="B697" s="541"/>
      <c r="D697" s="542"/>
      <c r="E697" s="598"/>
      <c r="H697" s="544"/>
    </row>
    <row r="698">
      <c r="A698" s="596"/>
      <c r="B698" s="541"/>
      <c r="D698" s="542"/>
      <c r="E698" s="598"/>
      <c r="H698" s="544"/>
    </row>
    <row r="699">
      <c r="A699" s="596"/>
      <c r="B699" s="541"/>
      <c r="D699" s="542"/>
      <c r="E699" s="598"/>
      <c r="H699" s="544"/>
    </row>
    <row r="700">
      <c r="A700" s="596"/>
      <c r="B700" s="541"/>
      <c r="D700" s="542"/>
      <c r="E700" s="598"/>
      <c r="H700" s="544"/>
    </row>
    <row r="701">
      <c r="A701" s="596"/>
      <c r="B701" s="541"/>
      <c r="D701" s="542"/>
      <c r="E701" s="598"/>
      <c r="H701" s="544"/>
    </row>
    <row r="702">
      <c r="A702" s="596"/>
      <c r="B702" s="541"/>
      <c r="D702" s="542"/>
      <c r="E702" s="598"/>
      <c r="H702" s="544"/>
    </row>
    <row r="703">
      <c r="A703" s="596"/>
      <c r="B703" s="541"/>
      <c r="D703" s="542"/>
      <c r="E703" s="598"/>
      <c r="H703" s="544"/>
    </row>
    <row r="704">
      <c r="A704" s="596"/>
      <c r="B704" s="541"/>
      <c r="D704" s="542"/>
      <c r="E704" s="598"/>
      <c r="H704" s="544"/>
    </row>
    <row r="705">
      <c r="A705" s="596"/>
      <c r="B705" s="541"/>
      <c r="D705" s="542"/>
      <c r="E705" s="598"/>
      <c r="H705" s="544"/>
    </row>
    <row r="706">
      <c r="A706" s="596"/>
      <c r="B706" s="541"/>
      <c r="D706" s="542"/>
      <c r="E706" s="598"/>
      <c r="H706" s="544"/>
    </row>
    <row r="707">
      <c r="A707" s="596"/>
      <c r="B707" s="541"/>
      <c r="D707" s="542"/>
      <c r="E707" s="598"/>
      <c r="H707" s="544"/>
    </row>
    <row r="708">
      <c r="A708" s="596"/>
      <c r="B708" s="541"/>
      <c r="D708" s="542"/>
      <c r="E708" s="598"/>
      <c r="H708" s="544"/>
    </row>
    <row r="709">
      <c r="A709" s="596"/>
      <c r="B709" s="541"/>
      <c r="D709" s="542"/>
      <c r="E709" s="598"/>
      <c r="H709" s="544"/>
    </row>
    <row r="710">
      <c r="A710" s="596"/>
      <c r="B710" s="541"/>
      <c r="D710" s="542"/>
      <c r="E710" s="598"/>
      <c r="H710" s="544"/>
    </row>
    <row r="711">
      <c r="A711" s="596"/>
      <c r="B711" s="541"/>
      <c r="D711" s="542"/>
      <c r="E711" s="598"/>
      <c r="H711" s="544"/>
    </row>
    <row r="712">
      <c r="A712" s="596"/>
      <c r="B712" s="541"/>
      <c r="D712" s="542"/>
      <c r="E712" s="598"/>
      <c r="H712" s="544"/>
    </row>
    <row r="713">
      <c r="A713" s="596"/>
      <c r="B713" s="541"/>
      <c r="D713" s="542"/>
      <c r="E713" s="598"/>
      <c r="H713" s="544"/>
    </row>
    <row r="714">
      <c r="A714" s="596"/>
      <c r="B714" s="541"/>
      <c r="D714" s="542"/>
      <c r="E714" s="598"/>
      <c r="H714" s="544"/>
    </row>
    <row r="715">
      <c r="A715" s="596"/>
      <c r="B715" s="541"/>
      <c r="D715" s="542"/>
      <c r="E715" s="598"/>
      <c r="H715" s="544"/>
    </row>
    <row r="716">
      <c r="A716" s="596"/>
      <c r="B716" s="541"/>
      <c r="D716" s="542"/>
      <c r="E716" s="598"/>
      <c r="H716" s="544"/>
    </row>
    <row r="717">
      <c r="A717" s="596"/>
      <c r="B717" s="541"/>
      <c r="D717" s="542"/>
      <c r="E717" s="598"/>
      <c r="H717" s="544"/>
    </row>
    <row r="718">
      <c r="A718" s="596"/>
      <c r="B718" s="541"/>
      <c r="D718" s="542"/>
      <c r="E718" s="598"/>
      <c r="H718" s="544"/>
    </row>
    <row r="719">
      <c r="A719" s="596"/>
      <c r="B719" s="541"/>
      <c r="D719" s="542"/>
      <c r="E719" s="598"/>
      <c r="H719" s="544"/>
    </row>
    <row r="720">
      <c r="A720" s="596"/>
      <c r="B720" s="541"/>
      <c r="D720" s="542"/>
      <c r="E720" s="598"/>
      <c r="H720" s="544"/>
    </row>
    <row r="721">
      <c r="A721" s="596"/>
      <c r="B721" s="541"/>
      <c r="D721" s="542"/>
      <c r="E721" s="598"/>
      <c r="H721" s="544"/>
    </row>
    <row r="722">
      <c r="A722" s="596"/>
      <c r="B722" s="541"/>
      <c r="D722" s="542"/>
      <c r="E722" s="598"/>
      <c r="H722" s="544"/>
    </row>
    <row r="723">
      <c r="A723" s="596"/>
      <c r="B723" s="541"/>
      <c r="D723" s="542"/>
      <c r="E723" s="598"/>
      <c r="H723" s="544"/>
    </row>
    <row r="724">
      <c r="A724" s="596"/>
      <c r="B724" s="541"/>
      <c r="D724" s="542"/>
      <c r="E724" s="598"/>
      <c r="H724" s="544"/>
    </row>
    <row r="725">
      <c r="A725" s="596"/>
      <c r="B725" s="541"/>
      <c r="D725" s="542"/>
      <c r="E725" s="598"/>
      <c r="H725" s="544"/>
    </row>
    <row r="726">
      <c r="A726" s="596"/>
      <c r="B726" s="541"/>
      <c r="D726" s="542"/>
      <c r="E726" s="598"/>
      <c r="H726" s="544"/>
    </row>
    <row r="727">
      <c r="A727" s="596"/>
      <c r="B727" s="541"/>
      <c r="D727" s="542"/>
      <c r="E727" s="598"/>
      <c r="H727" s="544"/>
    </row>
    <row r="728">
      <c r="A728" s="596"/>
      <c r="B728" s="541"/>
      <c r="D728" s="542"/>
      <c r="E728" s="598"/>
      <c r="H728" s="544"/>
    </row>
    <row r="729">
      <c r="A729" s="596"/>
      <c r="B729" s="541"/>
      <c r="D729" s="542"/>
      <c r="E729" s="598"/>
      <c r="H729" s="544"/>
    </row>
    <row r="730">
      <c r="A730" s="596"/>
      <c r="B730" s="541"/>
      <c r="D730" s="542"/>
      <c r="E730" s="598"/>
      <c r="H730" s="544"/>
    </row>
    <row r="731">
      <c r="A731" s="596"/>
      <c r="B731" s="541"/>
      <c r="D731" s="542"/>
      <c r="E731" s="598"/>
      <c r="H731" s="544"/>
    </row>
    <row r="732">
      <c r="A732" s="596"/>
      <c r="B732" s="541"/>
      <c r="D732" s="542"/>
      <c r="E732" s="598"/>
      <c r="H732" s="544"/>
    </row>
    <row r="733">
      <c r="A733" s="596"/>
      <c r="B733" s="541"/>
      <c r="D733" s="542"/>
      <c r="E733" s="598"/>
      <c r="H733" s="544"/>
    </row>
    <row r="734">
      <c r="A734" s="596"/>
      <c r="B734" s="541"/>
      <c r="D734" s="542"/>
      <c r="E734" s="598"/>
      <c r="H734" s="544"/>
    </row>
    <row r="735">
      <c r="A735" s="596"/>
      <c r="B735" s="541"/>
      <c r="D735" s="542"/>
      <c r="E735" s="598"/>
      <c r="H735" s="544"/>
    </row>
    <row r="736">
      <c r="A736" s="596"/>
      <c r="B736" s="541"/>
      <c r="D736" s="542"/>
      <c r="E736" s="598"/>
      <c r="H736" s="544"/>
    </row>
    <row r="737">
      <c r="A737" s="596"/>
      <c r="B737" s="541"/>
      <c r="D737" s="542"/>
      <c r="E737" s="598"/>
      <c r="H737" s="544"/>
    </row>
    <row r="738">
      <c r="A738" s="596"/>
      <c r="B738" s="541"/>
      <c r="D738" s="542"/>
      <c r="E738" s="598"/>
      <c r="H738" s="544"/>
    </row>
    <row r="739">
      <c r="A739" s="596"/>
      <c r="B739" s="541"/>
      <c r="D739" s="542"/>
      <c r="E739" s="598"/>
      <c r="H739" s="544"/>
    </row>
    <row r="740">
      <c r="A740" s="596"/>
      <c r="B740" s="541"/>
      <c r="D740" s="542"/>
      <c r="E740" s="598"/>
      <c r="H740" s="544"/>
    </row>
    <row r="741">
      <c r="A741" s="596"/>
      <c r="B741" s="541"/>
      <c r="D741" s="542"/>
      <c r="E741" s="598"/>
      <c r="H741" s="544"/>
    </row>
    <row r="742">
      <c r="A742" s="596"/>
      <c r="B742" s="541"/>
      <c r="D742" s="542"/>
      <c r="E742" s="598"/>
      <c r="H742" s="544"/>
    </row>
    <row r="743">
      <c r="A743" s="596"/>
      <c r="B743" s="541"/>
      <c r="D743" s="542"/>
      <c r="E743" s="598"/>
      <c r="H743" s="544"/>
    </row>
    <row r="744">
      <c r="A744" s="596"/>
      <c r="B744" s="541"/>
      <c r="D744" s="542"/>
      <c r="E744" s="598"/>
      <c r="H744" s="544"/>
    </row>
    <row r="745">
      <c r="A745" s="596"/>
      <c r="B745" s="541"/>
      <c r="D745" s="542"/>
      <c r="E745" s="598"/>
      <c r="H745" s="544"/>
    </row>
    <row r="746">
      <c r="A746" s="596"/>
      <c r="B746" s="541"/>
      <c r="D746" s="542"/>
      <c r="E746" s="598"/>
      <c r="H746" s="544"/>
    </row>
    <row r="747">
      <c r="A747" s="596"/>
      <c r="B747" s="541"/>
      <c r="D747" s="542"/>
      <c r="E747" s="598"/>
      <c r="H747" s="544"/>
    </row>
    <row r="748">
      <c r="A748" s="596"/>
      <c r="B748" s="541"/>
      <c r="D748" s="542"/>
      <c r="E748" s="598"/>
      <c r="H748" s="544"/>
    </row>
    <row r="749">
      <c r="A749" s="596"/>
      <c r="B749" s="541"/>
      <c r="D749" s="542"/>
      <c r="E749" s="598"/>
      <c r="H749" s="544"/>
    </row>
    <row r="750">
      <c r="A750" s="596"/>
      <c r="B750" s="541"/>
      <c r="D750" s="542"/>
      <c r="E750" s="598"/>
      <c r="H750" s="544"/>
    </row>
    <row r="751">
      <c r="A751" s="596"/>
      <c r="B751" s="541"/>
      <c r="D751" s="542"/>
      <c r="E751" s="598"/>
      <c r="H751" s="544"/>
    </row>
    <row r="752">
      <c r="A752" s="596"/>
      <c r="B752" s="541"/>
      <c r="D752" s="542"/>
      <c r="E752" s="598"/>
      <c r="H752" s="544"/>
    </row>
    <row r="753">
      <c r="A753" s="596"/>
      <c r="B753" s="541"/>
      <c r="D753" s="542"/>
      <c r="E753" s="598"/>
      <c r="H753" s="544"/>
    </row>
    <row r="754">
      <c r="A754" s="596"/>
      <c r="B754" s="541"/>
      <c r="D754" s="542"/>
      <c r="E754" s="598"/>
      <c r="H754" s="544"/>
    </row>
    <row r="755">
      <c r="A755" s="596"/>
      <c r="B755" s="541"/>
      <c r="D755" s="542"/>
      <c r="E755" s="598"/>
      <c r="H755" s="544"/>
    </row>
    <row r="756">
      <c r="A756" s="596"/>
      <c r="B756" s="541"/>
      <c r="D756" s="542"/>
      <c r="E756" s="598"/>
      <c r="H756" s="544"/>
    </row>
    <row r="757">
      <c r="A757" s="596"/>
      <c r="B757" s="541"/>
      <c r="D757" s="542"/>
      <c r="E757" s="598"/>
      <c r="H757" s="544"/>
    </row>
    <row r="758">
      <c r="A758" s="596"/>
      <c r="B758" s="541"/>
      <c r="D758" s="542"/>
      <c r="E758" s="598"/>
      <c r="H758" s="544"/>
    </row>
    <row r="759">
      <c r="A759" s="596"/>
      <c r="B759" s="541"/>
      <c r="D759" s="542"/>
      <c r="E759" s="598"/>
      <c r="H759" s="544"/>
    </row>
    <row r="760">
      <c r="A760" s="596"/>
      <c r="B760" s="541"/>
      <c r="D760" s="542"/>
      <c r="E760" s="598"/>
      <c r="H760" s="544"/>
    </row>
    <row r="761">
      <c r="A761" s="596"/>
      <c r="B761" s="541"/>
      <c r="D761" s="542"/>
      <c r="E761" s="598"/>
      <c r="H761" s="544"/>
    </row>
    <row r="762">
      <c r="A762" s="596"/>
      <c r="B762" s="541"/>
      <c r="D762" s="542"/>
      <c r="E762" s="598"/>
      <c r="H762" s="544"/>
    </row>
    <row r="763">
      <c r="A763" s="596"/>
      <c r="B763" s="541"/>
      <c r="D763" s="542"/>
      <c r="E763" s="598"/>
      <c r="H763" s="544"/>
    </row>
    <row r="764">
      <c r="A764" s="596"/>
      <c r="B764" s="541"/>
      <c r="D764" s="542"/>
      <c r="E764" s="598"/>
      <c r="H764" s="544"/>
    </row>
    <row r="765">
      <c r="A765" s="596"/>
      <c r="B765" s="541"/>
      <c r="D765" s="542"/>
      <c r="E765" s="598"/>
      <c r="H765" s="544"/>
    </row>
    <row r="766">
      <c r="A766" s="596"/>
      <c r="B766" s="541"/>
      <c r="D766" s="542"/>
      <c r="E766" s="598"/>
      <c r="H766" s="544"/>
    </row>
    <row r="767">
      <c r="A767" s="596"/>
      <c r="B767" s="541"/>
      <c r="D767" s="542"/>
      <c r="E767" s="598"/>
      <c r="H767" s="544"/>
    </row>
    <row r="768">
      <c r="A768" s="596"/>
      <c r="B768" s="541"/>
      <c r="D768" s="542"/>
      <c r="E768" s="598"/>
      <c r="H768" s="544"/>
    </row>
    <row r="769">
      <c r="A769" s="596"/>
      <c r="B769" s="541"/>
      <c r="D769" s="542"/>
      <c r="E769" s="598"/>
      <c r="H769" s="544"/>
    </row>
    <row r="770">
      <c r="A770" s="596"/>
      <c r="B770" s="541"/>
      <c r="D770" s="542"/>
      <c r="E770" s="598"/>
      <c r="H770" s="544"/>
    </row>
    <row r="771">
      <c r="A771" s="596"/>
      <c r="B771" s="541"/>
      <c r="D771" s="542"/>
      <c r="E771" s="598"/>
      <c r="H771" s="544"/>
    </row>
    <row r="772">
      <c r="A772" s="596"/>
      <c r="B772" s="541"/>
      <c r="D772" s="542"/>
      <c r="E772" s="598"/>
      <c r="H772" s="544"/>
    </row>
    <row r="773">
      <c r="A773" s="596"/>
      <c r="B773" s="541"/>
      <c r="D773" s="542"/>
      <c r="E773" s="598"/>
      <c r="H773" s="544"/>
    </row>
    <row r="774">
      <c r="A774" s="596"/>
      <c r="B774" s="541"/>
      <c r="D774" s="542"/>
      <c r="E774" s="598"/>
      <c r="H774" s="544"/>
    </row>
    <row r="775">
      <c r="A775" s="596"/>
      <c r="B775" s="541"/>
      <c r="D775" s="542"/>
      <c r="E775" s="598"/>
      <c r="H775" s="544"/>
    </row>
    <row r="776">
      <c r="A776" s="596"/>
      <c r="B776" s="541"/>
      <c r="D776" s="542"/>
      <c r="E776" s="598"/>
      <c r="H776" s="544"/>
    </row>
    <row r="777">
      <c r="A777" s="596"/>
      <c r="B777" s="541"/>
      <c r="D777" s="542"/>
      <c r="E777" s="598"/>
      <c r="H777" s="544"/>
    </row>
    <row r="778">
      <c r="A778" s="596"/>
      <c r="B778" s="541"/>
      <c r="D778" s="542"/>
      <c r="E778" s="598"/>
      <c r="H778" s="544"/>
    </row>
    <row r="779">
      <c r="A779" s="596"/>
      <c r="B779" s="541"/>
      <c r="D779" s="542"/>
      <c r="E779" s="598"/>
      <c r="H779" s="544"/>
    </row>
    <row r="780">
      <c r="A780" s="596"/>
      <c r="B780" s="541"/>
      <c r="D780" s="542"/>
      <c r="E780" s="598"/>
      <c r="H780" s="544"/>
    </row>
    <row r="781">
      <c r="A781" s="596"/>
      <c r="B781" s="541"/>
      <c r="D781" s="542"/>
      <c r="E781" s="598"/>
      <c r="H781" s="544"/>
    </row>
    <row r="782">
      <c r="A782" s="596"/>
      <c r="B782" s="541"/>
      <c r="D782" s="542"/>
      <c r="E782" s="598"/>
      <c r="H782" s="544"/>
    </row>
    <row r="783">
      <c r="A783" s="596"/>
      <c r="B783" s="541"/>
      <c r="D783" s="542"/>
      <c r="E783" s="598"/>
      <c r="H783" s="544"/>
    </row>
    <row r="784">
      <c r="A784" s="596"/>
      <c r="B784" s="541"/>
      <c r="D784" s="542"/>
      <c r="E784" s="598"/>
      <c r="H784" s="544"/>
    </row>
    <row r="785">
      <c r="A785" s="596"/>
      <c r="B785" s="541"/>
      <c r="D785" s="542"/>
      <c r="E785" s="598"/>
      <c r="H785" s="544"/>
    </row>
    <row r="786">
      <c r="A786" s="596"/>
      <c r="B786" s="541"/>
      <c r="D786" s="542"/>
      <c r="E786" s="598"/>
      <c r="H786" s="544"/>
    </row>
    <row r="787">
      <c r="A787" s="596"/>
      <c r="B787" s="541"/>
      <c r="D787" s="542"/>
      <c r="E787" s="598"/>
      <c r="H787" s="544"/>
    </row>
    <row r="788">
      <c r="A788" s="596"/>
      <c r="B788" s="541"/>
      <c r="D788" s="542"/>
      <c r="E788" s="598"/>
      <c r="H788" s="544"/>
    </row>
    <row r="789">
      <c r="A789" s="596"/>
      <c r="B789" s="541"/>
      <c r="D789" s="542"/>
      <c r="E789" s="598"/>
      <c r="H789" s="544"/>
    </row>
    <row r="790">
      <c r="A790" s="596"/>
      <c r="B790" s="541"/>
      <c r="D790" s="542"/>
      <c r="E790" s="598"/>
      <c r="H790" s="544"/>
    </row>
    <row r="791">
      <c r="A791" s="596"/>
      <c r="B791" s="541"/>
      <c r="D791" s="542"/>
      <c r="E791" s="598"/>
      <c r="H791" s="544"/>
    </row>
    <row r="792">
      <c r="A792" s="596"/>
      <c r="B792" s="541"/>
      <c r="D792" s="542"/>
      <c r="E792" s="598"/>
      <c r="H792" s="544"/>
    </row>
    <row r="793">
      <c r="A793" s="596"/>
      <c r="B793" s="541"/>
      <c r="D793" s="542"/>
      <c r="E793" s="598"/>
      <c r="H793" s="544"/>
    </row>
    <row r="794">
      <c r="A794" s="596"/>
      <c r="B794" s="541"/>
      <c r="D794" s="542"/>
      <c r="E794" s="598"/>
      <c r="H794" s="544"/>
    </row>
    <row r="795">
      <c r="A795" s="596"/>
      <c r="B795" s="541"/>
      <c r="D795" s="542"/>
      <c r="E795" s="598"/>
      <c r="H795" s="544"/>
    </row>
    <row r="796">
      <c r="A796" s="596"/>
      <c r="B796" s="541"/>
      <c r="D796" s="542"/>
      <c r="E796" s="598"/>
      <c r="H796" s="544"/>
    </row>
    <row r="797">
      <c r="A797" s="596"/>
      <c r="B797" s="541"/>
      <c r="D797" s="542"/>
      <c r="E797" s="598"/>
      <c r="H797" s="544"/>
    </row>
    <row r="798">
      <c r="A798" s="596"/>
      <c r="B798" s="541"/>
      <c r="D798" s="542"/>
      <c r="E798" s="598"/>
      <c r="H798" s="544"/>
    </row>
    <row r="799">
      <c r="A799" s="596"/>
      <c r="B799" s="541"/>
      <c r="D799" s="542"/>
      <c r="E799" s="598"/>
      <c r="H799" s="544"/>
    </row>
    <row r="800">
      <c r="A800" s="596"/>
      <c r="B800" s="541"/>
      <c r="D800" s="542"/>
      <c r="E800" s="598"/>
      <c r="H800" s="544"/>
    </row>
    <row r="801">
      <c r="A801" s="596"/>
      <c r="B801" s="541"/>
      <c r="D801" s="542"/>
      <c r="E801" s="598"/>
      <c r="H801" s="544"/>
    </row>
    <row r="802">
      <c r="A802" s="596"/>
      <c r="B802" s="541"/>
      <c r="D802" s="542"/>
      <c r="E802" s="598"/>
      <c r="H802" s="544"/>
    </row>
    <row r="803">
      <c r="A803" s="596"/>
      <c r="B803" s="541"/>
      <c r="D803" s="542"/>
      <c r="E803" s="598"/>
      <c r="H803" s="544"/>
    </row>
    <row r="804">
      <c r="A804" s="596"/>
      <c r="B804" s="541"/>
      <c r="D804" s="542"/>
      <c r="E804" s="598"/>
      <c r="H804" s="544"/>
    </row>
    <row r="805">
      <c r="A805" s="596"/>
      <c r="B805" s="541"/>
      <c r="D805" s="542"/>
      <c r="E805" s="598"/>
      <c r="H805" s="544"/>
    </row>
    <row r="806">
      <c r="A806" s="596"/>
      <c r="B806" s="541"/>
      <c r="D806" s="542"/>
      <c r="E806" s="598"/>
      <c r="H806" s="544"/>
    </row>
    <row r="807">
      <c r="A807" s="596"/>
      <c r="B807" s="541"/>
      <c r="D807" s="542"/>
      <c r="E807" s="598"/>
      <c r="H807" s="544"/>
    </row>
    <row r="808">
      <c r="A808" s="596"/>
      <c r="B808" s="541"/>
      <c r="D808" s="542"/>
      <c r="E808" s="598"/>
      <c r="H808" s="544"/>
    </row>
    <row r="809">
      <c r="A809" s="596"/>
      <c r="B809" s="541"/>
      <c r="D809" s="542"/>
      <c r="E809" s="598"/>
      <c r="H809" s="544"/>
    </row>
    <row r="810">
      <c r="A810" s="596"/>
      <c r="B810" s="541"/>
      <c r="D810" s="542"/>
      <c r="E810" s="598"/>
      <c r="H810" s="544"/>
    </row>
    <row r="811">
      <c r="A811" s="596"/>
      <c r="B811" s="541"/>
      <c r="D811" s="542"/>
      <c r="E811" s="598"/>
      <c r="H811" s="544"/>
    </row>
    <row r="812">
      <c r="A812" s="596"/>
      <c r="B812" s="541"/>
      <c r="D812" s="542"/>
      <c r="E812" s="598"/>
      <c r="H812" s="544"/>
    </row>
    <row r="813">
      <c r="A813" s="596"/>
      <c r="B813" s="541"/>
      <c r="D813" s="542"/>
      <c r="E813" s="598"/>
      <c r="H813" s="544"/>
    </row>
    <row r="814">
      <c r="A814" s="596"/>
      <c r="B814" s="541"/>
      <c r="D814" s="542"/>
      <c r="E814" s="598"/>
      <c r="H814" s="544"/>
    </row>
    <row r="815">
      <c r="A815" s="596"/>
      <c r="B815" s="541"/>
      <c r="D815" s="542"/>
      <c r="E815" s="598"/>
      <c r="H815" s="544"/>
    </row>
    <row r="816">
      <c r="A816" s="596"/>
      <c r="B816" s="541"/>
      <c r="D816" s="542"/>
      <c r="E816" s="598"/>
      <c r="H816" s="544"/>
    </row>
    <row r="817">
      <c r="A817" s="596"/>
      <c r="B817" s="541"/>
      <c r="D817" s="542"/>
      <c r="E817" s="598"/>
      <c r="H817" s="544"/>
    </row>
    <row r="818">
      <c r="A818" s="596"/>
      <c r="B818" s="541"/>
      <c r="D818" s="542"/>
      <c r="E818" s="598"/>
      <c r="H818" s="544"/>
    </row>
    <row r="819">
      <c r="A819" s="596"/>
      <c r="B819" s="541"/>
      <c r="D819" s="542"/>
      <c r="E819" s="598"/>
      <c r="H819" s="544"/>
    </row>
    <row r="820">
      <c r="A820" s="596"/>
      <c r="B820" s="541"/>
      <c r="D820" s="542"/>
      <c r="E820" s="598"/>
      <c r="H820" s="544"/>
    </row>
    <row r="821">
      <c r="A821" s="596"/>
      <c r="B821" s="541"/>
      <c r="D821" s="542"/>
      <c r="E821" s="598"/>
      <c r="H821" s="544"/>
    </row>
    <row r="822">
      <c r="A822" s="596"/>
      <c r="B822" s="541"/>
      <c r="D822" s="542"/>
      <c r="E822" s="598"/>
      <c r="H822" s="544"/>
    </row>
    <row r="823">
      <c r="A823" s="596"/>
      <c r="B823" s="541"/>
      <c r="D823" s="542"/>
      <c r="E823" s="598"/>
      <c r="H823" s="544"/>
    </row>
    <row r="824">
      <c r="A824" s="596"/>
      <c r="B824" s="541"/>
      <c r="D824" s="542"/>
      <c r="E824" s="598"/>
      <c r="H824" s="544"/>
    </row>
    <row r="825">
      <c r="A825" s="596"/>
      <c r="B825" s="541"/>
      <c r="D825" s="542"/>
      <c r="E825" s="598"/>
      <c r="H825" s="544"/>
    </row>
    <row r="826">
      <c r="A826" s="596"/>
      <c r="B826" s="541"/>
      <c r="D826" s="542"/>
      <c r="E826" s="598"/>
      <c r="H826" s="544"/>
    </row>
    <row r="827">
      <c r="A827" s="596"/>
      <c r="B827" s="541"/>
      <c r="D827" s="542"/>
      <c r="E827" s="598"/>
      <c r="H827" s="544"/>
    </row>
    <row r="828">
      <c r="A828" s="596"/>
      <c r="B828" s="541"/>
      <c r="D828" s="542"/>
      <c r="E828" s="598"/>
      <c r="H828" s="544"/>
    </row>
    <row r="829">
      <c r="A829" s="596"/>
      <c r="B829" s="541"/>
      <c r="D829" s="542"/>
      <c r="E829" s="598"/>
      <c r="H829" s="544"/>
    </row>
    <row r="830">
      <c r="A830" s="596"/>
      <c r="B830" s="541"/>
      <c r="D830" s="542"/>
      <c r="E830" s="598"/>
      <c r="H830" s="544"/>
    </row>
    <row r="831">
      <c r="A831" s="596"/>
      <c r="B831" s="541"/>
      <c r="D831" s="542"/>
      <c r="E831" s="598"/>
      <c r="H831" s="544"/>
    </row>
    <row r="832">
      <c r="A832" s="596"/>
      <c r="B832" s="541"/>
      <c r="D832" s="542"/>
      <c r="E832" s="598"/>
      <c r="H832" s="544"/>
    </row>
    <row r="833">
      <c r="A833" s="596"/>
      <c r="B833" s="541"/>
      <c r="D833" s="542"/>
      <c r="E833" s="598"/>
      <c r="H833" s="544"/>
    </row>
    <row r="834">
      <c r="A834" s="596"/>
      <c r="B834" s="541"/>
      <c r="D834" s="542"/>
      <c r="E834" s="598"/>
      <c r="H834" s="544"/>
    </row>
    <row r="835">
      <c r="A835" s="596"/>
      <c r="B835" s="541"/>
      <c r="D835" s="542"/>
      <c r="E835" s="598"/>
      <c r="H835" s="544"/>
    </row>
    <row r="836">
      <c r="A836" s="596"/>
      <c r="B836" s="541"/>
      <c r="D836" s="542"/>
      <c r="E836" s="598"/>
      <c r="H836" s="544"/>
    </row>
    <row r="837">
      <c r="A837" s="596"/>
      <c r="B837" s="541"/>
      <c r="D837" s="542"/>
      <c r="E837" s="598"/>
      <c r="H837" s="544"/>
    </row>
    <row r="838">
      <c r="A838" s="596"/>
      <c r="B838" s="541"/>
      <c r="D838" s="542"/>
      <c r="E838" s="598"/>
      <c r="H838" s="544"/>
    </row>
    <row r="839">
      <c r="A839" s="596"/>
      <c r="B839" s="541"/>
      <c r="D839" s="542"/>
      <c r="E839" s="598"/>
      <c r="H839" s="544"/>
    </row>
    <row r="840">
      <c r="A840" s="596"/>
      <c r="B840" s="541"/>
      <c r="D840" s="542"/>
      <c r="E840" s="598"/>
      <c r="H840" s="544"/>
    </row>
    <row r="841">
      <c r="A841" s="596"/>
      <c r="B841" s="541"/>
      <c r="D841" s="542"/>
      <c r="E841" s="598"/>
      <c r="H841" s="544"/>
    </row>
    <row r="842">
      <c r="A842" s="596"/>
      <c r="B842" s="541"/>
      <c r="D842" s="542"/>
      <c r="E842" s="598"/>
      <c r="H842" s="544"/>
    </row>
    <row r="843">
      <c r="A843" s="596"/>
      <c r="B843" s="541"/>
      <c r="D843" s="542"/>
      <c r="E843" s="598"/>
      <c r="H843" s="544"/>
    </row>
    <row r="844">
      <c r="A844" s="596"/>
      <c r="B844" s="541"/>
      <c r="D844" s="542"/>
      <c r="E844" s="598"/>
      <c r="H844" s="544"/>
    </row>
    <row r="845">
      <c r="A845" s="596"/>
      <c r="B845" s="541"/>
      <c r="D845" s="542"/>
      <c r="E845" s="598"/>
      <c r="H845" s="544"/>
    </row>
    <row r="846">
      <c r="A846" s="596"/>
      <c r="B846" s="541"/>
      <c r="D846" s="542"/>
      <c r="E846" s="598"/>
      <c r="H846" s="544"/>
    </row>
    <row r="847">
      <c r="A847" s="596"/>
      <c r="B847" s="541"/>
      <c r="D847" s="542"/>
      <c r="E847" s="598"/>
      <c r="H847" s="544"/>
    </row>
    <row r="848">
      <c r="A848" s="596"/>
      <c r="B848" s="541"/>
      <c r="D848" s="542"/>
      <c r="E848" s="598"/>
      <c r="H848" s="544"/>
    </row>
    <row r="849">
      <c r="A849" s="596"/>
      <c r="B849" s="541"/>
      <c r="D849" s="542"/>
      <c r="E849" s="598"/>
      <c r="H849" s="544"/>
    </row>
    <row r="850">
      <c r="A850" s="596"/>
      <c r="B850" s="541"/>
      <c r="D850" s="542"/>
      <c r="E850" s="598"/>
      <c r="H850" s="544"/>
    </row>
    <row r="851">
      <c r="A851" s="596"/>
      <c r="B851" s="541"/>
      <c r="D851" s="542"/>
      <c r="E851" s="598"/>
      <c r="H851" s="544"/>
    </row>
    <row r="852">
      <c r="A852" s="596"/>
      <c r="B852" s="541"/>
      <c r="D852" s="542"/>
      <c r="E852" s="598"/>
      <c r="H852" s="544"/>
    </row>
    <row r="853">
      <c r="A853" s="596"/>
      <c r="B853" s="541"/>
      <c r="D853" s="542"/>
      <c r="E853" s="598"/>
      <c r="H853" s="544"/>
    </row>
    <row r="854">
      <c r="A854" s="596"/>
      <c r="B854" s="541"/>
      <c r="D854" s="542"/>
      <c r="E854" s="598"/>
      <c r="H854" s="544"/>
    </row>
    <row r="855">
      <c r="A855" s="596"/>
      <c r="B855" s="541"/>
      <c r="D855" s="542"/>
      <c r="E855" s="598"/>
      <c r="H855" s="544"/>
    </row>
    <row r="856">
      <c r="A856" s="596"/>
      <c r="B856" s="541"/>
      <c r="D856" s="542"/>
      <c r="E856" s="598"/>
      <c r="H856" s="544"/>
    </row>
    <row r="857">
      <c r="A857" s="596"/>
      <c r="B857" s="541"/>
      <c r="D857" s="542"/>
      <c r="E857" s="598"/>
      <c r="H857" s="544"/>
    </row>
    <row r="858">
      <c r="A858" s="596"/>
      <c r="B858" s="541"/>
      <c r="D858" s="542"/>
      <c r="E858" s="598"/>
      <c r="H858" s="544"/>
    </row>
    <row r="859">
      <c r="A859" s="596"/>
      <c r="B859" s="541"/>
      <c r="D859" s="542"/>
      <c r="E859" s="598"/>
      <c r="H859" s="544"/>
    </row>
    <row r="860">
      <c r="A860" s="596"/>
      <c r="B860" s="541"/>
      <c r="D860" s="542"/>
      <c r="E860" s="598"/>
      <c r="H860" s="544"/>
    </row>
    <row r="861">
      <c r="A861" s="596"/>
      <c r="B861" s="541"/>
      <c r="D861" s="542"/>
      <c r="E861" s="598"/>
      <c r="H861" s="544"/>
    </row>
    <row r="862">
      <c r="A862" s="596"/>
      <c r="B862" s="541"/>
      <c r="D862" s="542"/>
      <c r="E862" s="598"/>
      <c r="H862" s="544"/>
    </row>
    <row r="863">
      <c r="A863" s="596"/>
      <c r="B863" s="541"/>
      <c r="D863" s="542"/>
      <c r="E863" s="598"/>
      <c r="H863" s="544"/>
    </row>
    <row r="864">
      <c r="A864" s="596"/>
      <c r="B864" s="541"/>
      <c r="D864" s="542"/>
      <c r="E864" s="598"/>
      <c r="H864" s="544"/>
    </row>
    <row r="865">
      <c r="A865" s="596"/>
      <c r="B865" s="541"/>
      <c r="D865" s="542"/>
      <c r="E865" s="598"/>
      <c r="H865" s="544"/>
    </row>
    <row r="866">
      <c r="A866" s="596"/>
      <c r="B866" s="541"/>
      <c r="D866" s="542"/>
      <c r="E866" s="598"/>
      <c r="H866" s="544"/>
    </row>
    <row r="867">
      <c r="A867" s="596"/>
      <c r="B867" s="541"/>
      <c r="D867" s="542"/>
      <c r="E867" s="598"/>
      <c r="H867" s="544"/>
    </row>
    <row r="868">
      <c r="A868" s="596"/>
      <c r="B868" s="541"/>
      <c r="D868" s="542"/>
      <c r="E868" s="598"/>
      <c r="H868" s="544"/>
    </row>
    <row r="869">
      <c r="A869" s="596"/>
      <c r="B869" s="541"/>
      <c r="D869" s="542"/>
      <c r="E869" s="598"/>
      <c r="H869" s="544"/>
    </row>
    <row r="870">
      <c r="A870" s="596"/>
      <c r="B870" s="541"/>
      <c r="D870" s="542"/>
      <c r="E870" s="598"/>
      <c r="H870" s="544"/>
    </row>
    <row r="871">
      <c r="A871" s="596"/>
      <c r="B871" s="541"/>
      <c r="D871" s="542"/>
      <c r="E871" s="598"/>
      <c r="H871" s="544"/>
    </row>
    <row r="872">
      <c r="A872" s="596"/>
      <c r="B872" s="541"/>
      <c r="D872" s="542"/>
      <c r="E872" s="598"/>
      <c r="H872" s="544"/>
    </row>
    <row r="873">
      <c r="A873" s="596"/>
      <c r="B873" s="541"/>
      <c r="D873" s="542"/>
      <c r="E873" s="598"/>
      <c r="H873" s="544"/>
    </row>
    <row r="874">
      <c r="A874" s="596"/>
      <c r="B874" s="541"/>
      <c r="D874" s="542"/>
      <c r="E874" s="598"/>
      <c r="H874" s="544"/>
    </row>
    <row r="875">
      <c r="A875" s="596"/>
      <c r="B875" s="541"/>
      <c r="D875" s="542"/>
      <c r="E875" s="598"/>
      <c r="H875" s="544"/>
    </row>
    <row r="876">
      <c r="A876" s="596"/>
      <c r="B876" s="541"/>
      <c r="D876" s="542"/>
      <c r="E876" s="598"/>
      <c r="H876" s="544"/>
    </row>
    <row r="877">
      <c r="A877" s="596"/>
      <c r="B877" s="541"/>
      <c r="D877" s="542"/>
      <c r="E877" s="598"/>
      <c r="H877" s="544"/>
    </row>
    <row r="878">
      <c r="A878" s="596"/>
      <c r="B878" s="541"/>
      <c r="D878" s="542"/>
      <c r="E878" s="598"/>
      <c r="H878" s="544"/>
    </row>
    <row r="879">
      <c r="A879" s="596"/>
      <c r="B879" s="541"/>
      <c r="D879" s="542"/>
      <c r="E879" s="598"/>
      <c r="H879" s="544"/>
    </row>
    <row r="880">
      <c r="A880" s="596"/>
      <c r="B880" s="541"/>
      <c r="D880" s="542"/>
      <c r="E880" s="598"/>
      <c r="H880" s="544"/>
    </row>
    <row r="881">
      <c r="A881" s="596"/>
      <c r="B881" s="541"/>
      <c r="D881" s="542"/>
      <c r="E881" s="598"/>
      <c r="H881" s="544"/>
    </row>
    <row r="882">
      <c r="A882" s="596"/>
      <c r="B882" s="541"/>
      <c r="D882" s="542"/>
      <c r="E882" s="598"/>
      <c r="H882" s="544"/>
    </row>
    <row r="883">
      <c r="A883" s="596"/>
      <c r="B883" s="541"/>
      <c r="D883" s="542"/>
      <c r="E883" s="598"/>
      <c r="H883" s="544"/>
    </row>
    <row r="884">
      <c r="A884" s="596"/>
      <c r="B884" s="541"/>
      <c r="D884" s="542"/>
      <c r="E884" s="598"/>
      <c r="H884" s="544"/>
    </row>
    <row r="885">
      <c r="A885" s="596"/>
      <c r="B885" s="541"/>
      <c r="D885" s="542"/>
      <c r="E885" s="598"/>
      <c r="H885" s="544"/>
    </row>
    <row r="886">
      <c r="A886" s="596"/>
      <c r="B886" s="541"/>
      <c r="D886" s="542"/>
      <c r="E886" s="598"/>
      <c r="H886" s="544"/>
    </row>
    <row r="887">
      <c r="A887" s="596"/>
      <c r="B887" s="541"/>
      <c r="D887" s="542"/>
      <c r="E887" s="598"/>
      <c r="H887" s="544"/>
    </row>
    <row r="888">
      <c r="A888" s="596"/>
      <c r="B888" s="541"/>
      <c r="D888" s="542"/>
      <c r="E888" s="598"/>
      <c r="H888" s="544"/>
    </row>
    <row r="889">
      <c r="A889" s="596"/>
      <c r="B889" s="541"/>
      <c r="D889" s="542"/>
      <c r="E889" s="598"/>
      <c r="H889" s="544"/>
    </row>
    <row r="890">
      <c r="A890" s="596"/>
      <c r="B890" s="541"/>
      <c r="D890" s="542"/>
      <c r="E890" s="598"/>
      <c r="H890" s="544"/>
    </row>
    <row r="891">
      <c r="A891" s="596"/>
      <c r="B891" s="541"/>
      <c r="D891" s="542"/>
      <c r="E891" s="598"/>
      <c r="H891" s="544"/>
    </row>
    <row r="892">
      <c r="A892" s="596"/>
      <c r="B892" s="541"/>
      <c r="D892" s="542"/>
      <c r="E892" s="598"/>
      <c r="H892" s="544"/>
    </row>
    <row r="893">
      <c r="A893" s="596"/>
      <c r="B893" s="541"/>
      <c r="D893" s="542"/>
      <c r="E893" s="598"/>
      <c r="H893" s="544"/>
    </row>
    <row r="894">
      <c r="A894" s="596"/>
      <c r="B894" s="541"/>
      <c r="D894" s="542"/>
      <c r="E894" s="598"/>
      <c r="H894" s="544"/>
    </row>
    <row r="895">
      <c r="A895" s="596"/>
      <c r="B895" s="541"/>
      <c r="D895" s="542"/>
      <c r="E895" s="598"/>
      <c r="H895" s="544"/>
    </row>
    <row r="896">
      <c r="A896" s="596"/>
      <c r="B896" s="541"/>
      <c r="D896" s="542"/>
      <c r="E896" s="598"/>
      <c r="H896" s="544"/>
    </row>
    <row r="897">
      <c r="A897" s="596"/>
      <c r="B897" s="541"/>
      <c r="D897" s="542"/>
      <c r="E897" s="598"/>
      <c r="H897" s="544"/>
    </row>
    <row r="898">
      <c r="A898" s="596"/>
      <c r="B898" s="541"/>
      <c r="D898" s="542"/>
      <c r="E898" s="598"/>
      <c r="H898" s="544"/>
    </row>
    <row r="899">
      <c r="A899" s="596"/>
      <c r="B899" s="541"/>
      <c r="D899" s="542"/>
      <c r="E899" s="598"/>
      <c r="H899" s="544"/>
    </row>
    <row r="900">
      <c r="A900" s="596"/>
      <c r="B900" s="541"/>
      <c r="D900" s="542"/>
      <c r="E900" s="598"/>
      <c r="H900" s="544"/>
    </row>
    <row r="901">
      <c r="A901" s="596"/>
      <c r="B901" s="541"/>
      <c r="D901" s="542"/>
      <c r="E901" s="598"/>
      <c r="H901" s="544"/>
    </row>
    <row r="902">
      <c r="A902" s="596"/>
      <c r="B902" s="541"/>
      <c r="D902" s="542"/>
      <c r="E902" s="598"/>
      <c r="H902" s="544"/>
    </row>
    <row r="903">
      <c r="A903" s="596"/>
      <c r="B903" s="541"/>
      <c r="D903" s="542"/>
      <c r="E903" s="598"/>
      <c r="H903" s="544"/>
    </row>
    <row r="904">
      <c r="A904" s="596"/>
      <c r="B904" s="541"/>
      <c r="D904" s="542"/>
      <c r="E904" s="598"/>
      <c r="H904" s="544"/>
    </row>
    <row r="905">
      <c r="A905" s="596"/>
      <c r="B905" s="541"/>
      <c r="D905" s="542"/>
      <c r="E905" s="598"/>
      <c r="H905" s="544"/>
    </row>
    <row r="906">
      <c r="A906" s="596"/>
      <c r="B906" s="541"/>
      <c r="D906" s="542"/>
      <c r="E906" s="598"/>
      <c r="H906" s="544"/>
    </row>
    <row r="907">
      <c r="A907" s="596"/>
      <c r="B907" s="541"/>
      <c r="D907" s="542"/>
      <c r="E907" s="598"/>
      <c r="H907" s="544"/>
    </row>
    <row r="908">
      <c r="A908" s="596"/>
      <c r="B908" s="541"/>
      <c r="D908" s="542"/>
      <c r="E908" s="598"/>
      <c r="H908" s="544"/>
    </row>
    <row r="909">
      <c r="A909" s="596"/>
      <c r="B909" s="541"/>
      <c r="D909" s="542"/>
      <c r="E909" s="598"/>
      <c r="H909" s="544"/>
    </row>
    <row r="910">
      <c r="A910" s="596"/>
      <c r="B910" s="541"/>
      <c r="D910" s="542"/>
      <c r="E910" s="598"/>
      <c r="H910" s="544"/>
    </row>
    <row r="911">
      <c r="A911" s="596"/>
      <c r="B911" s="541"/>
      <c r="D911" s="542"/>
      <c r="E911" s="598"/>
      <c r="H911" s="544"/>
    </row>
    <row r="912">
      <c r="A912" s="596"/>
      <c r="B912" s="541"/>
      <c r="D912" s="542"/>
      <c r="E912" s="598"/>
      <c r="H912" s="544"/>
    </row>
    <row r="913">
      <c r="A913" s="596"/>
      <c r="B913" s="541"/>
      <c r="D913" s="542"/>
      <c r="E913" s="598"/>
      <c r="H913" s="544"/>
    </row>
    <row r="914">
      <c r="A914" s="596"/>
      <c r="B914" s="541"/>
      <c r="D914" s="542"/>
      <c r="E914" s="598"/>
      <c r="H914" s="544"/>
    </row>
    <row r="915">
      <c r="A915" s="596"/>
      <c r="B915" s="541"/>
      <c r="D915" s="542"/>
      <c r="E915" s="598"/>
      <c r="H915" s="544"/>
    </row>
    <row r="916">
      <c r="A916" s="596"/>
      <c r="B916" s="541"/>
      <c r="D916" s="542"/>
      <c r="E916" s="598"/>
      <c r="H916" s="544"/>
    </row>
    <row r="917">
      <c r="A917" s="596"/>
      <c r="B917" s="541"/>
      <c r="D917" s="542"/>
      <c r="E917" s="598"/>
      <c r="H917" s="544"/>
    </row>
    <row r="918">
      <c r="A918" s="596"/>
      <c r="B918" s="541"/>
      <c r="D918" s="542"/>
      <c r="E918" s="598"/>
      <c r="H918" s="544"/>
    </row>
    <row r="919">
      <c r="A919" s="596"/>
      <c r="B919" s="541"/>
      <c r="D919" s="542"/>
      <c r="E919" s="598"/>
      <c r="H919" s="544"/>
    </row>
    <row r="920">
      <c r="A920" s="596"/>
      <c r="B920" s="541"/>
      <c r="D920" s="542"/>
      <c r="E920" s="598"/>
      <c r="H920" s="544"/>
    </row>
    <row r="921">
      <c r="A921" s="596"/>
      <c r="B921" s="541"/>
      <c r="D921" s="542"/>
      <c r="E921" s="598"/>
      <c r="H921" s="544"/>
    </row>
    <row r="922">
      <c r="A922" s="596"/>
      <c r="B922" s="541"/>
      <c r="D922" s="542"/>
      <c r="E922" s="598"/>
      <c r="H922" s="544"/>
    </row>
    <row r="923">
      <c r="A923" s="596"/>
      <c r="B923" s="541"/>
      <c r="D923" s="542"/>
      <c r="E923" s="598"/>
      <c r="H923" s="544"/>
    </row>
    <row r="924">
      <c r="A924" s="596"/>
      <c r="B924" s="541"/>
      <c r="D924" s="542"/>
      <c r="E924" s="598"/>
      <c r="H924" s="544"/>
    </row>
    <row r="925">
      <c r="A925" s="596"/>
      <c r="B925" s="541"/>
      <c r="D925" s="542"/>
      <c r="E925" s="598"/>
      <c r="H925" s="544"/>
    </row>
    <row r="926">
      <c r="A926" s="596"/>
      <c r="B926" s="541"/>
      <c r="D926" s="542"/>
      <c r="E926" s="598"/>
      <c r="H926" s="544"/>
    </row>
    <row r="927">
      <c r="A927" s="596"/>
      <c r="B927" s="541"/>
      <c r="D927" s="542"/>
      <c r="E927" s="598"/>
      <c r="H927" s="544"/>
    </row>
    <row r="928">
      <c r="A928" s="596"/>
      <c r="B928" s="541"/>
      <c r="D928" s="542"/>
      <c r="E928" s="598"/>
      <c r="H928" s="544"/>
    </row>
    <row r="929">
      <c r="A929" s="596"/>
      <c r="B929" s="541"/>
      <c r="D929" s="542"/>
      <c r="E929" s="598"/>
      <c r="H929" s="544"/>
    </row>
    <row r="930">
      <c r="A930" s="596"/>
      <c r="B930" s="541"/>
      <c r="D930" s="542"/>
      <c r="E930" s="598"/>
      <c r="H930" s="544"/>
    </row>
    <row r="931">
      <c r="A931" s="596"/>
      <c r="B931" s="541"/>
      <c r="D931" s="542"/>
      <c r="E931" s="598"/>
      <c r="H931" s="544"/>
    </row>
    <row r="932">
      <c r="A932" s="596"/>
      <c r="B932" s="541"/>
      <c r="D932" s="542"/>
      <c r="E932" s="598"/>
      <c r="H932" s="544"/>
    </row>
    <row r="933">
      <c r="A933" s="596"/>
      <c r="B933" s="541"/>
      <c r="D933" s="542"/>
      <c r="E933" s="598"/>
      <c r="H933" s="544"/>
    </row>
    <row r="934">
      <c r="A934" s="596"/>
      <c r="B934" s="541"/>
      <c r="D934" s="542"/>
      <c r="E934" s="598"/>
      <c r="H934" s="544"/>
    </row>
    <row r="935">
      <c r="A935" s="596"/>
      <c r="B935" s="541"/>
      <c r="D935" s="542"/>
      <c r="E935" s="598"/>
      <c r="H935" s="544"/>
    </row>
    <row r="936">
      <c r="A936" s="596"/>
      <c r="B936" s="541"/>
      <c r="D936" s="542"/>
      <c r="E936" s="598"/>
      <c r="H936" s="544"/>
    </row>
    <row r="937">
      <c r="A937" s="596"/>
      <c r="B937" s="541"/>
      <c r="D937" s="542"/>
      <c r="E937" s="598"/>
      <c r="H937" s="544"/>
    </row>
    <row r="938">
      <c r="A938" s="596"/>
      <c r="B938" s="541"/>
      <c r="D938" s="542"/>
      <c r="E938" s="598"/>
      <c r="H938" s="544"/>
    </row>
    <row r="939">
      <c r="A939" s="596"/>
      <c r="B939" s="541"/>
      <c r="D939" s="542"/>
      <c r="E939" s="598"/>
      <c r="H939" s="544"/>
    </row>
    <row r="940">
      <c r="A940" s="596"/>
      <c r="B940" s="541"/>
      <c r="D940" s="542"/>
      <c r="E940" s="598"/>
      <c r="H940" s="544"/>
    </row>
    <row r="941">
      <c r="A941" s="596"/>
      <c r="B941" s="541"/>
      <c r="D941" s="542"/>
      <c r="E941" s="598"/>
      <c r="H941" s="544"/>
    </row>
    <row r="942">
      <c r="A942" s="596"/>
      <c r="B942" s="541"/>
      <c r="D942" s="542"/>
      <c r="E942" s="598"/>
      <c r="H942" s="544"/>
    </row>
    <row r="943">
      <c r="A943" s="596"/>
      <c r="B943" s="541"/>
      <c r="D943" s="542"/>
      <c r="E943" s="598"/>
      <c r="H943" s="544"/>
    </row>
    <row r="944">
      <c r="A944" s="596"/>
      <c r="B944" s="541"/>
      <c r="D944" s="542"/>
      <c r="E944" s="598"/>
      <c r="H944" s="544"/>
    </row>
    <row r="945">
      <c r="A945" s="596"/>
      <c r="B945" s="541"/>
      <c r="D945" s="542"/>
      <c r="E945" s="598"/>
      <c r="H945" s="544"/>
    </row>
    <row r="946">
      <c r="A946" s="596"/>
      <c r="B946" s="541"/>
      <c r="D946" s="542"/>
      <c r="E946" s="598"/>
      <c r="H946" s="544"/>
    </row>
    <row r="947">
      <c r="A947" s="596"/>
      <c r="B947" s="541"/>
      <c r="D947" s="542"/>
      <c r="E947" s="598"/>
      <c r="H947" s="544"/>
    </row>
    <row r="948">
      <c r="A948" s="596"/>
      <c r="B948" s="541"/>
      <c r="D948" s="542"/>
      <c r="E948" s="598"/>
      <c r="H948" s="544"/>
    </row>
    <row r="949">
      <c r="A949" s="596"/>
      <c r="B949" s="541"/>
      <c r="D949" s="542"/>
      <c r="E949" s="598"/>
      <c r="H949" s="544"/>
    </row>
    <row r="950">
      <c r="A950" s="596"/>
      <c r="B950" s="541"/>
      <c r="D950" s="542"/>
      <c r="E950" s="598"/>
      <c r="H950" s="544"/>
    </row>
    <row r="951">
      <c r="A951" s="596"/>
      <c r="B951" s="541"/>
      <c r="D951" s="542"/>
      <c r="E951" s="598"/>
      <c r="H951" s="544"/>
    </row>
    <row r="952">
      <c r="A952" s="596"/>
      <c r="B952" s="541"/>
      <c r="D952" s="542"/>
      <c r="E952" s="598"/>
      <c r="H952" s="544"/>
    </row>
    <row r="953">
      <c r="A953" s="596"/>
      <c r="B953" s="541"/>
      <c r="D953" s="542"/>
      <c r="E953" s="598"/>
      <c r="H953" s="544"/>
    </row>
    <row r="954">
      <c r="A954" s="596"/>
      <c r="B954" s="541"/>
      <c r="D954" s="542"/>
      <c r="E954" s="598"/>
      <c r="H954" s="544"/>
    </row>
    <row r="955">
      <c r="A955" s="596"/>
      <c r="B955" s="541"/>
      <c r="D955" s="542"/>
      <c r="E955" s="598"/>
      <c r="H955" s="544"/>
    </row>
    <row r="956">
      <c r="A956" s="596"/>
      <c r="B956" s="541"/>
      <c r="D956" s="542"/>
      <c r="E956" s="598"/>
      <c r="H956" s="544"/>
    </row>
    <row r="957">
      <c r="A957" s="596"/>
      <c r="B957" s="541"/>
      <c r="D957" s="542"/>
      <c r="E957" s="598"/>
      <c r="H957" s="544"/>
    </row>
    <row r="958">
      <c r="A958" s="596"/>
      <c r="B958" s="541"/>
      <c r="D958" s="542"/>
      <c r="E958" s="598"/>
      <c r="H958" s="544"/>
    </row>
    <row r="959">
      <c r="A959" s="596"/>
      <c r="B959" s="541"/>
      <c r="D959" s="542"/>
      <c r="E959" s="598"/>
      <c r="H959" s="544"/>
    </row>
    <row r="960">
      <c r="A960" s="596"/>
      <c r="B960" s="541"/>
      <c r="D960" s="542"/>
      <c r="E960" s="598"/>
      <c r="H960" s="544"/>
    </row>
    <row r="961">
      <c r="A961" s="596"/>
      <c r="B961" s="541"/>
      <c r="D961" s="542"/>
      <c r="E961" s="598"/>
      <c r="H961" s="544"/>
    </row>
    <row r="962">
      <c r="A962" s="596"/>
      <c r="B962" s="541"/>
      <c r="D962" s="542"/>
      <c r="E962" s="598"/>
      <c r="H962" s="544"/>
    </row>
    <row r="963">
      <c r="A963" s="596"/>
      <c r="B963" s="541"/>
      <c r="D963" s="542"/>
      <c r="E963" s="598"/>
      <c r="H963" s="544"/>
    </row>
    <row r="964">
      <c r="A964" s="596"/>
      <c r="B964" s="541"/>
      <c r="D964" s="542"/>
      <c r="E964" s="598"/>
      <c r="H964" s="544"/>
    </row>
    <row r="965">
      <c r="A965" s="596"/>
      <c r="B965" s="541"/>
      <c r="D965" s="542"/>
      <c r="E965" s="598"/>
      <c r="H965" s="544"/>
    </row>
    <row r="966">
      <c r="A966" s="596"/>
      <c r="B966" s="541"/>
      <c r="D966" s="542"/>
      <c r="E966" s="598"/>
      <c r="H966" s="544"/>
    </row>
    <row r="967">
      <c r="A967" s="596"/>
      <c r="B967" s="541"/>
      <c r="D967" s="542"/>
      <c r="E967" s="598"/>
      <c r="H967" s="544"/>
    </row>
    <row r="968">
      <c r="A968" s="596"/>
      <c r="B968" s="541"/>
      <c r="D968" s="542"/>
      <c r="E968" s="598"/>
      <c r="H968" s="544"/>
    </row>
    <row r="969">
      <c r="A969" s="596"/>
      <c r="B969" s="541"/>
      <c r="D969" s="542"/>
      <c r="E969" s="598"/>
      <c r="H969" s="544"/>
    </row>
    <row r="970">
      <c r="A970" s="596"/>
      <c r="B970" s="541"/>
      <c r="D970" s="542"/>
      <c r="E970" s="598"/>
      <c r="H970" s="544"/>
    </row>
    <row r="971">
      <c r="A971" s="596"/>
      <c r="B971" s="541"/>
      <c r="D971" s="542"/>
      <c r="E971" s="598"/>
      <c r="H971" s="544"/>
    </row>
    <row r="972">
      <c r="A972" s="596"/>
      <c r="B972" s="541"/>
      <c r="D972" s="542"/>
      <c r="E972" s="598"/>
      <c r="H972" s="544"/>
    </row>
    <row r="973">
      <c r="A973" s="596"/>
      <c r="B973" s="541"/>
      <c r="D973" s="542"/>
      <c r="E973" s="598"/>
      <c r="H973" s="544"/>
    </row>
    <row r="974">
      <c r="A974" s="596"/>
      <c r="B974" s="541"/>
      <c r="D974" s="542"/>
      <c r="E974" s="598"/>
      <c r="H974" s="544"/>
    </row>
    <row r="975">
      <c r="A975" s="596"/>
      <c r="B975" s="541"/>
      <c r="D975" s="542"/>
      <c r="E975" s="598"/>
      <c r="H975" s="544"/>
    </row>
    <row r="976">
      <c r="A976" s="596"/>
      <c r="B976" s="541"/>
      <c r="D976" s="542"/>
      <c r="E976" s="598"/>
      <c r="H976" s="544"/>
    </row>
    <row r="977">
      <c r="A977" s="596"/>
      <c r="B977" s="541"/>
      <c r="D977" s="542"/>
      <c r="E977" s="598"/>
      <c r="H977" s="544"/>
    </row>
    <row r="978">
      <c r="A978" s="596"/>
      <c r="B978" s="541"/>
      <c r="D978" s="542"/>
      <c r="E978" s="598"/>
      <c r="H978" s="544"/>
    </row>
    <row r="979">
      <c r="A979" s="596"/>
      <c r="B979" s="541"/>
      <c r="D979" s="542"/>
      <c r="E979" s="598"/>
      <c r="H979" s="544"/>
    </row>
    <row r="980">
      <c r="A980" s="596"/>
      <c r="B980" s="541"/>
      <c r="D980" s="542"/>
      <c r="E980" s="598"/>
      <c r="H980" s="544"/>
    </row>
    <row r="981">
      <c r="A981" s="596"/>
      <c r="B981" s="541"/>
      <c r="D981" s="542"/>
      <c r="E981" s="598"/>
      <c r="H981" s="544"/>
    </row>
    <row r="982">
      <c r="A982" s="596"/>
      <c r="B982" s="541"/>
      <c r="D982" s="542"/>
      <c r="E982" s="598"/>
      <c r="H982" s="544"/>
    </row>
    <row r="983">
      <c r="A983" s="596"/>
      <c r="B983" s="541"/>
      <c r="D983" s="542"/>
      <c r="E983" s="598"/>
      <c r="H983" s="544"/>
    </row>
    <row r="984">
      <c r="A984" s="596"/>
      <c r="B984" s="541"/>
      <c r="D984" s="542"/>
      <c r="E984" s="598"/>
      <c r="H984" s="544"/>
    </row>
    <row r="985">
      <c r="A985" s="596"/>
      <c r="B985" s="541"/>
      <c r="D985" s="542"/>
      <c r="E985" s="598"/>
      <c r="H985" s="544"/>
    </row>
    <row r="986">
      <c r="A986" s="596"/>
      <c r="B986" s="541"/>
      <c r="D986" s="542"/>
      <c r="E986" s="598"/>
      <c r="H986" s="544"/>
    </row>
    <row r="987">
      <c r="A987" s="596"/>
      <c r="B987" s="541"/>
      <c r="D987" s="542"/>
      <c r="E987" s="598"/>
      <c r="H987" s="544"/>
    </row>
    <row r="988">
      <c r="A988" s="596"/>
      <c r="B988" s="541"/>
      <c r="D988" s="542"/>
      <c r="E988" s="598"/>
      <c r="H988" s="544"/>
    </row>
    <row r="989">
      <c r="A989" s="596"/>
      <c r="B989" s="541"/>
      <c r="D989" s="542"/>
      <c r="E989" s="598"/>
      <c r="H989" s="544"/>
    </row>
    <row r="990">
      <c r="A990" s="596"/>
      <c r="B990" s="541"/>
      <c r="D990" s="542"/>
      <c r="E990" s="598"/>
      <c r="H990" s="544"/>
    </row>
    <row r="991">
      <c r="A991" s="596"/>
      <c r="B991" s="541"/>
      <c r="D991" s="542"/>
      <c r="E991" s="598"/>
      <c r="H991" s="544"/>
    </row>
    <row r="992">
      <c r="A992" s="596"/>
      <c r="B992" s="541"/>
      <c r="D992" s="542"/>
      <c r="E992" s="598"/>
      <c r="H992" s="544"/>
    </row>
    <row r="993">
      <c r="A993" s="596"/>
      <c r="B993" s="541"/>
      <c r="D993" s="542"/>
      <c r="E993" s="598"/>
      <c r="H993" s="544"/>
    </row>
    <row r="994">
      <c r="A994" s="596"/>
      <c r="B994" s="541"/>
      <c r="D994" s="542"/>
      <c r="E994" s="598"/>
      <c r="H994" s="544"/>
    </row>
    <row r="995">
      <c r="A995" s="596"/>
      <c r="B995" s="541"/>
      <c r="D995" s="542"/>
      <c r="E995" s="598"/>
      <c r="H995" s="544"/>
    </row>
    <row r="996">
      <c r="A996" s="596"/>
      <c r="B996" s="541"/>
      <c r="D996" s="542"/>
      <c r="E996" s="598"/>
      <c r="H996" s="544"/>
    </row>
    <row r="997">
      <c r="A997" s="596"/>
      <c r="B997" s="541"/>
      <c r="D997" s="542"/>
      <c r="E997" s="598"/>
      <c r="H997" s="544"/>
    </row>
  </sheetData>
  <conditionalFormatting sqref="A2:A270 B2:B997 C2:E270 H3">
    <cfRule type="expression" dxfId="6" priority="1">
      <formula>COUNTIF($B$3:$B997, A2)&gt;1</formula>
    </cfRule>
  </conditionalFormatting>
  <dataValidations>
    <dataValidation type="custom" allowBlank="1" showDropDown="1" sqref="H3 B3:B270 B272:B328 B330:B997">
      <formula1>COUNTIF($B$3:$B997, B3)=1</formula1>
    </dataValidation>
    <dataValidation type="custom" allowBlank="1" showDropDown="1" sqref="D3:D334">
      <formula1>OR(NOT(ISERROR(DATEVALUE(D3))), AND(ISNUMBER(D3), LEFT(CELL("format", D3))="D"))</formula1>
    </dataValidation>
    <dataValidation type="custom" allowBlank="1" showDropDown="1" sqref="B271 B329">
      <formula1>COUNTIF($B$3:$B997, #REF!)=1</formula1>
    </dataValidation>
  </dataValidations>
  <drawing r:id="rId1"/>
  <tableParts count="1">
    <tablePart r:id="rId3"/>
  </tableParts>
</worksheet>
</file>